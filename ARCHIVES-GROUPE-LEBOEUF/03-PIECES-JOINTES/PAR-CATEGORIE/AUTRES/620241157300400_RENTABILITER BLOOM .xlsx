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hamel/Desktop/"/>
    </mc:Choice>
  </mc:AlternateContent>
  <xr:revisionPtr revIDLastSave="0" documentId="8_{DFE6DF48-7493-2A46-97AC-4949D77B561F}" xr6:coauthVersionLast="47" xr6:coauthVersionMax="47" xr10:uidLastSave="{00000000-0000-0000-0000-000000000000}"/>
  <bookViews>
    <workbookView xWindow="12420" yWindow="1020" windowWidth="23980" windowHeight="18880" xr2:uid="{DCE42058-7721-D049-9F90-6B618B0315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23" i="1"/>
  <c r="D25" i="1" s="1"/>
  <c r="C22" i="1"/>
  <c r="C21" i="1"/>
  <c r="C25" i="1" s="1"/>
  <c r="G7" i="1" s="1"/>
  <c r="C7" i="1"/>
  <c r="C10" i="1" l="1"/>
  <c r="C11" i="1" s="1"/>
  <c r="C26" i="1"/>
  <c r="H7" i="1" s="1"/>
  <c r="G6" i="1" l="1"/>
  <c r="G8" i="1" s="1"/>
  <c r="H6" i="1"/>
  <c r="H8" i="1" s="1"/>
</calcChain>
</file>

<file path=xl/sharedStrings.xml><?xml version="1.0" encoding="utf-8"?>
<sst xmlns="http://schemas.openxmlformats.org/spreadsheetml/2006/main" count="31" uniqueCount="27">
  <si>
    <t xml:space="preserve">REVENUE </t>
  </si>
  <si>
    <t>REVENUE BILLER</t>
  </si>
  <si>
    <t>RH DOIT A BLOOM POUR CDC</t>
  </si>
  <si>
    <t xml:space="preserve">RH DOIT A BLOOM POUR UTILITAIRE </t>
  </si>
  <si>
    <t>REVENUE NON EFFECTUER</t>
  </si>
  <si>
    <t xml:space="preserve">RH DOIT A BLOOM POUR HEURE CINDY </t>
  </si>
  <si>
    <t xml:space="preserve">TOTAL </t>
  </si>
  <si>
    <t xml:space="preserve">CHARGE SALARIAL+ VALERIE+(BANQUE) </t>
  </si>
  <si>
    <t>TAXES AU GOUVERNEMENT</t>
  </si>
  <si>
    <t xml:space="preserve">ANAIS EN CANADIEN </t>
  </si>
  <si>
    <t xml:space="preserve">INTERET MARGE </t>
  </si>
  <si>
    <t xml:space="preserve">CDC+INTERET AVRIL/MAI/JUIN </t>
  </si>
  <si>
    <t>RECURANT</t>
  </si>
  <si>
    <t>NON-RECURANT</t>
  </si>
  <si>
    <t xml:space="preserve">UTILITAIRE </t>
  </si>
  <si>
    <t xml:space="preserve">AVOCAT </t>
  </si>
  <si>
    <t>FLORIDE</t>
  </si>
  <si>
    <t>DEPENSES</t>
  </si>
  <si>
    <t xml:space="preserve">DEPENSE </t>
  </si>
  <si>
    <t xml:space="preserve">RENTABILITER </t>
  </si>
  <si>
    <t>REVENUE</t>
  </si>
  <si>
    <t>DEPENSE</t>
  </si>
  <si>
    <t>INCLUE NON- RECURANT</t>
  </si>
  <si>
    <t xml:space="preserve">NORMAL </t>
  </si>
  <si>
    <t>TOTAL</t>
  </si>
  <si>
    <t xml:space="preserve">RH DOIT A BLOOM POUR ECHANGE DE FOND </t>
  </si>
  <si>
    <t xml:space="preserve">BLOOM 1er AVRIL AU 5 JUIN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</si>
</sst>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2" fillId="0" borderId="0" xfId="1" applyFont="1"/>
    <xf numFmtId="44" fontId="2" fillId="0" borderId="1" xfId="1" applyFont="1" applyBorder="1"/>
    <xf numFmtId="44" fontId="3" fillId="2" borderId="1" xfId="1" applyFont="1" applyFill="1" applyBorder="1" applyAlignment="1">
      <alignment horizontal="center" vertical="center"/>
    </xf>
    <xf numFmtId="44" fontId="2" fillId="3" borderId="1" xfId="1" applyFont="1" applyFill="1" applyBorder="1"/>
    <xf numFmtId="44" fontId="2" fillId="4" borderId="1" xfId="1" applyFont="1" applyFill="1" applyBorder="1" applyAlignment="1">
      <alignment horizontal="center" vertical="center"/>
    </xf>
    <xf numFmtId="44" fontId="2" fillId="5" borderId="1" xfId="1" applyFont="1" applyFill="1" applyBorder="1" applyAlignment="1">
      <alignment horizontal="center" vertical="center"/>
    </xf>
    <xf numFmtId="44" fontId="3" fillId="6" borderId="1" xfId="1" applyFont="1" applyFill="1" applyBorder="1" applyAlignment="1">
      <alignment horizontal="center" vertical="center"/>
    </xf>
    <xf numFmtId="44" fontId="2" fillId="7" borderId="1" xfId="1" applyFont="1" applyFill="1" applyBorder="1"/>
    <xf numFmtId="44" fontId="2" fillId="8" borderId="1" xfId="1" applyFont="1" applyFill="1" applyBorder="1"/>
    <xf numFmtId="44" fontId="2" fillId="4" borderId="1" xfId="1" applyFont="1" applyFill="1" applyBorder="1"/>
    <xf numFmtId="44" fontId="2" fillId="9" borderId="1" xfId="1" applyFont="1" applyFill="1" applyBorder="1" applyAlignment="1">
      <alignment horizontal="center" vertical="center"/>
    </xf>
    <xf numFmtId="44" fontId="3" fillId="10" borderId="1" xfId="1" applyFont="1" applyFill="1" applyBorder="1" applyAlignment="1">
      <alignment horizontal="center" vertical="center"/>
    </xf>
    <xf numFmtId="44" fontId="2" fillId="0" borderId="1" xfId="1" applyFont="1" applyBorder="1" applyAlignment="1">
      <alignment vertical="center"/>
    </xf>
    <xf numFmtId="44" fontId="2" fillId="11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B0BA-A13F-CB4D-A6F7-A0DF1B0A5DC2}">
  <dimension ref="A1:H26"/>
  <sheetViews>
    <sheetView tabSelected="1" zoomScale="130" zoomScaleNormal="130" workbookViewId="0">
      <selection activeCell="H28" sqref="H28"/>
    </sheetView>
  </sheetViews>
  <sheetFormatPr baseColWidth="10" defaultRowHeight="16" x14ac:dyDescent="0.2"/>
  <cols>
    <col min="1" max="1" width="25.33203125" style="1" bestFit="1" customWidth="1"/>
    <col min="2" max="2" width="42.1640625" style="1" bestFit="1" customWidth="1"/>
    <col min="3" max="3" width="11.5" style="1" bestFit="1" customWidth="1"/>
    <col min="4" max="4" width="16.5" style="1" bestFit="1" customWidth="1"/>
    <col min="5" max="6" width="10.83203125" style="1"/>
    <col min="7" max="7" width="14.1640625" style="1" customWidth="1"/>
    <col min="8" max="8" width="23.83203125" style="1" bestFit="1" customWidth="1"/>
    <col min="9" max="16384" width="10.83203125" style="1"/>
  </cols>
  <sheetData>
    <row r="1" spans="1:8" x14ac:dyDescent="0.2">
      <c r="A1" s="1" t="s">
        <v>26</v>
      </c>
    </row>
    <row r="3" spans="1:8" ht="16" customHeight="1" x14ac:dyDescent="0.2">
      <c r="A3" s="3" t="s">
        <v>0</v>
      </c>
      <c r="B3" s="3"/>
      <c r="C3" s="3"/>
      <c r="D3" s="3"/>
      <c r="F3" s="12" t="s">
        <v>19</v>
      </c>
      <c r="G3" s="12"/>
      <c r="H3" s="12"/>
    </row>
    <row r="4" spans="1:8" ht="16" customHeight="1" x14ac:dyDescent="0.2">
      <c r="A4" s="3"/>
      <c r="B4" s="3"/>
      <c r="C4" s="3"/>
      <c r="D4" s="3"/>
      <c r="F4" s="12"/>
      <c r="G4" s="12"/>
      <c r="H4" s="12"/>
    </row>
    <row r="5" spans="1:8" x14ac:dyDescent="0.2">
      <c r="A5" s="5" t="s">
        <v>0</v>
      </c>
      <c r="B5" s="2" t="s">
        <v>1</v>
      </c>
      <c r="C5" s="2"/>
      <c r="D5" s="2">
        <v>31367</v>
      </c>
      <c r="F5" s="2"/>
      <c r="G5" s="13" t="s">
        <v>23</v>
      </c>
      <c r="H5" s="13" t="s">
        <v>22</v>
      </c>
    </row>
    <row r="6" spans="1:8" x14ac:dyDescent="0.2">
      <c r="A6" s="6" t="s">
        <v>4</v>
      </c>
      <c r="B6" s="2" t="s">
        <v>25</v>
      </c>
      <c r="C6" s="2">
        <v>12977</v>
      </c>
      <c r="D6" s="2"/>
      <c r="F6" s="2" t="s">
        <v>20</v>
      </c>
      <c r="G6" s="2">
        <f>C11</f>
        <v>65568</v>
      </c>
      <c r="H6" s="2">
        <f>C11</f>
        <v>65568</v>
      </c>
    </row>
    <row r="7" spans="1:8" x14ac:dyDescent="0.2">
      <c r="A7" s="6"/>
      <c r="B7" s="2" t="s">
        <v>2</v>
      </c>
      <c r="C7" s="2">
        <f>1329+986</f>
        <v>2315</v>
      </c>
      <c r="D7" s="2"/>
      <c r="F7" s="2" t="s">
        <v>21</v>
      </c>
      <c r="G7" s="2">
        <f>C25</f>
        <v>53367</v>
      </c>
      <c r="H7" s="2">
        <f>C26</f>
        <v>63744</v>
      </c>
    </row>
    <row r="8" spans="1:8" x14ac:dyDescent="0.2">
      <c r="A8" s="6"/>
      <c r="B8" s="2" t="s">
        <v>3</v>
      </c>
      <c r="C8" s="2">
        <v>1202</v>
      </c>
      <c r="D8" s="2"/>
      <c r="F8" s="14" t="s">
        <v>24</v>
      </c>
      <c r="G8" s="14">
        <f>G6-G7</f>
        <v>12201</v>
      </c>
      <c r="H8" s="14">
        <f>H6-H7</f>
        <v>1824</v>
      </c>
    </row>
    <row r="9" spans="1:8" x14ac:dyDescent="0.2">
      <c r="A9" s="6"/>
      <c r="B9" s="2" t="s">
        <v>5</v>
      </c>
      <c r="C9" s="2">
        <v>17707</v>
      </c>
      <c r="D9" s="2"/>
    </row>
    <row r="10" spans="1:8" x14ac:dyDescent="0.2">
      <c r="A10" s="4"/>
      <c r="B10" s="4" t="s">
        <v>6</v>
      </c>
      <c r="C10" s="4">
        <f>SUM(C6:C9)</f>
        <v>34201</v>
      </c>
      <c r="D10" s="4">
        <f>SUM(D5:D9)</f>
        <v>31367</v>
      </c>
    </row>
    <row r="11" spans="1:8" x14ac:dyDescent="0.2">
      <c r="A11" s="10"/>
      <c r="B11" s="10" t="s">
        <v>6</v>
      </c>
      <c r="C11" s="10">
        <f>C10+D10</f>
        <v>65568</v>
      </c>
      <c r="D11" s="10"/>
    </row>
    <row r="14" spans="1:8" x14ac:dyDescent="0.2">
      <c r="A14" s="7" t="s">
        <v>18</v>
      </c>
      <c r="B14" s="7"/>
      <c r="C14" s="7"/>
      <c r="D14" s="7"/>
    </row>
    <row r="15" spans="1:8" x14ac:dyDescent="0.2">
      <c r="A15" s="7"/>
      <c r="B15" s="7"/>
      <c r="C15" s="7"/>
      <c r="D15" s="7"/>
    </row>
    <row r="16" spans="1:8" x14ac:dyDescent="0.2">
      <c r="A16" s="11" t="s">
        <v>17</v>
      </c>
      <c r="B16" s="2"/>
      <c r="C16" s="2" t="s">
        <v>12</v>
      </c>
      <c r="D16" s="2" t="s">
        <v>13</v>
      </c>
    </row>
    <row r="17" spans="1:4" x14ac:dyDescent="0.2">
      <c r="A17" s="11"/>
      <c r="B17" s="2" t="s">
        <v>7</v>
      </c>
      <c r="C17" s="2">
        <v>37875</v>
      </c>
      <c r="D17" s="2"/>
    </row>
    <row r="18" spans="1:4" x14ac:dyDescent="0.2">
      <c r="A18" s="11"/>
      <c r="B18" s="2" t="s">
        <v>9</v>
      </c>
      <c r="C18" s="2">
        <v>1572</v>
      </c>
      <c r="D18" s="2"/>
    </row>
    <row r="19" spans="1:4" x14ac:dyDescent="0.2">
      <c r="A19" s="11"/>
      <c r="B19" s="2" t="s">
        <v>8</v>
      </c>
      <c r="C19" s="2">
        <v>2289</v>
      </c>
      <c r="D19" s="2"/>
    </row>
    <row r="20" spans="1:4" x14ac:dyDescent="0.2">
      <c r="A20" s="11"/>
      <c r="B20" s="2" t="s">
        <v>10</v>
      </c>
      <c r="C20" s="2">
        <v>3840</v>
      </c>
      <c r="D20" s="2"/>
    </row>
    <row r="21" spans="1:4" x14ac:dyDescent="0.2">
      <c r="A21" s="11"/>
      <c r="B21" s="2" t="s">
        <v>11</v>
      </c>
      <c r="C21" s="2">
        <f>2782+3807</f>
        <v>6589</v>
      </c>
      <c r="D21" s="2"/>
    </row>
    <row r="22" spans="1:4" x14ac:dyDescent="0.2">
      <c r="A22" s="11"/>
      <c r="B22" s="2" t="s">
        <v>14</v>
      </c>
      <c r="C22" s="2">
        <f>1202</f>
        <v>1202</v>
      </c>
      <c r="D22" s="2"/>
    </row>
    <row r="23" spans="1:4" x14ac:dyDescent="0.2">
      <c r="A23" s="11"/>
      <c r="B23" s="2" t="s">
        <v>15</v>
      </c>
      <c r="C23" s="2"/>
      <c r="D23" s="2">
        <f>2378+6171</f>
        <v>8549</v>
      </c>
    </row>
    <row r="24" spans="1:4" x14ac:dyDescent="0.2">
      <c r="A24" s="11"/>
      <c r="B24" s="2" t="s">
        <v>16</v>
      </c>
      <c r="C24" s="2"/>
      <c r="D24" s="2">
        <v>1828</v>
      </c>
    </row>
    <row r="25" spans="1:4" x14ac:dyDescent="0.2">
      <c r="A25" s="9"/>
      <c r="B25" s="9" t="s">
        <v>6</v>
      </c>
      <c r="C25" s="9">
        <f>SUM(C17:C24)</f>
        <v>53367</v>
      </c>
      <c r="D25" s="9">
        <f>SUM(D17:D24)</f>
        <v>10377</v>
      </c>
    </row>
    <row r="26" spans="1:4" x14ac:dyDescent="0.2">
      <c r="A26" s="8"/>
      <c r="B26" s="8" t="s">
        <v>6</v>
      </c>
      <c r="C26" s="8">
        <f>C25+D25</f>
        <v>63744</v>
      </c>
      <c r="D26" s="8"/>
    </row>
  </sheetData>
  <mergeCells count="5">
    <mergeCell ref="A6:A9"/>
    <mergeCell ref="A3:D4"/>
    <mergeCell ref="A14:D15"/>
    <mergeCell ref="A16:A24"/>
    <mergeCell ref="F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Hamel</dc:creator>
  <cp:lastModifiedBy>Felix Hamel</cp:lastModifiedBy>
  <dcterms:created xsi:type="dcterms:W3CDTF">2024-06-06T14:51:09Z</dcterms:created>
  <dcterms:modified xsi:type="dcterms:W3CDTF">2024-06-06T15:56:47Z</dcterms:modified>
</cp:coreProperties>
</file>