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codeName="{9351B8E1-9728-8E5E-8161-817DCB669FF3}"/>
  <workbookPr showInkAnnotation="0" updateLinks="never" codeName="ThisWorkbook" defaultThemeVersion="124226"/>
  <mc:AlternateContent xmlns:mc="http://schemas.openxmlformats.org/markup-compatibility/2006">
    <mc:Choice Requires="x15">
      <x15ac:absPath xmlns:x15ac="http://schemas.microsoft.com/office/spreadsheetml/2010/11/ac" url="R:\Les centres dentaires viva 2014\Départements\Ressources humaines\3. Rémunération\Équité salariale\Québec\2019\"/>
    </mc:Choice>
  </mc:AlternateContent>
  <xr:revisionPtr revIDLastSave="0" documentId="13_ncr:1_{4971CFE0-57FD-47C8-91A4-1F4C4933F22A}" xr6:coauthVersionLast="43" xr6:coauthVersionMax="43" xr10:uidLastSave="{00000000-0000-0000-0000-000000000000}"/>
  <bookViews>
    <workbookView xWindow="-120" yWindow="-120" windowWidth="29040" windowHeight="15840" tabRatio="855" firstSheet="1" activeTab="1" xr2:uid="{00000000-000D-0000-FFFF-FFFF00000000}"/>
  </bookViews>
  <sheets>
    <sheet name="Data- détaillée" sheetId="1" state="hidden" r:id="rId1"/>
    <sheet name="Mise à jour- sept 2019" sheetId="15" r:id="rId2"/>
    <sheet name="inconvénient 19" sheetId="16" r:id="rId3"/>
    <sheet name="métho glo détail 2" sheetId="9" state="hidden" r:id="rId4"/>
  </sheets>
  <definedNames>
    <definedName name="_xlnm.Print_Area" localSheetId="0">'Data- détaillée'!$A$1:$AC$28</definedName>
    <definedName name="_xlnm.Print_Area" localSheetId="2">'inconvénient 19'!$A$1:$W$29</definedName>
    <definedName name="_xlnm.Print_Area" localSheetId="1">'Mise à jour- sept 2019'!$A$1:$AC$25</definedName>
    <definedName name="Z_D4FD32DD_0A5D_4D70_BA97_EA33B7747B0B_.wvu.PrintArea" localSheetId="0" hidden="1">'Data- détaillée'!$A$1:$Y$55</definedName>
    <definedName name="Z_D4FD32DD_0A5D_4D70_BA97_EA33B7747B0B_.wvu.PrintArea" localSheetId="1" hidden="1">'Mise à jour- sept 2019'!$A$1:$Y$25</definedName>
  </definedNames>
  <calcPr calcId="191029"/>
  <customWorkbookViews>
    <customWorkbookView name="Utilisateur - Affichage personnalisé" guid="{D4FD32DD-0A5D-4D70-BA97-EA33B7747B0B}" mergeInterval="0" personalView="1" maximized="1" windowWidth="1916" windowHeight="927" tabRatio="855" activeSheetId="8"/>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4" i="15" l="1"/>
  <c r="L9" i="15"/>
  <c r="AC13" i="15"/>
  <c r="L13" i="15"/>
  <c r="AC12" i="15"/>
  <c r="U12" i="15"/>
  <c r="L12" i="15"/>
  <c r="AC14" i="15"/>
  <c r="L25" i="15" l="1"/>
  <c r="S25" i="15"/>
  <c r="AC25" i="15"/>
  <c r="V25" i="16" l="1"/>
  <c r="V26" i="16"/>
  <c r="V27" i="16"/>
  <c r="V28" i="16"/>
  <c r="V29" i="16"/>
  <c r="V30" i="16"/>
  <c r="V31" i="16"/>
  <c r="V32" i="16"/>
  <c r="V33" i="16"/>
  <c r="V34" i="16"/>
  <c r="V35" i="16"/>
  <c r="V36" i="16"/>
  <c r="V37" i="16"/>
  <c r="V38" i="16"/>
  <c r="V39" i="16"/>
  <c r="V40" i="16"/>
  <c r="V41" i="16"/>
  <c r="V42" i="16"/>
  <c r="V43" i="16"/>
  <c r="V44" i="16"/>
  <c r="V45" i="16"/>
  <c r="V46" i="16"/>
  <c r="V47" i="16"/>
  <c r="V48" i="16"/>
  <c r="V49" i="16"/>
  <c r="V50" i="16"/>
  <c r="V51" i="16"/>
  <c r="V52" i="16"/>
  <c r="V53" i="16"/>
  <c r="V54" i="16"/>
  <c r="V55" i="16"/>
  <c r="V56" i="16"/>
  <c r="V57" i="16"/>
  <c r="V58" i="16"/>
  <c r="V59" i="16"/>
  <c r="V60" i="16"/>
  <c r="V61" i="16"/>
  <c r="V62" i="16"/>
  <c r="V63" i="16"/>
  <c r="V64" i="16"/>
  <c r="V65" i="16"/>
  <c r="V66" i="16"/>
  <c r="V67" i="16"/>
  <c r="V68" i="16"/>
  <c r="V69" i="16"/>
  <c r="V70" i="16"/>
  <c r="V71" i="16"/>
  <c r="V72" i="16"/>
  <c r="V73" i="16"/>
  <c r="V74" i="16"/>
  <c r="V75" i="16"/>
  <c r="V76" i="16"/>
  <c r="V77" i="16"/>
  <c r="V78" i="16"/>
  <c r="V79" i="16"/>
  <c r="V80" i="16"/>
  <c r="V81" i="16"/>
  <c r="V82" i="16"/>
  <c r="V83" i="16"/>
  <c r="V84" i="16"/>
  <c r="V85" i="16"/>
  <c r="V86" i="16"/>
  <c r="V87" i="16"/>
  <c r="V88" i="16"/>
  <c r="V89" i="16"/>
  <c r="V90" i="16"/>
  <c r="V91" i="16"/>
  <c r="V92" i="16"/>
  <c r="V93" i="16"/>
  <c r="V94" i="16"/>
  <c r="V95" i="16"/>
  <c r="V96" i="16"/>
  <c r="V97" i="16"/>
  <c r="V98" i="16"/>
  <c r="V99" i="16"/>
  <c r="V100" i="16"/>
  <c r="V101" i="16"/>
  <c r="V102" i="16"/>
  <c r="V103" i="16"/>
  <c r="V104" i="16"/>
  <c r="V105" i="16"/>
  <c r="V106" i="16"/>
  <c r="V107" i="16"/>
  <c r="T25" i="15" s="1"/>
  <c r="U25" i="15" s="1"/>
  <c r="I105" i="16" l="1"/>
  <c r="I104" i="16"/>
  <c r="I103" i="16"/>
  <c r="I102" i="16"/>
  <c r="I101" i="16"/>
  <c r="I100" i="16"/>
  <c r="I99" i="16"/>
  <c r="I98" i="16"/>
  <c r="I97" i="16"/>
  <c r="I96" i="16"/>
  <c r="I95" i="16"/>
  <c r="I94" i="16"/>
  <c r="I93" i="16"/>
  <c r="I92" i="16"/>
  <c r="I91" i="16"/>
  <c r="I90" i="16"/>
  <c r="I89" i="16"/>
  <c r="I88" i="16"/>
  <c r="I87" i="16"/>
  <c r="I86" i="16"/>
  <c r="I85" i="16"/>
  <c r="I84" i="16"/>
  <c r="I83" i="16"/>
  <c r="I82" i="16"/>
  <c r="I81" i="16"/>
  <c r="I80" i="16"/>
  <c r="I79" i="16"/>
  <c r="I78" i="16"/>
  <c r="I77" i="16"/>
  <c r="I76" i="16"/>
  <c r="I75" i="16"/>
  <c r="I74" i="16"/>
  <c r="I73" i="16"/>
  <c r="I72" i="16"/>
  <c r="I71" i="16"/>
  <c r="I70" i="16"/>
  <c r="I69" i="16"/>
  <c r="I68" i="16"/>
  <c r="I67" i="16"/>
  <c r="I66" i="16"/>
  <c r="I65" i="16"/>
  <c r="I64" i="16"/>
  <c r="I63" i="16"/>
  <c r="I62" i="16"/>
  <c r="I61" i="16"/>
  <c r="I60" i="16"/>
  <c r="I59" i="16"/>
  <c r="I58" i="16"/>
  <c r="I57" i="16"/>
  <c r="I56" i="16"/>
  <c r="I55" i="16"/>
  <c r="I54" i="16"/>
  <c r="I53" i="16"/>
  <c r="I52" i="16"/>
  <c r="I51" i="16"/>
  <c r="I50" i="16"/>
  <c r="I49" i="16"/>
  <c r="I48" i="16"/>
  <c r="I47" i="16"/>
  <c r="I46" i="16"/>
  <c r="I45" i="16"/>
  <c r="I44" i="16"/>
  <c r="I43" i="16"/>
  <c r="I42" i="16"/>
  <c r="I41" i="16"/>
  <c r="I40" i="16"/>
  <c r="I39" i="16"/>
  <c r="I38" i="16"/>
  <c r="I37" i="16"/>
  <c r="I36" i="16"/>
  <c r="I35" i="16"/>
  <c r="I34" i="16"/>
  <c r="I33" i="16"/>
  <c r="I32" i="16"/>
  <c r="I31" i="16"/>
  <c r="I30" i="16"/>
  <c r="I29" i="16"/>
  <c r="I28" i="16"/>
  <c r="I27" i="16"/>
  <c r="I26" i="16"/>
  <c r="I25" i="16"/>
  <c r="V24" i="16"/>
  <c r="T24" i="15" s="1"/>
  <c r="I24" i="16"/>
  <c r="S24" i="15" s="1"/>
  <c r="V23" i="16"/>
  <c r="T23" i="15" s="1"/>
  <c r="I23" i="16"/>
  <c r="S23" i="15" s="1"/>
  <c r="V22" i="16"/>
  <c r="T22" i="15" s="1"/>
  <c r="I22" i="16"/>
  <c r="S22" i="15" s="1"/>
  <c r="V21" i="16"/>
  <c r="T21" i="15" s="1"/>
  <c r="I21" i="16"/>
  <c r="S21" i="15" s="1"/>
  <c r="V20" i="16"/>
  <c r="T20" i="15" s="1"/>
  <c r="I20" i="16"/>
  <c r="S20" i="15" s="1"/>
  <c r="V19" i="16"/>
  <c r="T19" i="15" s="1"/>
  <c r="I19" i="16"/>
  <c r="S19" i="15" s="1"/>
  <c r="V18" i="16"/>
  <c r="T18" i="15" s="1"/>
  <c r="I18" i="16"/>
  <c r="S18" i="15" s="1"/>
  <c r="V17" i="16"/>
  <c r="T17" i="15" s="1"/>
  <c r="I17" i="16"/>
  <c r="S17" i="15" s="1"/>
  <c r="V16" i="16"/>
  <c r="T16" i="15" s="1"/>
  <c r="I16" i="16"/>
  <c r="S16" i="15" s="1"/>
  <c r="V15" i="16"/>
  <c r="I15" i="16"/>
  <c r="S15" i="15" s="1"/>
  <c r="V14" i="16"/>
  <c r="T14" i="15" s="1"/>
  <c r="I14" i="16"/>
  <c r="S14" i="15" s="1"/>
  <c r="V13" i="16"/>
  <c r="T11" i="15" s="1"/>
  <c r="I13" i="16"/>
  <c r="S11" i="15" s="1"/>
  <c r="V12" i="16"/>
  <c r="T10" i="15" s="1"/>
  <c r="I12" i="16"/>
  <c r="S10" i="15" s="1"/>
  <c r="V11" i="16"/>
  <c r="T9" i="15" s="1"/>
  <c r="I11" i="16"/>
  <c r="S9" i="15" s="1"/>
  <c r="T15" i="15" l="1"/>
  <c r="T13" i="15"/>
  <c r="U13" i="15" s="1"/>
  <c r="U14" i="15"/>
  <c r="AC24" i="15"/>
  <c r="U24" i="15"/>
  <c r="L24" i="15"/>
  <c r="AC23" i="15"/>
  <c r="U23" i="15"/>
  <c r="L23" i="15"/>
  <c r="AC22" i="15"/>
  <c r="U22" i="15"/>
  <c r="L22" i="15"/>
  <c r="AC21" i="15"/>
  <c r="U21" i="15"/>
  <c r="L21" i="15"/>
  <c r="AC20" i="15"/>
  <c r="U20" i="15"/>
  <c r="L20" i="15"/>
  <c r="AC19" i="15"/>
  <c r="U19" i="15"/>
  <c r="L19" i="15"/>
  <c r="AC18" i="15"/>
  <c r="U18" i="15"/>
  <c r="L18" i="15"/>
  <c r="AC17" i="15"/>
  <c r="U17" i="15"/>
  <c r="L17" i="15"/>
  <c r="AC16" i="15"/>
  <c r="U16" i="15"/>
  <c r="L16" i="15"/>
  <c r="AC15" i="15"/>
  <c r="U15" i="15"/>
  <c r="L15" i="15"/>
  <c r="AC11" i="15"/>
  <c r="U11" i="15"/>
  <c r="L11" i="15"/>
  <c r="AC10" i="15"/>
  <c r="U10" i="15"/>
  <c r="L10" i="15"/>
  <c r="AC9" i="15"/>
  <c r="U9" i="15"/>
  <c r="W8" i="15"/>
  <c r="V7" i="15"/>
  <c r="V2" i="15" s="1"/>
  <c r="R7" i="15"/>
  <c r="R2" i="15" s="1"/>
  <c r="Q7" i="15"/>
  <c r="P7" i="15"/>
  <c r="P2" i="15" s="1"/>
  <c r="O7" i="15"/>
  <c r="O2" i="15" s="1"/>
  <c r="N7" i="15"/>
  <c r="N2" i="15" s="1"/>
  <c r="M7" i="15"/>
  <c r="M2" i="15" s="1"/>
  <c r="F7" i="15"/>
  <c r="F2" i="15" s="1"/>
  <c r="E7" i="15"/>
  <c r="E2" i="15" s="1"/>
  <c r="D7" i="15"/>
  <c r="Q2" i="15"/>
  <c r="W13" i="15" l="1"/>
  <c r="W12" i="15"/>
  <c r="W14" i="15"/>
  <c r="W25" i="15"/>
  <c r="D2" i="15"/>
  <c r="W7" i="15"/>
  <c r="W9" i="15"/>
  <c r="W10" i="15"/>
  <c r="W11" i="15"/>
  <c r="W15" i="15"/>
  <c r="W16" i="15"/>
  <c r="W17" i="15"/>
  <c r="W18" i="15"/>
  <c r="W19" i="15"/>
  <c r="W20" i="15"/>
  <c r="W21" i="15"/>
  <c r="W22" i="15"/>
  <c r="W23" i="15"/>
  <c r="W24" i="15"/>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E7" i="1" l="1"/>
  <c r="E2" i="1" s="1"/>
  <c r="V7" i="1"/>
  <c r="V2" i="1" s="1"/>
  <c r="R7" i="1"/>
  <c r="R2" i="1" s="1"/>
  <c r="Q7" i="1"/>
  <c r="Q2" i="1" s="1"/>
  <c r="P7" i="1"/>
  <c r="P2" i="1" s="1"/>
  <c r="O7" i="1"/>
  <c r="O2" i="1" s="1"/>
  <c r="N7" i="1"/>
  <c r="N2" i="1" s="1"/>
  <c r="M7" i="1"/>
  <c r="M2" i="1" s="1"/>
  <c r="F7" i="1"/>
  <c r="F2" i="1" s="1"/>
  <c r="D7" i="1"/>
  <c r="W8" i="1"/>
  <c r="W9" i="1" l="1"/>
  <c r="D2" i="1"/>
  <c r="W7" i="1"/>
  <c r="U87" i="1" l="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12" i="1"/>
  <c r="U10" i="1"/>
  <c r="U22" i="1"/>
  <c r="U18" i="1"/>
  <c r="U11" i="1"/>
  <c r="U26" i="1"/>
  <c r="U19" i="1"/>
  <c r="U20" i="1"/>
  <c r="U21" i="1"/>
  <c r="U24" i="1"/>
  <c r="U14" i="1"/>
  <c r="U23" i="1"/>
  <c r="U15" i="1"/>
  <c r="U13" i="1"/>
  <c r="U16" i="1"/>
  <c r="U25" i="1"/>
  <c r="U27" i="1"/>
  <c r="U17" i="1"/>
  <c r="U9" i="1"/>
  <c r="U88" i="1" l="1"/>
  <c r="U89" i="1"/>
  <c r="U90" i="1"/>
  <c r="U91" i="1"/>
  <c r="U92" i="1"/>
  <c r="U93" i="1"/>
  <c r="U94" i="1"/>
  <c r="U95" i="1"/>
  <c r="U96" i="1"/>
  <c r="U97" i="1"/>
  <c r="U98" i="1"/>
  <c r="U99" i="1"/>
  <c r="U100" i="1"/>
  <c r="U101" i="1"/>
  <c r="U102" i="1"/>
  <c r="U103" i="1"/>
  <c r="U104" i="1"/>
  <c r="U105" i="1"/>
  <c r="U106" i="1"/>
  <c r="U107" i="1"/>
  <c r="U108" i="1"/>
  <c r="U10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9" i="1"/>
  <c r="W17" i="1" l="1"/>
  <c r="W27" i="1"/>
  <c r="W25" i="1"/>
  <c r="W16" i="1"/>
  <c r="W13" i="1"/>
  <c r="W15" i="1"/>
  <c r="W23" i="1"/>
  <c r="W14" i="1"/>
  <c r="W24" i="1"/>
  <c r="W21" i="1"/>
  <c r="W20" i="1"/>
  <c r="W19" i="1"/>
  <c r="W26" i="1"/>
  <c r="W11" i="1"/>
  <c r="W18" i="1"/>
  <c r="W22" i="1"/>
  <c r="W10" i="1"/>
  <c r="W12" i="1"/>
  <c r="W28" i="1"/>
  <c r="X28" i="1" s="1"/>
  <c r="W29" i="1"/>
  <c r="X29" i="1" s="1"/>
  <c r="W30" i="1"/>
  <c r="X30" i="1" s="1"/>
  <c r="W31" i="1"/>
  <c r="X31" i="1" s="1"/>
  <c r="W32" i="1"/>
  <c r="X32" i="1" s="1"/>
  <c r="W33" i="1"/>
  <c r="X33" i="1" s="1"/>
  <c r="W34" i="1"/>
  <c r="X34" i="1" s="1"/>
  <c r="W35" i="1"/>
  <c r="X35" i="1" s="1"/>
  <c r="W36" i="1"/>
  <c r="X36" i="1" s="1"/>
  <c r="W37" i="1"/>
  <c r="X37" i="1" s="1"/>
  <c r="W38" i="1"/>
  <c r="X38" i="1" s="1"/>
  <c r="W39" i="1"/>
  <c r="X39" i="1" s="1"/>
  <c r="W40" i="1"/>
  <c r="X40" i="1" s="1"/>
  <c r="W41" i="1"/>
  <c r="X41" i="1" s="1"/>
  <c r="W42" i="1"/>
  <c r="X42" i="1" s="1"/>
  <c r="W43" i="1"/>
  <c r="X43" i="1" s="1"/>
  <c r="W44" i="1"/>
  <c r="X44" i="1" s="1"/>
  <c r="W45" i="1"/>
  <c r="X45" i="1" s="1"/>
  <c r="W46" i="1"/>
  <c r="X46" i="1" s="1"/>
  <c r="W47" i="1"/>
  <c r="X47" i="1" s="1"/>
  <c r="W48" i="1"/>
  <c r="X48" i="1" s="1"/>
  <c r="W49" i="1"/>
  <c r="X49" i="1" s="1"/>
  <c r="W50" i="1"/>
  <c r="X50" i="1" s="1"/>
  <c r="W51" i="1"/>
  <c r="X51" i="1" s="1"/>
  <c r="W52" i="1"/>
  <c r="X52" i="1" s="1"/>
  <c r="W53" i="1"/>
  <c r="X53" i="1" s="1"/>
  <c r="W54" i="1"/>
  <c r="X54" i="1" s="1"/>
  <c r="W55" i="1"/>
  <c r="X55" i="1" s="1"/>
  <c r="W56" i="1"/>
  <c r="X56" i="1" s="1"/>
  <c r="W57" i="1"/>
  <c r="X57" i="1" s="1"/>
  <c r="W58" i="1"/>
  <c r="X58" i="1" s="1"/>
  <c r="W59" i="1"/>
  <c r="X59" i="1" s="1"/>
  <c r="W60" i="1"/>
  <c r="X60" i="1" s="1"/>
  <c r="W61" i="1"/>
  <c r="X61" i="1" s="1"/>
  <c r="W62" i="1"/>
  <c r="X62" i="1" s="1"/>
  <c r="W63" i="1"/>
  <c r="X63" i="1" s="1"/>
  <c r="W64" i="1"/>
  <c r="X64" i="1" s="1"/>
  <c r="W65" i="1"/>
  <c r="X65" i="1" s="1"/>
  <c r="W66" i="1"/>
  <c r="X66" i="1" s="1"/>
  <c r="W67" i="1"/>
  <c r="X67" i="1" s="1"/>
  <c r="W68" i="1"/>
  <c r="X68" i="1" s="1"/>
  <c r="W69" i="1"/>
  <c r="X69" i="1" s="1"/>
  <c r="W70" i="1"/>
  <c r="X70" i="1" s="1"/>
  <c r="W71" i="1"/>
  <c r="X71" i="1" s="1"/>
  <c r="W72" i="1"/>
  <c r="X72" i="1" s="1"/>
  <c r="W73" i="1"/>
  <c r="X73" i="1" s="1"/>
  <c r="W74" i="1"/>
  <c r="X74" i="1" s="1"/>
  <c r="W75" i="1"/>
  <c r="X75" i="1" s="1"/>
  <c r="W76" i="1"/>
  <c r="X76" i="1" s="1"/>
  <c r="W77" i="1"/>
  <c r="X77" i="1" s="1"/>
  <c r="W78" i="1"/>
  <c r="X78" i="1" s="1"/>
  <c r="W79" i="1"/>
  <c r="X79" i="1" s="1"/>
  <c r="W80" i="1"/>
  <c r="X80" i="1" s="1"/>
  <c r="W81" i="1"/>
  <c r="X81" i="1" s="1"/>
  <c r="W82" i="1"/>
  <c r="X82" i="1" s="1"/>
  <c r="W83" i="1"/>
  <c r="X83" i="1" s="1"/>
  <c r="W84" i="1"/>
  <c r="X84" i="1" s="1"/>
  <c r="W85" i="1"/>
  <c r="X85" i="1" s="1"/>
  <c r="W86" i="1"/>
  <c r="X86" i="1" s="1"/>
  <c r="W87" i="1"/>
  <c r="X87" i="1" s="1"/>
  <c r="W88" i="1"/>
  <c r="X88" i="1" s="1"/>
  <c r="W89" i="1"/>
  <c r="X89" i="1" s="1"/>
  <c r="W90" i="1"/>
  <c r="X90" i="1" s="1"/>
  <c r="W91" i="1"/>
  <c r="X91" i="1" s="1"/>
  <c r="W92" i="1"/>
  <c r="X92" i="1" s="1"/>
  <c r="W93" i="1"/>
  <c r="X93" i="1" s="1"/>
  <c r="W94" i="1"/>
  <c r="X94" i="1" s="1"/>
  <c r="W95" i="1"/>
  <c r="X95" i="1" s="1"/>
  <c r="W96" i="1"/>
  <c r="X96" i="1" s="1"/>
  <c r="W97" i="1"/>
  <c r="X97" i="1" s="1"/>
  <c r="W98" i="1"/>
  <c r="X98" i="1" s="1"/>
  <c r="W99" i="1"/>
  <c r="X99" i="1" s="1"/>
  <c r="W100" i="1"/>
  <c r="X100" i="1" s="1"/>
  <c r="W101" i="1"/>
  <c r="X101" i="1" s="1"/>
  <c r="W102" i="1"/>
  <c r="X102" i="1" s="1"/>
  <c r="W103" i="1"/>
  <c r="X103" i="1" s="1"/>
  <c r="W104" i="1"/>
  <c r="X104" i="1" s="1"/>
  <c r="W105" i="1"/>
  <c r="X105" i="1" s="1"/>
  <c r="W106" i="1"/>
  <c r="X106" i="1" s="1"/>
  <c r="W107" i="1"/>
  <c r="X107" i="1" s="1"/>
  <c r="W108" i="1"/>
  <c r="X108" i="1" s="1"/>
  <c r="W109" i="1"/>
  <c r="X109" i="1" s="1"/>
  <c r="A51" i="9" l="1"/>
  <c r="A5" i="9"/>
  <c r="A18" i="9"/>
  <c r="A26" i="9"/>
  <c r="A34" i="9"/>
  <c r="A42" i="9"/>
  <c r="A46" i="9"/>
  <c r="A54" i="9"/>
  <c r="A62" i="9"/>
  <c r="A66" i="9"/>
  <c r="A74" i="9"/>
  <c r="A78" i="9"/>
  <c r="A101" i="9"/>
  <c r="A7" i="9"/>
  <c r="A11" i="9"/>
  <c r="A23" i="9"/>
  <c r="A27" i="9"/>
  <c r="A31" i="9"/>
  <c r="A39" i="9"/>
  <c r="A43" i="9"/>
  <c r="A104" i="9"/>
  <c r="A100" i="9"/>
  <c r="A96" i="9"/>
  <c r="A8" i="9"/>
  <c r="A12" i="9"/>
  <c r="A16" i="9"/>
  <c r="A24" i="9"/>
  <c r="A28" i="9"/>
  <c r="A32" i="9"/>
  <c r="A36" i="9"/>
  <c r="A40" i="9"/>
  <c r="A44" i="9"/>
  <c r="A48" i="9"/>
  <c r="A52" i="9"/>
  <c r="A56" i="9"/>
  <c r="A60" i="9"/>
  <c r="A64" i="9"/>
  <c r="A68" i="9"/>
  <c r="A72" i="9"/>
  <c r="A76" i="9"/>
  <c r="A80" i="9"/>
  <c r="A84" i="9"/>
  <c r="A92" i="9"/>
  <c r="A9" i="9"/>
  <c r="A13" i="9"/>
  <c r="A17" i="9"/>
  <c r="A21" i="9"/>
  <c r="A25" i="9"/>
  <c r="A29" i="9"/>
  <c r="A33" i="9"/>
  <c r="A37" i="9"/>
  <c r="A41" i="9"/>
  <c r="A45" i="9"/>
  <c r="A49" i="9"/>
  <c r="A53" i="9"/>
  <c r="A57" i="9"/>
  <c r="A61" i="9"/>
  <c r="A65" i="9"/>
  <c r="A69" i="9"/>
  <c r="A73" i="9"/>
  <c r="A77" i="9"/>
  <c r="A81" i="9"/>
  <c r="A85" i="9"/>
  <c r="A89" i="9"/>
  <c r="A93" i="9"/>
  <c r="A98" i="9"/>
  <c r="A90" i="9"/>
  <c r="A75" i="9"/>
  <c r="A59" i="9"/>
  <c r="A6" i="9"/>
  <c r="A58" i="9"/>
  <c r="A82" i="9"/>
  <c r="A103" i="9"/>
  <c r="A95" i="9"/>
  <c r="A87" i="9"/>
  <c r="A71" i="9"/>
  <c r="A55" i="9"/>
  <c r="A14" i="9"/>
  <c r="A30" i="9"/>
  <c r="A19" i="9"/>
  <c r="A102" i="9"/>
  <c r="A94" i="9"/>
  <c r="A83" i="9"/>
  <c r="A67" i="9"/>
  <c r="A10" i="9"/>
  <c r="A22" i="9"/>
  <c r="A38" i="9"/>
  <c r="A50" i="9"/>
  <c r="A70" i="9"/>
  <c r="A86" i="9"/>
  <c r="A97" i="9"/>
  <c r="A15" i="9"/>
  <c r="A35" i="9"/>
  <c r="A20" i="9"/>
  <c r="A88" i="9"/>
  <c r="A99" i="9"/>
  <c r="A91" i="9"/>
  <c r="A79" i="9"/>
  <c r="A63" i="9"/>
  <c r="A47" i="9"/>
  <c r="B104" i="9" l="1"/>
  <c r="B38" i="9"/>
  <c r="B40" i="9"/>
  <c r="B42" i="9"/>
  <c r="B44" i="9"/>
  <c r="B39" i="9"/>
  <c r="B43" i="9"/>
  <c r="B45" i="9"/>
  <c r="B36" i="9"/>
  <c r="B35" i="9"/>
  <c r="B46" i="9"/>
  <c r="B97" i="9"/>
  <c r="B89" i="9"/>
  <c r="B81" i="9"/>
  <c r="B77" i="9"/>
  <c r="B96" i="9"/>
  <c r="B88" i="9"/>
  <c r="B84" i="9"/>
  <c r="B80" i="9"/>
  <c r="B72" i="9"/>
  <c r="B99" i="9"/>
  <c r="B95" i="9"/>
  <c r="B91" i="9"/>
  <c r="B87" i="9"/>
  <c r="B83" i="9"/>
  <c r="B79" i="9"/>
  <c r="B75" i="9"/>
  <c r="B71" i="9"/>
  <c r="B102" i="9"/>
  <c r="B98" i="9"/>
  <c r="B94" i="9"/>
  <c r="B90" i="9"/>
  <c r="B86" i="9"/>
  <c r="B82" i="9"/>
  <c r="B78" i="9"/>
  <c r="B74" i="9"/>
  <c r="B70" i="9"/>
  <c r="B54" i="9"/>
  <c r="B58" i="9"/>
  <c r="B62" i="9"/>
  <c r="B66" i="9"/>
  <c r="B47" i="9"/>
  <c r="B51" i="9"/>
  <c r="B55" i="9"/>
  <c r="B59" i="9"/>
  <c r="B63" i="9"/>
  <c r="B67" i="9"/>
  <c r="B93" i="9"/>
  <c r="B92" i="9"/>
  <c r="B76" i="9"/>
  <c r="B68" i="9"/>
  <c r="B52" i="9"/>
  <c r="B56" i="9"/>
  <c r="B60" i="9"/>
  <c r="B64" i="9"/>
  <c r="B101" i="9"/>
  <c r="B85" i="9"/>
  <c r="B73" i="9"/>
  <c r="B69" i="9"/>
  <c r="B100" i="9"/>
  <c r="B103" i="9"/>
  <c r="B49" i="9"/>
  <c r="B53" i="9"/>
  <c r="B57" i="9"/>
  <c r="B61" i="9"/>
  <c r="B65" i="9"/>
  <c r="B48" i="9" l="1"/>
  <c r="B50" i="9"/>
  <c r="B41" i="9"/>
  <c r="B37" i="9"/>
  <c r="C104" i="9"/>
  <c r="F104" i="9" s="1"/>
  <c r="C43" i="9"/>
  <c r="F43" i="9" s="1"/>
  <c r="C55" i="9"/>
  <c r="F55" i="9" s="1"/>
  <c r="C63" i="9"/>
  <c r="F63" i="9" s="1"/>
  <c r="C71" i="9"/>
  <c r="F71" i="9" s="1"/>
  <c r="C75" i="9"/>
  <c r="F75" i="9" s="1"/>
  <c r="C87" i="9"/>
  <c r="F87" i="9" s="1"/>
  <c r="C91" i="9"/>
  <c r="F91" i="9" s="1"/>
  <c r="C99" i="9"/>
  <c r="F99" i="9" s="1"/>
  <c r="C44" i="9"/>
  <c r="F44" i="9" s="1"/>
  <c r="C48" i="9"/>
  <c r="F48" i="9" s="1"/>
  <c r="C56" i="9"/>
  <c r="F56" i="9" s="1"/>
  <c r="C68" i="9"/>
  <c r="F68" i="9" s="1"/>
  <c r="C76" i="9"/>
  <c r="F76" i="9" s="1"/>
  <c r="C80" i="9"/>
  <c r="F80" i="9" s="1"/>
  <c r="C88" i="9"/>
  <c r="F88" i="9" s="1"/>
  <c r="C92" i="9"/>
  <c r="F92" i="9" s="1"/>
  <c r="C100" i="9"/>
  <c r="F100" i="9" s="1"/>
  <c r="C37" i="9"/>
  <c r="F37" i="9" s="1"/>
  <c r="C41" i="9"/>
  <c r="F41" i="9" s="1"/>
  <c r="C49" i="9"/>
  <c r="F49" i="9" s="1"/>
  <c r="C53" i="9"/>
  <c r="F53" i="9" s="1"/>
  <c r="C61" i="9"/>
  <c r="F61" i="9" s="1"/>
  <c r="C65" i="9"/>
  <c r="F65" i="9" s="1"/>
  <c r="C69" i="9"/>
  <c r="F69" i="9" s="1"/>
  <c r="C73" i="9"/>
  <c r="F73" i="9" s="1"/>
  <c r="C81" i="9"/>
  <c r="F81" i="9" s="1"/>
  <c r="C85" i="9"/>
  <c r="F85" i="9" s="1"/>
  <c r="C89" i="9"/>
  <c r="F89" i="9" s="1"/>
  <c r="C93" i="9"/>
  <c r="F93" i="9" s="1"/>
  <c r="C97" i="9"/>
  <c r="F97" i="9" s="1"/>
  <c r="C38" i="9"/>
  <c r="F38" i="9" s="1"/>
  <c r="C42" i="9"/>
  <c r="F42" i="9" s="1"/>
  <c r="C46" i="9"/>
  <c r="F46" i="9" s="1"/>
  <c r="C50" i="9"/>
  <c r="F50" i="9" s="1"/>
  <c r="C54" i="9"/>
  <c r="F54" i="9" s="1"/>
  <c r="C58" i="9"/>
  <c r="F58" i="9" s="1"/>
  <c r="C62" i="9"/>
  <c r="F62" i="9" s="1"/>
  <c r="C66" i="9"/>
  <c r="F66" i="9" s="1"/>
  <c r="C70" i="9"/>
  <c r="F70" i="9" s="1"/>
  <c r="C74" i="9"/>
  <c r="F74" i="9" s="1"/>
  <c r="C78" i="9"/>
  <c r="F78" i="9" s="1"/>
  <c r="C82" i="9"/>
  <c r="F82" i="9" s="1"/>
  <c r="C86" i="9"/>
  <c r="F86" i="9" s="1"/>
  <c r="C90" i="9"/>
  <c r="F90" i="9" s="1"/>
  <c r="C94" i="9"/>
  <c r="F94" i="9" s="1"/>
  <c r="C98" i="9"/>
  <c r="F98" i="9" s="1"/>
  <c r="C102" i="9"/>
  <c r="F102" i="9" s="1"/>
  <c r="C39" i="9"/>
  <c r="F39" i="9" s="1"/>
  <c r="C47" i="9"/>
  <c r="F47" i="9" s="1"/>
  <c r="C59" i="9"/>
  <c r="F59" i="9" s="1"/>
  <c r="C79" i="9"/>
  <c r="F79" i="9" s="1"/>
  <c r="C95" i="9"/>
  <c r="F95" i="9" s="1"/>
  <c r="C40" i="9"/>
  <c r="F40" i="9" s="1"/>
  <c r="C60" i="9"/>
  <c r="F60" i="9" s="1"/>
  <c r="C51" i="9"/>
  <c r="F51" i="9" s="1"/>
  <c r="C67" i="9"/>
  <c r="F67" i="9" s="1"/>
  <c r="C83" i="9"/>
  <c r="F83" i="9" s="1"/>
  <c r="C103" i="9"/>
  <c r="F103" i="9" s="1"/>
  <c r="C36" i="9"/>
  <c r="F36" i="9" s="1"/>
  <c r="C52" i="9"/>
  <c r="F52" i="9" s="1"/>
  <c r="C64" i="9"/>
  <c r="F64" i="9" s="1"/>
  <c r="C72" i="9"/>
  <c r="F72" i="9" s="1"/>
  <c r="C84" i="9"/>
  <c r="F84" i="9" s="1"/>
  <c r="C96" i="9"/>
  <c r="F96" i="9" s="1"/>
  <c r="C45" i="9"/>
  <c r="F45" i="9" s="1"/>
  <c r="C57" i="9"/>
  <c r="F57" i="9" s="1"/>
  <c r="C77" i="9"/>
  <c r="F77" i="9" s="1"/>
  <c r="C101" i="9"/>
  <c r="F101" i="9" s="1"/>
  <c r="I2" i="9" l="1"/>
  <c r="E104" i="9" l="1"/>
  <c r="E103" i="9"/>
  <c r="E99" i="9"/>
  <c r="E95" i="9"/>
  <c r="E91" i="9"/>
  <c r="E87" i="9"/>
  <c r="E83" i="9"/>
  <c r="E79" i="9"/>
  <c r="E75" i="9"/>
  <c r="E71" i="9"/>
  <c r="E67" i="9"/>
  <c r="E63" i="9"/>
  <c r="E59" i="9"/>
  <c r="E90" i="9"/>
  <c r="E82" i="9"/>
  <c r="E78" i="9"/>
  <c r="E74" i="9"/>
  <c r="E70" i="9"/>
  <c r="E66" i="9"/>
  <c r="E62" i="9"/>
  <c r="E58" i="9"/>
  <c r="E94" i="9"/>
  <c r="E97" i="9"/>
  <c r="E89" i="9"/>
  <c r="E85" i="9"/>
  <c r="E81" i="9"/>
  <c r="E77" i="9"/>
  <c r="E73" i="9"/>
  <c r="E69" i="9"/>
  <c r="E65" i="9"/>
  <c r="E61" i="9"/>
  <c r="E57" i="9"/>
  <c r="E102" i="9"/>
  <c r="E98" i="9"/>
  <c r="E86" i="9"/>
  <c r="E101" i="9"/>
  <c r="E93" i="9"/>
  <c r="E100" i="9"/>
  <c r="E96" i="9"/>
  <c r="E92" i="9"/>
  <c r="E88" i="9"/>
  <c r="E84" i="9"/>
  <c r="E80" i="9"/>
  <c r="E76" i="9"/>
  <c r="E72" i="9"/>
  <c r="E68" i="9"/>
  <c r="E64" i="9"/>
  <c r="E60" i="9"/>
  <c r="E53" i="9"/>
  <c r="E33" i="9" l="1"/>
  <c r="E24" i="9"/>
  <c r="E28" i="9"/>
  <c r="E32" i="9"/>
  <c r="E56" i="9"/>
  <c r="E39" i="9"/>
  <c r="E42" i="9"/>
  <c r="E41" i="9"/>
  <c r="E49" i="9"/>
  <c r="E36" i="9"/>
  <c r="E44" i="9"/>
  <c r="E52" i="9"/>
  <c r="E43" i="9"/>
  <c r="E51" i="9"/>
  <c r="E38" i="9"/>
  <c r="E46" i="9"/>
  <c r="E37" i="9"/>
  <c r="E45" i="9"/>
  <c r="E40" i="9"/>
  <c r="E23" i="9"/>
  <c r="E47" i="9"/>
  <c r="E50" i="9"/>
  <c r="E29" i="9"/>
  <c r="E31" i="9"/>
  <c r="E34" i="9"/>
  <c r="E27" i="9"/>
  <c r="E35" i="9"/>
  <c r="E26" i="9"/>
  <c r="E30" i="9"/>
  <c r="E25" i="9"/>
  <c r="E14" i="9" l="1"/>
  <c r="E48" i="9"/>
  <c r="E19" i="9"/>
  <c r="E55" i="9"/>
  <c r="E54" i="9"/>
  <c r="E22" i="9"/>
  <c r="E18" i="9"/>
  <c r="E11" i="9"/>
  <c r="E5" i="9"/>
  <c r="E15" i="9"/>
  <c r="E12" i="9"/>
  <c r="E16" i="9"/>
  <c r="E13" i="9"/>
  <c r="E10" i="9"/>
  <c r="E6" i="9"/>
  <c r="E7" i="9"/>
  <c r="E21" i="9"/>
  <c r="E8" i="9"/>
  <c r="E20" i="9"/>
  <c r="E9" i="9"/>
  <c r="E17" i="9"/>
  <c r="B5" i="9" l="1"/>
  <c r="C35" i="9" l="1"/>
  <c r="F35" i="9" s="1"/>
  <c r="C34" i="9"/>
  <c r="F34" i="9" s="1"/>
  <c r="C33" i="9"/>
  <c r="F33" i="9" s="1"/>
  <c r="C32" i="9"/>
  <c r="F32" i="9" s="1"/>
  <c r="C31" i="9"/>
  <c r="F31" i="9" s="1"/>
  <c r="C30" i="9"/>
  <c r="F30" i="9" s="1"/>
  <c r="C29" i="9"/>
  <c r="C28" i="9"/>
  <c r="C27" i="9"/>
  <c r="C26" i="9"/>
  <c r="C24" i="9"/>
  <c r="C23" i="9"/>
  <c r="C22"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C21" i="9"/>
  <c r="C20" i="9"/>
  <c r="C19" i="9"/>
  <c r="C18" i="9"/>
  <c r="C17" i="9"/>
  <c r="C16" i="9"/>
  <c r="C15" i="9"/>
  <c r="C14" i="9"/>
  <c r="C13" i="9"/>
  <c r="C12" i="9"/>
  <c r="C11" i="9"/>
  <c r="C10" i="9"/>
  <c r="C9" i="9"/>
  <c r="C8" i="9"/>
  <c r="C7" i="9"/>
  <c r="C6" i="9"/>
  <c r="C25" i="9"/>
  <c r="D104" i="9" l="1"/>
  <c r="D84" i="9"/>
  <c r="D64" i="9"/>
  <c r="D59" i="9"/>
  <c r="D96" i="9"/>
  <c r="D72" i="9"/>
  <c r="D91" i="9"/>
  <c r="D71" i="9"/>
  <c r="D94" i="9"/>
  <c r="D78" i="9"/>
  <c r="D62" i="9"/>
  <c r="D97" i="9"/>
  <c r="D81" i="9"/>
  <c r="D65" i="9"/>
  <c r="D60" i="9"/>
  <c r="D95" i="9"/>
  <c r="D55" i="9"/>
  <c r="D100" i="9"/>
  <c r="D68" i="9"/>
  <c r="D87" i="9"/>
  <c r="D63" i="9"/>
  <c r="D90" i="9"/>
  <c r="D74" i="9"/>
  <c r="D58" i="9"/>
  <c r="D93" i="9"/>
  <c r="D77" i="9"/>
  <c r="D61" i="9"/>
  <c r="D88" i="9"/>
  <c r="D79" i="9"/>
  <c r="D92" i="9"/>
  <c r="D103" i="9"/>
  <c r="D83" i="9"/>
  <c r="D102" i="9"/>
  <c r="D86" i="9"/>
  <c r="D70" i="9"/>
  <c r="D89" i="9"/>
  <c r="D73" i="9"/>
  <c r="D57" i="9"/>
  <c r="D76" i="9"/>
  <c r="D67" i="9"/>
  <c r="D80" i="9"/>
  <c r="D99" i="9"/>
  <c r="D75" i="9"/>
  <c r="D98" i="9"/>
  <c r="D82" i="9"/>
  <c r="D66" i="9"/>
  <c r="D101" i="9"/>
  <c r="D85" i="9"/>
  <c r="D69" i="9"/>
  <c r="D53" i="9"/>
  <c r="D14" i="9"/>
  <c r="D7" i="9"/>
  <c r="D5" i="9"/>
  <c r="C5" i="9"/>
  <c r="D6" i="9" l="1"/>
  <c r="D13" i="9"/>
  <c r="D8" i="9"/>
  <c r="D11" i="9"/>
  <c r="D9" i="9"/>
  <c r="D17" i="9"/>
  <c r="D10" i="9"/>
  <c r="D18" i="9"/>
  <c r="D21" i="9"/>
  <c r="D16" i="9"/>
  <c r="D37" i="9"/>
  <c r="D41" i="9"/>
  <c r="D40" i="9"/>
  <c r="D45" i="9"/>
  <c r="D48" i="9"/>
  <c r="D49" i="9"/>
  <c r="D52" i="9"/>
  <c r="D39" i="9"/>
  <c r="D12" i="9"/>
  <c r="D56" i="9"/>
  <c r="D36" i="9"/>
  <c r="D44" i="9"/>
  <c r="D51" i="9"/>
  <c r="D38" i="9"/>
  <c r="D42" i="9"/>
  <c r="D43" i="9"/>
  <c r="D46" i="9"/>
  <c r="D47" i="9"/>
  <c r="D50" i="9"/>
  <c r="D54" i="9"/>
  <c r="D15" i="9"/>
  <c r="D19" i="9"/>
  <c r="D20" i="9"/>
  <c r="D34" i="9"/>
  <c r="D35" i="9"/>
  <c r="D23" i="9"/>
  <c r="D25" i="9"/>
  <c r="D29" i="9"/>
  <c r="D22" i="9"/>
  <c r="D32" i="9"/>
  <c r="D26" i="9"/>
  <c r="D30" i="9"/>
  <c r="D31" i="9"/>
  <c r="D28" i="9"/>
  <c r="D33" i="9"/>
  <c r="D27" i="9"/>
  <c r="D24" i="9"/>
  <c r="F3" i="9" l="1" a="1"/>
  <c r="G3" i="9" s="1"/>
  <c r="I3" i="9" l="1"/>
  <c r="F3" i="9"/>
  <c r="H3" i="9"/>
  <c r="F8" i="9" l="1"/>
  <c r="G8" i="9" s="1"/>
  <c r="F23" i="9"/>
  <c r="G23" i="9" s="1"/>
  <c r="F13" i="9"/>
  <c r="G13" i="9" s="1"/>
  <c r="F29" i="9"/>
  <c r="G29" i="9" s="1"/>
  <c r="F18" i="9"/>
  <c r="G18" i="9" s="1"/>
  <c r="F15" i="9"/>
  <c r="G15" i="9" s="1"/>
  <c r="F21" i="9"/>
  <c r="G21" i="9" s="1"/>
  <c r="F12" i="9"/>
  <c r="G12" i="9" s="1"/>
  <c r="F28" i="9"/>
  <c r="G28" i="9" s="1"/>
  <c r="F17" i="9"/>
  <c r="G17" i="9" s="1"/>
  <c r="F6" i="9"/>
  <c r="G6" i="9" s="1"/>
  <c r="F26" i="9"/>
  <c r="G26" i="9" s="1"/>
  <c r="F19" i="9"/>
  <c r="G19" i="9" s="1"/>
  <c r="F25" i="9"/>
  <c r="G25" i="9" s="1"/>
  <c r="F10" i="9"/>
  <c r="G10" i="9" s="1"/>
  <c r="F7" i="9"/>
  <c r="G7" i="9" s="1"/>
  <c r="F22" i="9"/>
  <c r="G22" i="9" s="1"/>
  <c r="F20" i="9"/>
  <c r="G20" i="9" s="1"/>
  <c r="F9" i="9"/>
  <c r="G9" i="9" s="1"/>
  <c r="F24" i="9"/>
  <c r="G24" i="9" s="1"/>
  <c r="F14" i="9"/>
  <c r="G14" i="9" s="1"/>
  <c r="F11" i="9"/>
  <c r="G11" i="9" s="1"/>
  <c r="F27" i="9"/>
  <c r="G27" i="9" s="1"/>
  <c r="F16" i="9"/>
  <c r="G16" i="9" s="1"/>
  <c r="F5" i="9"/>
  <c r="G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W5" authorId="0" shapeId="0" xr:uid="{00000000-0006-0000-0000-000001000000}">
      <text>
        <r>
          <rPr>
            <sz val="14"/>
            <color indexed="81"/>
            <rFont val="Tahoma"/>
            <family val="2"/>
          </rPr>
          <t>valeur stdandard(1000) servant de pointage total pour l'échelle. La cellule est en mauve.
Si vous changez la valeur, le niveau de l'échelle et le pointage de l'échelle varieront en conséquence. 
Par contre la cellule deviendra rouge pour vous aviser que la valeur standard n'est pas respectée.</t>
        </r>
        <r>
          <rPr>
            <sz val="9"/>
            <color indexed="81"/>
            <rFont val="Tahoma"/>
            <family val="2"/>
          </rPr>
          <t xml:space="preserve">
</t>
        </r>
      </text>
    </comment>
    <comment ref="D6" authorId="0" shapeId="0" xr:uid="{00000000-0006-0000-0000-000002000000}">
      <text>
        <r>
          <rPr>
            <sz val="14"/>
            <color indexed="81"/>
            <rFont val="Tahoma"/>
            <family val="2"/>
          </rPr>
          <t>inscrire un chiffre d'un minimum de 1</t>
        </r>
      </text>
    </comment>
    <comment ref="E6" authorId="0" shapeId="0" xr:uid="{00000000-0006-0000-0000-000003000000}">
      <text>
        <r>
          <rPr>
            <sz val="14"/>
            <color indexed="81"/>
            <rFont val="Tahoma"/>
            <family val="2"/>
          </rPr>
          <t>inscrire un chiffre d'un minimum de 1</t>
        </r>
      </text>
    </comment>
    <comment ref="F6" authorId="0" shapeId="0" xr:uid="{00000000-0006-0000-0000-000004000000}">
      <text>
        <r>
          <rPr>
            <sz val="14"/>
            <color indexed="81"/>
            <rFont val="Tahoma"/>
            <family val="2"/>
          </rPr>
          <t>inscrire un chiffre d'un minimum de 1</t>
        </r>
      </text>
    </comment>
    <comment ref="M6" authorId="0" shapeId="0" xr:uid="{00000000-0006-0000-0000-000005000000}">
      <text>
        <r>
          <rPr>
            <sz val="14"/>
            <color indexed="81"/>
            <rFont val="Tahoma"/>
            <family val="2"/>
          </rPr>
          <t>inscrire un chiffre d'un minimum de 1</t>
        </r>
      </text>
    </comment>
    <comment ref="N6" authorId="0" shapeId="0" xr:uid="{00000000-0006-0000-0000-000006000000}">
      <text>
        <r>
          <rPr>
            <sz val="14"/>
            <color indexed="81"/>
            <rFont val="Tahoma"/>
            <family val="2"/>
          </rPr>
          <t>inscrire un chiffre d'un minimum de 1</t>
        </r>
      </text>
    </comment>
    <comment ref="O6" authorId="0" shapeId="0" xr:uid="{00000000-0006-0000-0000-000007000000}">
      <text>
        <r>
          <rPr>
            <sz val="14"/>
            <color indexed="81"/>
            <rFont val="Tahoma"/>
            <family val="2"/>
          </rPr>
          <t>inscrire un chiffre d'un minimum de 1</t>
        </r>
      </text>
    </comment>
    <comment ref="P6" authorId="0" shapeId="0" xr:uid="{00000000-0006-0000-0000-000008000000}">
      <text>
        <r>
          <rPr>
            <sz val="14"/>
            <color indexed="81"/>
            <rFont val="Tahoma"/>
            <family val="2"/>
          </rPr>
          <t>inscrire un chiffre d'un minimum de 1</t>
        </r>
      </text>
    </comment>
    <comment ref="Q6" authorId="0" shapeId="0" xr:uid="{00000000-0006-0000-0000-000009000000}">
      <text>
        <r>
          <rPr>
            <sz val="14"/>
            <color indexed="81"/>
            <rFont val="Tahoma"/>
            <family val="2"/>
          </rPr>
          <t>inscrire un chiffre d'un minimum de 1</t>
        </r>
      </text>
    </comment>
    <comment ref="R6" authorId="0" shapeId="0" xr:uid="{00000000-0006-0000-0000-00000A000000}">
      <text>
        <r>
          <rPr>
            <sz val="14"/>
            <color indexed="81"/>
            <rFont val="Tahoma"/>
            <family val="2"/>
          </rPr>
          <t>inscrire un chiffre d'un minimum de 1</t>
        </r>
      </text>
    </comment>
    <comment ref="V6" authorId="0" shapeId="0" xr:uid="{00000000-0006-0000-0000-00000B000000}">
      <text>
        <r>
          <rPr>
            <sz val="14"/>
            <color indexed="81"/>
            <rFont val="Tahoma"/>
            <family val="2"/>
          </rPr>
          <t>inscrire un chiffre d'un minimum de 1</t>
        </r>
      </text>
    </comment>
    <comment ref="W7" authorId="0" shapeId="0" xr:uid="{00000000-0006-0000-0000-00000C000000}">
      <text>
        <r>
          <rPr>
            <sz val="14"/>
            <color indexed="81"/>
            <rFont val="Tahoma"/>
            <family val="2"/>
          </rPr>
          <t xml:space="preserve">
Doit être égal au pointage de l'échelle X%
       </t>
        </r>
        <r>
          <rPr>
            <sz val="9"/>
            <color indexed="81"/>
            <rFont val="Tahoma"/>
            <family val="2"/>
          </rPr>
          <t xml:space="preserve">
</t>
        </r>
      </text>
    </comment>
    <comment ref="W8" authorId="0" shapeId="0" xr:uid="{00000000-0006-0000-0000-00000D000000}">
      <text>
        <r>
          <rPr>
            <sz val="14"/>
            <color indexed="81"/>
            <rFont val="Tahoma"/>
            <family val="2"/>
          </rPr>
          <t>Doit être égal à 100%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W5" authorId="0" shapeId="0" xr:uid="{00000000-0006-0000-0100-000001000000}">
      <text>
        <r>
          <rPr>
            <sz val="14"/>
            <color indexed="81"/>
            <rFont val="Tahoma"/>
            <family val="2"/>
          </rPr>
          <t>valeur stdandard(1000) servant de pointage total pour l'échelle. La cellule est en mauve.
Si vous changez la valeur, le niveau de l'échelle et le pointage de l'échelle varieront en conséquence. 
Par contre la cellule deviendra rouge pour vous aviser que la valeur standard n'est pas respectée.</t>
        </r>
        <r>
          <rPr>
            <sz val="9"/>
            <color indexed="81"/>
            <rFont val="Tahoma"/>
            <family val="2"/>
          </rPr>
          <t xml:space="preserve">
</t>
        </r>
      </text>
    </comment>
    <comment ref="D6" authorId="0" shapeId="0" xr:uid="{00000000-0006-0000-0100-000002000000}">
      <text>
        <r>
          <rPr>
            <sz val="14"/>
            <color indexed="81"/>
            <rFont val="Tahoma"/>
            <family val="2"/>
          </rPr>
          <t>inscrire un chiffre d'un minimum de 1</t>
        </r>
      </text>
    </comment>
    <comment ref="E6" authorId="0" shapeId="0" xr:uid="{00000000-0006-0000-0100-000003000000}">
      <text>
        <r>
          <rPr>
            <sz val="14"/>
            <color indexed="81"/>
            <rFont val="Tahoma"/>
            <family val="2"/>
          </rPr>
          <t>inscrire un chiffre d'un minimum de 1</t>
        </r>
      </text>
    </comment>
    <comment ref="F6" authorId="0" shapeId="0" xr:uid="{00000000-0006-0000-0100-000004000000}">
      <text>
        <r>
          <rPr>
            <sz val="14"/>
            <color indexed="81"/>
            <rFont val="Tahoma"/>
            <family val="2"/>
          </rPr>
          <t>inscrire un chiffre d'un minimum de 1</t>
        </r>
      </text>
    </comment>
    <comment ref="M6" authorId="0" shapeId="0" xr:uid="{00000000-0006-0000-0100-000005000000}">
      <text>
        <r>
          <rPr>
            <sz val="14"/>
            <color indexed="81"/>
            <rFont val="Tahoma"/>
            <family val="2"/>
          </rPr>
          <t>inscrire un chiffre d'un minimum de 1</t>
        </r>
      </text>
    </comment>
    <comment ref="N6" authorId="0" shapeId="0" xr:uid="{00000000-0006-0000-0100-000006000000}">
      <text>
        <r>
          <rPr>
            <sz val="14"/>
            <color indexed="81"/>
            <rFont val="Tahoma"/>
            <family val="2"/>
          </rPr>
          <t>inscrire un chiffre d'un minimum de 1</t>
        </r>
      </text>
    </comment>
    <comment ref="O6" authorId="0" shapeId="0" xr:uid="{00000000-0006-0000-0100-000007000000}">
      <text>
        <r>
          <rPr>
            <sz val="14"/>
            <color indexed="81"/>
            <rFont val="Tahoma"/>
            <family val="2"/>
          </rPr>
          <t>inscrire un chiffre d'un minimum de 1</t>
        </r>
      </text>
    </comment>
    <comment ref="P6" authorId="0" shapeId="0" xr:uid="{00000000-0006-0000-0100-000008000000}">
      <text>
        <r>
          <rPr>
            <sz val="14"/>
            <color indexed="81"/>
            <rFont val="Tahoma"/>
            <family val="2"/>
          </rPr>
          <t>inscrire un chiffre d'un minimum de 1</t>
        </r>
      </text>
    </comment>
    <comment ref="Q6" authorId="0" shapeId="0" xr:uid="{00000000-0006-0000-0100-000009000000}">
      <text>
        <r>
          <rPr>
            <sz val="14"/>
            <color indexed="81"/>
            <rFont val="Tahoma"/>
            <family val="2"/>
          </rPr>
          <t>inscrire un chiffre d'un minimum de 1</t>
        </r>
      </text>
    </comment>
    <comment ref="R6" authorId="0" shapeId="0" xr:uid="{00000000-0006-0000-0100-00000A000000}">
      <text>
        <r>
          <rPr>
            <sz val="14"/>
            <color indexed="81"/>
            <rFont val="Tahoma"/>
            <family val="2"/>
          </rPr>
          <t>inscrire un chiffre d'un minimum de 1</t>
        </r>
      </text>
    </comment>
    <comment ref="V6" authorId="0" shapeId="0" xr:uid="{00000000-0006-0000-0100-00000B000000}">
      <text>
        <r>
          <rPr>
            <sz val="14"/>
            <color indexed="81"/>
            <rFont val="Tahoma"/>
            <family val="2"/>
          </rPr>
          <t>inscrire un chiffre d'un minimum de 1</t>
        </r>
      </text>
    </comment>
    <comment ref="W7" authorId="0" shapeId="0" xr:uid="{00000000-0006-0000-0100-00000C000000}">
      <text>
        <r>
          <rPr>
            <sz val="14"/>
            <color indexed="81"/>
            <rFont val="Tahoma"/>
            <family val="2"/>
          </rPr>
          <t xml:space="preserve">
Doit être égal au pointage de l'échelle X%
       </t>
        </r>
        <r>
          <rPr>
            <sz val="9"/>
            <color indexed="81"/>
            <rFont val="Tahoma"/>
            <family val="2"/>
          </rPr>
          <t xml:space="preserve">
</t>
        </r>
      </text>
    </comment>
    <comment ref="W8" authorId="0" shapeId="0" xr:uid="{00000000-0006-0000-0100-00000D000000}">
      <text>
        <r>
          <rPr>
            <sz val="14"/>
            <color indexed="81"/>
            <rFont val="Tahoma"/>
            <family val="2"/>
          </rPr>
          <t>Doit être égal à 100%</t>
        </r>
        <r>
          <rPr>
            <sz val="9"/>
            <color indexed="81"/>
            <rFont val="Tahoma"/>
            <family val="2"/>
          </rPr>
          <t xml:space="preserve">
</t>
        </r>
      </text>
    </comment>
  </commentList>
</comments>
</file>

<file path=xl/sharedStrings.xml><?xml version="1.0" encoding="utf-8"?>
<sst xmlns="http://schemas.openxmlformats.org/spreadsheetml/2006/main" count="349" uniqueCount="107">
  <si>
    <t xml:space="preserve">ventilation en % des S-F </t>
  </si>
  <si>
    <t>m</t>
  </si>
  <si>
    <t>f</t>
  </si>
  <si>
    <t>Formation</t>
  </si>
  <si>
    <t>Effort physique</t>
  </si>
  <si>
    <t>quarellage secondaire: gris pâle</t>
  </si>
  <si>
    <t>lignes verticales (abscisse ou X) en girs plus foncé</t>
  </si>
  <si>
    <t>ne pas mettre aucune ligne horizontale (couloir)</t>
  </si>
  <si>
    <t>TITRE: Droite de régression salariale - CEPM</t>
  </si>
  <si>
    <t>Nom X: valeur de la CE</t>
  </si>
  <si>
    <t>Nom Y: taux horaire CE</t>
  </si>
  <si>
    <t>Droite de régression sera calculée uniquement avec MASCULIN (FÉM EXCLUS )</t>
  </si>
  <si>
    <t>qualification requise</t>
  </si>
  <si>
    <t>responsabilité assumée</t>
  </si>
  <si>
    <t>Efforts requis</t>
  </si>
  <si>
    <t>Condition de travail</t>
  </si>
  <si>
    <t>pointage de l'échelle X %</t>
  </si>
  <si>
    <t>niveau de l'échelle des SF</t>
  </si>
  <si>
    <t>Imputabilité</t>
  </si>
  <si>
    <t>niv.- échelle</t>
  </si>
  <si>
    <t xml:space="preserve"> </t>
  </si>
  <si>
    <t>sous entrées de légendes cliqure "ajouter";dans le menu "modifier la série" remplir :nom de la série, valeur de X, valeur de Y (enlever le ={1} et insérer la série.</t>
  </si>
  <si>
    <r>
      <rPr>
        <b/>
        <sz val="14"/>
        <color theme="1"/>
        <rFont val="Calibri"/>
        <family val="2"/>
        <scheme val="minor"/>
      </rPr>
      <t>Insérer les points</t>
    </r>
    <r>
      <rPr>
        <sz val="14"/>
        <color theme="1"/>
        <rFont val="Calibri"/>
        <family val="2"/>
        <scheme val="minor"/>
      </rPr>
      <t xml:space="preserve"> : cliquer dans la surface graphique avec le bouton droit et un menu apparaît. Choisir "sélectionner des données"; et le menu sélectionner la source de données apparaît;</t>
    </r>
  </si>
  <si>
    <r>
      <rPr>
        <b/>
        <sz val="14"/>
        <color theme="1"/>
        <rFont val="Calibri"/>
        <family val="2"/>
        <scheme val="minor"/>
      </rPr>
      <t>Insérer la ligne de tendance</t>
    </r>
    <r>
      <rPr>
        <sz val="14"/>
        <color theme="1"/>
        <rFont val="Calibri"/>
        <family val="2"/>
        <scheme val="minor"/>
      </rPr>
      <t xml:space="preserve"> :  cliquer dans la surface graphique avec le bouton droit et cliquer l'onglet insertion (haut de la feuille) et chosir disposition de l'onglet vert à droite, cliquer sur courbes de tendance et choisir  courbe de tendance linéaire.</t>
    </r>
  </si>
  <si>
    <r>
      <rPr>
        <b/>
        <sz val="14"/>
        <color theme="1"/>
        <rFont val="Calibri"/>
        <family val="2"/>
        <scheme val="minor"/>
      </rPr>
      <t>Courbe de tendance (format)</t>
    </r>
    <r>
      <rPr>
        <sz val="14"/>
        <color theme="1"/>
        <rFont val="Calibri"/>
        <family val="2"/>
        <scheme val="minor"/>
      </rPr>
      <t>: cliquer sur la courbe (des points rond apparaissent aux extrémitées de la courbe; Cliquer bouton droit et choisir "format de la courbe de tendance; et choisir le type, la couleur et le style de la courbe.</t>
    </r>
  </si>
  <si>
    <r>
      <rPr>
        <b/>
        <sz val="14"/>
        <color theme="1"/>
        <rFont val="Calibri"/>
        <family val="2"/>
        <scheme val="minor"/>
      </rPr>
      <t>Insérer Y et R</t>
    </r>
    <r>
      <rPr>
        <b/>
        <vertAlign val="superscript"/>
        <sz val="14"/>
        <color theme="1"/>
        <rFont val="Calibri"/>
        <family val="2"/>
        <scheme val="minor"/>
      </rPr>
      <t>2</t>
    </r>
    <r>
      <rPr>
        <sz val="14"/>
        <color theme="1"/>
        <rFont val="Calibri"/>
        <family val="2"/>
        <scheme val="minor"/>
      </rPr>
      <t xml:space="preserve"> : cliquer sur la courbe (des points rond apparaissent aux extrémitées de la courbe; Cliquer bouton droit et choisir "format de la courbe de tendance; cocher les cases équation et coéficient dans le bas du menu.</t>
    </r>
  </si>
  <si>
    <t xml:space="preserve"> cliquer dans la surface graphique avec le bouton droit et cliquer l'onglet insertion (haut de la feuille) et chosir disposition de l'onglet vert à droite, cliquer selon le besoin: titres, étiquettes, axes etc…</t>
  </si>
  <si>
    <r>
      <t>Aller sur onglet insertion et choisir graph "</t>
    </r>
    <r>
      <rPr>
        <b/>
        <sz val="14"/>
        <color theme="1"/>
        <rFont val="Calibri"/>
        <family val="2"/>
        <scheme val="minor"/>
      </rPr>
      <t>nuage de points sans courbe</t>
    </r>
    <r>
      <rPr>
        <sz val="14"/>
        <color theme="1"/>
        <rFont val="Calibri"/>
        <family val="2"/>
        <scheme val="minor"/>
      </rPr>
      <t>".</t>
    </r>
  </si>
  <si>
    <t>total (pts)</t>
  </si>
  <si>
    <t>PRÉDOMINANCE</t>
  </si>
  <si>
    <t>ass. Coll</t>
  </si>
  <si>
    <t>régime retraite</t>
  </si>
  <si>
    <t>taux / h  max</t>
  </si>
  <si>
    <r>
      <rPr>
        <b/>
        <sz val="14"/>
        <color rgb="FFFF0000"/>
        <rFont val="Calibri"/>
        <family val="2"/>
        <scheme val="minor"/>
      </rPr>
      <t>Attention, refaire la courbe à chaque fois que vous triez.</t>
    </r>
    <r>
      <rPr>
        <b/>
        <sz val="14"/>
        <color theme="1"/>
        <rFont val="Calibri"/>
        <family val="2"/>
        <scheme val="minor"/>
      </rPr>
      <t xml:space="preserve"> De plus,assurez-vous les "m" et  les "f" sont correctement sélectionnés, sinon la courbe n'est pas bonne</t>
    </r>
  </si>
  <si>
    <r>
      <t>Si vous voulez trier, faites-le dans l'onglet "Data- détaillée"</t>
    </r>
    <r>
      <rPr>
        <b/>
        <sz val="14"/>
        <color rgb="FFFF0000"/>
        <rFont val="Calibri"/>
        <family val="2"/>
        <scheme val="minor"/>
      </rPr>
      <t>…pas ici.</t>
    </r>
  </si>
  <si>
    <t>S-F inconvénient</t>
  </si>
  <si>
    <t>Fréquence</t>
  </si>
  <si>
    <t>Écart  dû selon droite</t>
  </si>
  <si>
    <t>taux dû selon droite</t>
  </si>
  <si>
    <t>vacances</t>
  </si>
  <si>
    <t>z</t>
  </si>
  <si>
    <t>TOTAL</t>
  </si>
  <si>
    <t>TOTAl</t>
  </si>
  <si>
    <t xml:space="preserve"> Psychologiques</t>
  </si>
  <si>
    <t xml:space="preserve"> Physiques</t>
  </si>
  <si>
    <t>Ptage RÉEL</t>
  </si>
  <si>
    <t>pointage par saut d'échelon</t>
  </si>
  <si>
    <t>Psychologique</t>
  </si>
  <si>
    <t>Physique</t>
  </si>
  <si>
    <t>matériel</t>
  </si>
  <si>
    <t>Financier</t>
  </si>
  <si>
    <t xml:space="preserve">humain </t>
  </si>
  <si>
    <t>Commercial</t>
  </si>
  <si>
    <t>admin</t>
  </si>
  <si>
    <t>PRÉD</t>
  </si>
  <si>
    <t>Inconvénients et risques</t>
  </si>
  <si>
    <t>0= non applicable</t>
  </si>
  <si>
    <t>1= faible</t>
  </si>
  <si>
    <t>2= moyenne</t>
  </si>
  <si>
    <t>3= élevée</t>
  </si>
  <si>
    <t>psy: env bruyant</t>
  </si>
  <si>
    <t>psy : confident renseig</t>
  </si>
  <si>
    <t>psy : contrainte de temps</t>
  </si>
  <si>
    <t>psy : contacts verbaux exigeants</t>
  </si>
  <si>
    <t>phy : matière et odeur rebutante</t>
  </si>
  <si>
    <t>phy : mat. dangereuse, produits ou tissus contaminents</t>
  </si>
  <si>
    <t>phy : espace restreint</t>
  </si>
  <si>
    <t>phy : conditions de vision difficiles</t>
  </si>
  <si>
    <t>phy : conduite véhicule</t>
  </si>
  <si>
    <t xml:space="preserve">phy : Saleté et graisse </t>
  </si>
  <si>
    <t>phy : opération de machine, outils, équipnt, inst.</t>
  </si>
  <si>
    <t>Hygiéniste dentaire</t>
  </si>
  <si>
    <t>Directeur des opérations</t>
  </si>
  <si>
    <t>Directeur des ressources humaines</t>
  </si>
  <si>
    <t>Directeur- finances et services comptables</t>
  </si>
  <si>
    <t>Responsable du graphisme et du marketing</t>
  </si>
  <si>
    <t>Technicien comptable</t>
  </si>
  <si>
    <t>Commis comptable</t>
  </si>
  <si>
    <t>Technicien à la paie</t>
  </si>
  <si>
    <t>Coordonnatrice clinique</t>
  </si>
  <si>
    <t>phy : poussière, odeur chimique(ex: composite)</t>
  </si>
  <si>
    <t>Coordonnateur maintenance</t>
  </si>
  <si>
    <t>Secrétaire dentaire</t>
  </si>
  <si>
    <t>Assistante dentaire</t>
  </si>
  <si>
    <t>Technicien graphisme et marketing</t>
  </si>
  <si>
    <t>Coordonnateur clinique</t>
  </si>
  <si>
    <t>Assistant dentaire</t>
  </si>
  <si>
    <t>Assistant dentaire/ achat</t>
  </si>
  <si>
    <t>Thmax</t>
  </si>
  <si>
    <t>Technicien des achats</t>
  </si>
  <si>
    <t>Directeur développement organisationnel et communication</t>
  </si>
  <si>
    <t>Directeur ressources humaines</t>
  </si>
  <si>
    <t>technicien des achats</t>
  </si>
  <si>
    <t>PTAGE MILIEU DE LA Classe salariale</t>
  </si>
  <si>
    <t>expérience</t>
  </si>
  <si>
    <t>dextérité</t>
  </si>
  <si>
    <t>concentration et attention sensorielle</t>
  </si>
  <si>
    <t>effort intellectue</t>
  </si>
  <si>
    <t>communication</t>
  </si>
  <si>
    <t>supervision</t>
  </si>
  <si>
    <t>NOM ENTREPRISE:  Les Centres dentaires VIVA</t>
  </si>
  <si>
    <t>Gestionnaire orthodontie</t>
  </si>
  <si>
    <t>gestionnaire de l'ortodontie</t>
  </si>
  <si>
    <t>Gestionnaire de l'orthodontie</t>
  </si>
  <si>
    <t>Coordonnateur clinique C</t>
  </si>
  <si>
    <t>Coordonnateur clinique B</t>
  </si>
  <si>
    <t>Coordonnateur clinique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</si>
</sst>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 #,##0.00_)\ &quot;$&quot;_ ;_ * \(#,##0.00\)\ &quot;$&quot;_ ;_ * &quot;-&quot;??_)\ &quot;$&quot;_ ;_ @_ "/>
    <numFmt numFmtId="164" formatCode="0.0%"/>
    <numFmt numFmtId="165" formatCode="0.0"/>
  </numFmts>
  <fonts count="38">
    <font>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sz val="12"/>
      <color theme="1"/>
      <name val="Calibri"/>
      <family val="2"/>
      <scheme val="minor"/>
    </font>
    <font>
      <sz val="26"/>
      <color theme="1"/>
      <name val="Calibri"/>
      <family val="2"/>
      <scheme val="minor"/>
    </font>
    <font>
      <b/>
      <sz val="14"/>
      <color theme="1"/>
      <name val="Calibri"/>
      <family val="2"/>
      <scheme val="minor"/>
    </font>
    <font>
      <b/>
      <sz val="14"/>
      <color rgb="FFFF0000"/>
      <name val="Calibri"/>
      <family val="2"/>
      <scheme val="minor"/>
    </font>
    <font>
      <sz val="14"/>
      <color theme="1"/>
      <name val="Calibri"/>
      <family val="2"/>
      <scheme val="minor"/>
    </font>
    <font>
      <sz val="14"/>
      <name val="Calibri"/>
      <family val="2"/>
      <scheme val="minor"/>
    </font>
    <font>
      <sz val="12"/>
      <name val="Calibri"/>
      <family val="2"/>
      <scheme val="minor"/>
    </font>
    <font>
      <sz val="10"/>
      <name val="Calibri"/>
      <family val="2"/>
      <scheme val="minor"/>
    </font>
    <font>
      <b/>
      <sz val="14"/>
      <name val="Calibri"/>
      <family val="2"/>
      <scheme val="minor"/>
    </font>
    <font>
      <sz val="11"/>
      <color theme="5" tint="-0.249977111117893"/>
      <name val="Calibri"/>
      <family val="2"/>
      <scheme val="minor"/>
    </font>
    <font>
      <sz val="11"/>
      <color rgb="FF0070C0"/>
      <name val="Calibri"/>
      <family val="2"/>
      <scheme val="minor"/>
    </font>
    <font>
      <sz val="16"/>
      <color theme="1"/>
      <name val="Calibri"/>
      <family val="2"/>
      <scheme val="minor"/>
    </font>
    <font>
      <sz val="9"/>
      <color indexed="81"/>
      <name val="Tahoma"/>
      <family val="2"/>
    </font>
    <font>
      <sz val="14"/>
      <color theme="1"/>
      <name val="Calibri"/>
      <family val="2"/>
    </font>
    <font>
      <b/>
      <vertAlign val="superscript"/>
      <sz val="14"/>
      <color theme="1"/>
      <name val="Calibri"/>
      <family val="2"/>
      <scheme val="minor"/>
    </font>
    <font>
      <sz val="14"/>
      <color indexed="81"/>
      <name val="Tahoma"/>
      <family val="2"/>
    </font>
    <font>
      <b/>
      <sz val="16"/>
      <color theme="1"/>
      <name val="Calibri"/>
      <family val="2"/>
      <scheme val="minor"/>
    </font>
    <font>
      <b/>
      <sz val="18"/>
      <color theme="1"/>
      <name val="Calibri"/>
      <family val="2"/>
      <scheme val="minor"/>
    </font>
    <font>
      <sz val="16"/>
      <name val="Calibri"/>
      <family val="2"/>
      <scheme val="minor"/>
    </font>
    <font>
      <sz val="16"/>
      <color rgb="FFFF0000"/>
      <name val="Calibri"/>
      <family val="2"/>
      <scheme val="minor"/>
    </font>
    <font>
      <sz val="16"/>
      <color rgb="FF000000"/>
      <name val="Calibri"/>
      <family val="2"/>
      <scheme val="minor"/>
    </font>
    <font>
      <sz val="20"/>
      <color theme="1"/>
      <name val="Calibri"/>
      <family val="2"/>
      <scheme val="minor"/>
    </font>
    <font>
      <sz val="10"/>
      <color theme="1"/>
      <name val="Arial Unicode MS"/>
      <family val="2"/>
    </font>
    <font>
      <sz val="24"/>
      <color theme="1"/>
      <name val="Calibri"/>
      <family val="2"/>
      <scheme val="minor"/>
    </font>
    <font>
      <sz val="26"/>
      <color rgb="FFFF0000"/>
      <name val="Calibri"/>
      <family val="2"/>
      <scheme val="minor"/>
    </font>
    <font>
      <sz val="26"/>
      <name val="Calibri"/>
      <family val="2"/>
      <scheme val="minor"/>
    </font>
    <font>
      <b/>
      <sz val="16"/>
      <name val="Calibri"/>
      <family val="2"/>
      <scheme val="minor"/>
    </font>
    <font>
      <sz val="22"/>
      <color rgb="FFFF0000"/>
      <name val="Calibri"/>
      <family val="2"/>
      <scheme val="minor"/>
    </font>
    <font>
      <sz val="36"/>
      <name val="Calibri"/>
      <family val="2"/>
      <scheme val="minor"/>
    </font>
    <font>
      <sz val="22"/>
      <color theme="1"/>
      <name val="Calibri"/>
      <family val="2"/>
      <scheme val="minor"/>
    </font>
    <font>
      <sz val="28"/>
      <color theme="1"/>
      <name val="Calibri"/>
      <family val="2"/>
      <scheme val="minor"/>
    </font>
    <font>
      <b/>
      <sz val="14"/>
      <color rgb="FFFF0066"/>
      <name val="Calibri"/>
      <family val="2"/>
      <scheme val="minor"/>
    </font>
    <font>
      <sz val="24"/>
      <name val="Calibri"/>
      <family val="2"/>
      <scheme val="minor"/>
    </font>
    <font>
      <sz val="14"/>
      <color rgb="FF00B0F0"/>
      <name val="Calibri"/>
      <family val="2"/>
      <scheme val="min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rgb="FFFFFF00"/>
        <bgColor indexed="64"/>
      </patternFill>
    </fill>
    <fill>
      <patternFill patternType="solid">
        <fgColor rgb="FF00FF0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rgb="FFFFFFCC"/>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ck">
        <color indexed="64"/>
      </left>
      <right/>
      <top style="thin">
        <color indexed="64"/>
      </top>
      <bottom/>
      <diagonal/>
    </border>
    <border>
      <left style="thick">
        <color indexed="64"/>
      </left>
      <right/>
      <top style="thin">
        <color indexed="64"/>
      </top>
      <bottom style="thin">
        <color indexed="64"/>
      </bottom>
      <diagonal/>
    </border>
    <border>
      <left/>
      <right style="thick">
        <color indexed="64"/>
      </right>
      <top style="thin">
        <color indexed="64"/>
      </top>
      <bottom/>
      <diagonal/>
    </border>
    <border>
      <left style="thin">
        <color indexed="64"/>
      </left>
      <right style="thick">
        <color indexed="64"/>
      </right>
      <top style="thin">
        <color indexed="64"/>
      </top>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n">
        <color indexed="64"/>
      </bottom>
      <diagonal/>
    </border>
    <border>
      <left/>
      <right/>
      <top style="thin">
        <color indexed="64"/>
      </top>
      <bottom style="thin">
        <color indexed="64"/>
      </bottom>
      <diagonal/>
    </border>
    <border>
      <left style="thick">
        <color indexed="64"/>
      </left>
      <right style="thick">
        <color indexed="64"/>
      </right>
      <top/>
      <bottom style="thick">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thick">
        <color indexed="64"/>
      </bottom>
      <diagonal/>
    </border>
    <border>
      <left style="thick">
        <color indexed="64"/>
      </left>
      <right/>
      <top/>
      <bottom/>
      <diagonal/>
    </border>
    <border>
      <left/>
      <right style="thick">
        <color indexed="64"/>
      </right>
      <top/>
      <bottom style="thin">
        <color indexed="64"/>
      </bottom>
      <diagonal/>
    </border>
    <border>
      <left/>
      <right style="medium">
        <color indexed="64"/>
      </right>
      <top style="thin">
        <color indexed="64"/>
      </top>
      <bottom style="medium">
        <color indexed="64"/>
      </bottom>
      <diagonal/>
    </border>
  </borders>
  <cellStyleXfs count="3">
    <xf numFmtId="0" fontId="0" fillId="0" borderId="0"/>
    <xf numFmtId="9" fontId="3" fillId="0" borderId="0" applyFont="0" applyFill="0" applyBorder="0" applyAlignment="0" applyProtection="0"/>
    <xf numFmtId="44" fontId="3" fillId="0" borderId="0" applyFont="0" applyFill="0" applyBorder="0" applyAlignment="0" applyProtection="0"/>
  </cellStyleXfs>
  <cellXfs count="178">
    <xf numFmtId="0" fontId="0" fillId="0" borderId="0" xfId="0"/>
    <xf numFmtId="0" fontId="13" fillId="0" borderId="0" xfId="0" applyFont="1"/>
    <xf numFmtId="0" fontId="14" fillId="0" borderId="0" xfId="0" applyFont="1"/>
    <xf numFmtId="0" fontId="0" fillId="0" borderId="0" xfId="0" applyAlignment="1">
      <alignment horizontal="center"/>
    </xf>
    <xf numFmtId="0" fontId="8" fillId="0" borderId="0" xfId="0" applyFont="1"/>
    <xf numFmtId="0" fontId="17" fillId="0" borderId="0" xfId="0" applyFont="1"/>
    <xf numFmtId="0" fontId="15" fillId="0" borderId="0" xfId="0" applyFont="1" applyAlignment="1">
      <alignment horizontal="center"/>
    </xf>
    <xf numFmtId="0" fontId="9" fillId="2" borderId="9" xfId="0" applyFont="1" applyFill="1" applyBorder="1" applyAlignment="1" applyProtection="1">
      <alignment horizontal="left"/>
    </xf>
    <xf numFmtId="0" fontId="12" fillId="2" borderId="11" xfId="0" applyFont="1" applyFill="1" applyBorder="1" applyAlignment="1" applyProtection="1">
      <alignment horizontal="center"/>
    </xf>
    <xf numFmtId="165" fontId="8" fillId="2" borderId="11" xfId="0" applyNumberFormat="1" applyFont="1" applyFill="1" applyBorder="1" applyAlignment="1" applyProtection="1">
      <alignment horizontal="center" vertical="center"/>
    </xf>
    <xf numFmtId="44" fontId="8" fillId="2" borderId="12" xfId="2" applyFont="1" applyFill="1" applyBorder="1" applyProtection="1"/>
    <xf numFmtId="1" fontId="0" fillId="0" borderId="0" xfId="0" applyNumberFormat="1" applyAlignment="1">
      <alignment horizontal="center"/>
    </xf>
    <xf numFmtId="2" fontId="0" fillId="0" borderId="0" xfId="0" applyNumberFormat="1" applyAlignment="1">
      <alignment horizontal="center"/>
    </xf>
    <xf numFmtId="0" fontId="6" fillId="0" borderId="0" xfId="0" applyFont="1" applyAlignment="1"/>
    <xf numFmtId="0" fontId="7" fillId="0" borderId="0" xfId="0" applyFont="1" applyAlignment="1">
      <alignment horizontal="center"/>
    </xf>
    <xf numFmtId="0" fontId="0" fillId="0" borderId="0" xfId="0" applyAlignment="1">
      <alignment horizontal="left"/>
    </xf>
    <xf numFmtId="11" fontId="21" fillId="0" borderId="0" xfId="0" applyNumberFormat="1" applyFont="1" applyAlignment="1">
      <alignment horizontal="left" vertical="center"/>
    </xf>
    <xf numFmtId="0" fontId="15" fillId="0" borderId="0" xfId="0" applyFont="1" applyAlignment="1">
      <alignment horizontal="center" vertical="center"/>
    </xf>
    <xf numFmtId="0" fontId="15" fillId="0" borderId="0" xfId="0" applyFont="1"/>
    <xf numFmtId="44" fontId="15" fillId="0" borderId="0" xfId="2" applyFont="1"/>
    <xf numFmtId="0" fontId="9" fillId="0" borderId="10" xfId="0" applyFont="1" applyFill="1" applyBorder="1" applyAlignment="1" applyProtection="1">
      <alignment horizontal="left"/>
    </xf>
    <xf numFmtId="0" fontId="12" fillId="0" borderId="10" xfId="0" applyFont="1" applyFill="1" applyBorder="1" applyAlignment="1" applyProtection="1">
      <alignment horizontal="center"/>
    </xf>
    <xf numFmtId="165" fontId="8" fillId="0" borderId="10" xfId="0" applyNumberFormat="1" applyFont="1" applyFill="1" applyBorder="1" applyAlignment="1" applyProtection="1">
      <alignment horizontal="center" vertical="center"/>
    </xf>
    <xf numFmtId="44" fontId="8" fillId="0" borderId="10" xfId="2" applyFont="1" applyFill="1" applyBorder="1" applyProtection="1"/>
    <xf numFmtId="1" fontId="0" fillId="0" borderId="0" xfId="0" applyNumberFormat="1" applyAlignment="1">
      <alignment horizontal="center" vertical="center"/>
    </xf>
    <xf numFmtId="0" fontId="0" fillId="0" borderId="1" xfId="0" applyBorder="1" applyAlignment="1">
      <alignment horizontal="center" vertical="center"/>
    </xf>
    <xf numFmtId="0" fontId="25" fillId="0" borderId="0" xfId="0" applyFont="1"/>
    <xf numFmtId="0" fontId="0" fillId="0" borderId="1" xfId="0" applyBorder="1"/>
    <xf numFmtId="0" fontId="0" fillId="0" borderId="0" xfId="0" applyFill="1" applyBorder="1"/>
    <xf numFmtId="0" fontId="1" fillId="0" borderId="0" xfId="0" applyFont="1"/>
    <xf numFmtId="0" fontId="26" fillId="0" borderId="0" xfId="0" applyFont="1"/>
    <xf numFmtId="44" fontId="0" fillId="0" borderId="0" xfId="0" applyNumberFormat="1" applyFill="1"/>
    <xf numFmtId="165" fontId="9" fillId="2" borderId="11" xfId="0" applyNumberFormat="1" applyFont="1" applyFill="1" applyBorder="1" applyAlignment="1" applyProtection="1">
      <alignment horizontal="center" vertical="center"/>
    </xf>
    <xf numFmtId="0" fontId="2" fillId="2" borderId="0" xfId="0" applyFont="1" applyFill="1"/>
    <xf numFmtId="44" fontId="8" fillId="2" borderId="39" xfId="2" applyFont="1" applyFill="1" applyBorder="1" applyProtection="1"/>
    <xf numFmtId="44" fontId="9" fillId="2" borderId="39" xfId="2" applyFont="1" applyFill="1" applyBorder="1" applyProtection="1"/>
    <xf numFmtId="44" fontId="0" fillId="0" borderId="0" xfId="2" applyFont="1" applyFill="1" applyBorder="1"/>
    <xf numFmtId="44" fontId="0" fillId="0" borderId="0" xfId="0" applyNumberFormat="1" applyFill="1" applyBorder="1"/>
    <xf numFmtId="0" fontId="11" fillId="10" borderId="5" xfId="0" applyFont="1" applyFill="1" applyBorder="1" applyAlignment="1">
      <alignment horizontal="center" vertical="center" wrapText="1"/>
    </xf>
    <xf numFmtId="44" fontId="8" fillId="2" borderId="40" xfId="2" applyFont="1" applyFill="1" applyBorder="1" applyProtection="1"/>
    <xf numFmtId="0" fontId="0" fillId="0" borderId="0" xfId="0"/>
    <xf numFmtId="0" fontId="15" fillId="0" borderId="0" xfId="0" applyFont="1" applyAlignment="1">
      <alignment horizontal="center"/>
    </xf>
    <xf numFmtId="44" fontId="15" fillId="0" borderId="0" xfId="2" applyFont="1" applyAlignment="1">
      <alignment horizontal="center"/>
    </xf>
    <xf numFmtId="0" fontId="15" fillId="0" borderId="0" xfId="0" applyFont="1" applyAlignment="1">
      <alignment horizontal="center" vertical="center"/>
    </xf>
    <xf numFmtId="0" fontId="15" fillId="0" borderId="0" xfId="0" applyFont="1"/>
    <xf numFmtId="11" fontId="20" fillId="4" borderId="4" xfId="0" applyNumberFormat="1" applyFont="1" applyFill="1" applyBorder="1" applyAlignment="1" applyProtection="1">
      <alignment horizontal="left" vertical="center"/>
      <protection locked="0"/>
    </xf>
    <xf numFmtId="11" fontId="15" fillId="4" borderId="0" xfId="0" applyNumberFormat="1" applyFont="1" applyFill="1" applyBorder="1" applyAlignment="1" applyProtection="1">
      <alignment vertical="center"/>
      <protection locked="0"/>
    </xf>
    <xf numFmtId="11" fontId="15" fillId="0" borderId="0" xfId="0" applyNumberFormat="1" applyFont="1" applyFill="1" applyBorder="1" applyAlignment="1" applyProtection="1">
      <alignment vertical="center"/>
      <protection locked="0"/>
    </xf>
    <xf numFmtId="0" fontId="23" fillId="0" borderId="0" xfId="0" applyFont="1"/>
    <xf numFmtId="0" fontId="15" fillId="0" borderId="0" xfId="0" applyFont="1" applyProtection="1">
      <protection locked="0"/>
    </xf>
    <xf numFmtId="0" fontId="22" fillId="7" borderId="23" xfId="0" applyFont="1" applyFill="1" applyBorder="1" applyAlignment="1">
      <alignment horizontal="center" vertical="center" wrapText="1"/>
    </xf>
    <xf numFmtId="0" fontId="15" fillId="6" borderId="22" xfId="0" applyFont="1" applyFill="1" applyBorder="1" applyAlignment="1">
      <alignment horizontal="center" textRotation="90"/>
    </xf>
    <xf numFmtId="0" fontId="15" fillId="0" borderId="24" xfId="0" applyFont="1" applyFill="1" applyBorder="1" applyAlignment="1">
      <alignment horizontal="center" textRotation="90" wrapText="1"/>
    </xf>
    <xf numFmtId="0" fontId="15" fillId="0" borderId="5" xfId="0" applyFont="1" applyFill="1" applyBorder="1" applyAlignment="1">
      <alignment horizontal="center" textRotation="90" wrapText="1"/>
    </xf>
    <xf numFmtId="0" fontId="15" fillId="6" borderId="24" xfId="0" applyFont="1" applyFill="1" applyBorder="1" applyAlignment="1">
      <alignment horizontal="center" textRotation="90"/>
    </xf>
    <xf numFmtId="0" fontId="15" fillId="6" borderId="29" xfId="0" applyFont="1" applyFill="1" applyBorder="1" applyAlignment="1">
      <alignment horizontal="center" textRotation="90"/>
    </xf>
    <xf numFmtId="0" fontId="15" fillId="0" borderId="22" xfId="0" applyFont="1" applyFill="1" applyBorder="1" applyAlignment="1">
      <alignment horizontal="center" textRotation="90"/>
    </xf>
    <xf numFmtId="0" fontId="15" fillId="0" borderId="22" xfId="0" applyFont="1" applyFill="1" applyBorder="1" applyAlignment="1">
      <alignment horizontal="center" textRotation="90" wrapText="1"/>
    </xf>
    <xf numFmtId="0" fontId="15" fillId="6" borderId="26" xfId="0" applyFont="1" applyFill="1" applyBorder="1" applyAlignment="1">
      <alignment horizontal="center" textRotation="90"/>
    </xf>
    <xf numFmtId="0" fontId="15" fillId="5" borderId="14" xfId="0" applyFont="1" applyFill="1" applyBorder="1" applyAlignment="1" applyProtection="1">
      <alignment vertical="center"/>
    </xf>
    <xf numFmtId="0" fontId="15" fillId="5" borderId="10" xfId="0" applyFont="1" applyFill="1" applyBorder="1" applyAlignment="1" applyProtection="1">
      <alignment vertical="center"/>
    </xf>
    <xf numFmtId="0" fontId="15" fillId="5" borderId="15" xfId="0" applyFont="1" applyFill="1" applyBorder="1" applyAlignment="1" applyProtection="1">
      <alignment vertical="center"/>
    </xf>
    <xf numFmtId="0" fontId="15" fillId="0" borderId="37" xfId="0" applyFont="1" applyFill="1" applyBorder="1" applyAlignment="1" applyProtection="1">
      <alignment horizontal="center" vertical="center"/>
      <protection locked="0"/>
    </xf>
    <xf numFmtId="0" fontId="15" fillId="5" borderId="14" xfId="0" applyFont="1" applyFill="1" applyBorder="1" applyAlignment="1" applyProtection="1">
      <alignment vertical="center"/>
      <protection locked="0"/>
    </xf>
    <xf numFmtId="0" fontId="15" fillId="5" borderId="10" xfId="0" applyFont="1" applyFill="1" applyBorder="1" applyAlignment="1" applyProtection="1">
      <alignment vertical="center"/>
      <protection locked="0"/>
    </xf>
    <xf numFmtId="0" fontId="15" fillId="5" borderId="15" xfId="0" applyFont="1" applyFill="1" applyBorder="1" applyAlignment="1" applyProtection="1">
      <alignment vertical="center"/>
      <protection locked="0"/>
    </xf>
    <xf numFmtId="0" fontId="15" fillId="0" borderId="0" xfId="0" applyFont="1" applyFill="1" applyAlignment="1">
      <alignment horizontal="center"/>
    </xf>
    <xf numFmtId="0" fontId="15" fillId="5" borderId="0" xfId="0" applyFont="1" applyFill="1" applyBorder="1" applyAlignment="1" applyProtection="1">
      <alignment vertical="center"/>
    </xf>
    <xf numFmtId="0" fontId="15" fillId="5" borderId="0" xfId="0" applyFont="1" applyFill="1" applyBorder="1" applyAlignment="1" applyProtection="1">
      <alignment vertical="center"/>
      <protection locked="0"/>
    </xf>
    <xf numFmtId="0" fontId="15" fillId="5" borderId="17" xfId="0" applyFont="1" applyFill="1" applyBorder="1" applyAlignment="1" applyProtection="1">
      <alignment vertical="center"/>
      <protection locked="0"/>
    </xf>
    <xf numFmtId="164" fontId="15" fillId="0" borderId="8" xfId="1" applyNumberFormat="1" applyFont="1" applyFill="1" applyBorder="1" applyAlignment="1" applyProtection="1">
      <alignment horizontal="center" vertical="center"/>
      <protection locked="0"/>
    </xf>
    <xf numFmtId="0" fontId="15" fillId="0" borderId="0" xfId="0" applyFont="1" applyFill="1"/>
    <xf numFmtId="44" fontId="15" fillId="0" borderId="30" xfId="2" applyFont="1" applyFill="1" applyBorder="1" applyAlignment="1" applyProtection="1">
      <alignment vertical="center"/>
      <protection locked="0"/>
    </xf>
    <xf numFmtId="0" fontId="15" fillId="2" borderId="22" xfId="0" applyFont="1" applyFill="1" applyBorder="1" applyAlignment="1">
      <alignment horizontal="center" textRotation="90"/>
    </xf>
    <xf numFmtId="0" fontId="15" fillId="2" borderId="29" xfId="0" applyFont="1" applyFill="1" applyBorder="1" applyAlignment="1">
      <alignment horizontal="center" textRotation="90" wrapText="1"/>
    </xf>
    <xf numFmtId="0" fontId="15" fillId="0" borderId="0" xfId="0" applyFont="1" applyFill="1" applyBorder="1" applyAlignment="1">
      <alignment horizontal="center" vertical="center" wrapText="1"/>
    </xf>
    <xf numFmtId="11" fontId="15" fillId="5" borderId="1" xfId="0" applyNumberFormat="1" applyFont="1" applyFill="1" applyBorder="1" applyAlignment="1" applyProtection="1">
      <alignment horizontal="center" vertical="center"/>
      <protection locked="0"/>
    </xf>
    <xf numFmtId="165" fontId="23" fillId="10" borderId="1" xfId="0" applyNumberFormat="1" applyFont="1" applyFill="1" applyBorder="1" applyAlignment="1">
      <alignment horizontal="center" vertical="center"/>
    </xf>
    <xf numFmtId="0" fontId="15" fillId="0" borderId="1" xfId="0" applyFont="1" applyBorder="1" applyAlignment="1">
      <alignment horizontal="left"/>
    </xf>
    <xf numFmtId="0" fontId="15" fillId="2" borderId="21" xfId="0" applyFont="1" applyFill="1" applyBorder="1" applyAlignment="1">
      <alignment horizontal="left"/>
    </xf>
    <xf numFmtId="0" fontId="15" fillId="0" borderId="0" xfId="0" applyFont="1" applyAlignment="1">
      <alignment horizontal="left"/>
    </xf>
    <xf numFmtId="164" fontId="15" fillId="0" borderId="26" xfId="1" applyNumberFormat="1" applyFont="1" applyFill="1" applyBorder="1" applyAlignment="1" applyProtection="1">
      <alignment horizontal="center" vertical="center"/>
      <protection locked="0"/>
    </xf>
    <xf numFmtId="0" fontId="15" fillId="0" borderId="0" xfId="0" applyFont="1" applyFill="1" applyBorder="1"/>
    <xf numFmtId="0" fontId="15" fillId="0" borderId="0" xfId="0" applyFont="1" applyFill="1" applyBorder="1" applyAlignment="1">
      <alignment horizontal="center" vertical="center"/>
    </xf>
    <xf numFmtId="0" fontId="15" fillId="0" borderId="0" xfId="0" applyFont="1" applyFill="1" applyBorder="1" applyAlignment="1">
      <alignment horizontal="left" vertical="center"/>
    </xf>
    <xf numFmtId="0" fontId="0" fillId="0" borderId="2" xfId="0" applyBorder="1"/>
    <xf numFmtId="0" fontId="0" fillId="13" borderId="1" xfId="0" applyFill="1" applyBorder="1" applyAlignment="1">
      <alignment horizontal="center" textRotation="90"/>
    </xf>
    <xf numFmtId="0" fontId="25" fillId="0" borderId="0" xfId="0" applyFont="1" applyBorder="1"/>
    <xf numFmtId="0" fontId="0" fillId="0" borderId="4" xfId="0" applyFill="1" applyBorder="1" applyAlignment="1">
      <alignment horizontal="center" textRotation="90"/>
    </xf>
    <xf numFmtId="0" fontId="0" fillId="0" borderId="1" xfId="0" applyFont="1" applyFill="1" applyBorder="1"/>
    <xf numFmtId="0" fontId="0" fillId="0" borderId="1" xfId="0" applyFill="1" applyBorder="1"/>
    <xf numFmtId="9" fontId="15" fillId="11" borderId="28" xfId="1" applyFont="1" applyFill="1" applyBorder="1" applyAlignment="1">
      <alignment horizontal="center" vertical="center" wrapText="1"/>
    </xf>
    <xf numFmtId="44" fontId="22" fillId="11" borderId="28" xfId="2" applyFont="1" applyFill="1" applyBorder="1" applyAlignment="1">
      <alignment horizontal="center" vertical="center" wrapText="1"/>
    </xf>
    <xf numFmtId="164" fontId="15" fillId="5" borderId="41" xfId="0" applyNumberFormat="1" applyFont="1" applyFill="1" applyBorder="1" applyAlignment="1" applyProtection="1">
      <alignment vertical="center"/>
    </xf>
    <xf numFmtId="164" fontId="15" fillId="5" borderId="13" xfId="0" applyNumberFormat="1" applyFont="1" applyFill="1" applyBorder="1" applyAlignment="1" applyProtection="1">
      <alignment vertical="center"/>
    </xf>
    <xf numFmtId="164" fontId="15" fillId="5" borderId="18" xfId="0" applyNumberFormat="1" applyFont="1" applyFill="1" applyBorder="1" applyAlignment="1" applyProtection="1">
      <alignment vertical="center"/>
    </xf>
    <xf numFmtId="164" fontId="15" fillId="5" borderId="41" xfId="0" applyNumberFormat="1" applyFont="1" applyFill="1" applyBorder="1" applyAlignment="1" applyProtection="1">
      <alignment vertical="center"/>
      <protection locked="0"/>
    </xf>
    <xf numFmtId="164" fontId="15" fillId="5" borderId="13" xfId="0" applyNumberFormat="1" applyFont="1" applyFill="1" applyBorder="1" applyAlignment="1" applyProtection="1">
      <alignment vertical="center"/>
      <protection locked="0"/>
    </xf>
    <xf numFmtId="164" fontId="15" fillId="5" borderId="18" xfId="0" applyNumberFormat="1" applyFont="1" applyFill="1" applyBorder="1" applyAlignment="1" applyProtection="1">
      <alignment vertical="center"/>
      <protection locked="0"/>
    </xf>
    <xf numFmtId="2" fontId="22" fillId="2" borderId="3" xfId="1" applyNumberFormat="1" applyFont="1" applyFill="1" applyBorder="1" applyAlignment="1" applyProtection="1">
      <alignment horizontal="center" vertical="center"/>
    </xf>
    <xf numFmtId="0" fontId="27" fillId="8" borderId="1" xfId="0" applyFont="1" applyFill="1" applyBorder="1" applyAlignment="1">
      <alignment horizontal="center" vertical="center"/>
    </xf>
    <xf numFmtId="0" fontId="27" fillId="14" borderId="1" xfId="0" applyFont="1" applyFill="1" applyBorder="1" applyAlignment="1">
      <alignment horizontal="center" vertical="center"/>
    </xf>
    <xf numFmtId="0" fontId="15" fillId="0" borderId="0" xfId="0" applyFont="1" applyBorder="1" applyAlignment="1">
      <alignment horizontal="center"/>
    </xf>
    <xf numFmtId="2" fontId="23" fillId="10" borderId="37" xfId="0" applyNumberFormat="1" applyFont="1" applyFill="1" applyBorder="1" applyAlignment="1">
      <alignment horizontal="center" vertical="center"/>
    </xf>
    <xf numFmtId="0" fontId="24" fillId="0" borderId="7" xfId="0" applyFont="1" applyBorder="1" applyAlignment="1">
      <alignment horizontal="right" vertical="center"/>
    </xf>
    <xf numFmtId="0" fontId="20" fillId="0" borderId="43" xfId="0" applyNumberFormat="1" applyFont="1" applyFill="1" applyBorder="1" applyAlignment="1">
      <alignment horizontal="center" vertical="center"/>
    </xf>
    <xf numFmtId="0" fontId="20" fillId="0" borderId="16" xfId="0" applyNumberFormat="1" applyFont="1" applyFill="1" applyBorder="1" applyAlignment="1">
      <alignment horizontal="center" vertical="center"/>
    </xf>
    <xf numFmtId="10" fontId="22" fillId="8" borderId="1" xfId="1" applyNumberFormat="1" applyFont="1" applyFill="1" applyBorder="1" applyAlignment="1">
      <alignment horizontal="center" vertical="center"/>
    </xf>
    <xf numFmtId="0" fontId="15" fillId="0" borderId="37" xfId="0" applyFont="1" applyBorder="1" applyAlignment="1">
      <alignment horizontal="center"/>
    </xf>
    <xf numFmtId="0" fontId="4" fillId="2" borderId="1" xfId="0" applyFont="1" applyFill="1" applyBorder="1" applyAlignment="1">
      <alignment horizontal="center" vertical="center"/>
    </xf>
    <xf numFmtId="0" fontId="29" fillId="0" borderId="1" xfId="0" applyFont="1" applyFill="1" applyBorder="1" applyAlignment="1" applyProtection="1">
      <alignment horizontal="left" vertical="center"/>
      <protection locked="0"/>
    </xf>
    <xf numFmtId="0" fontId="29" fillId="0" borderId="2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 xfId="0" applyFont="1" applyBorder="1" applyAlignment="1" applyProtection="1">
      <alignment horizontal="left" vertical="center"/>
      <protection locked="0"/>
    </xf>
    <xf numFmtId="0" fontId="5" fillId="0" borderId="1" xfId="0" applyFont="1" applyFill="1" applyBorder="1" applyAlignment="1">
      <alignment horizontal="left" vertical="center"/>
    </xf>
    <xf numFmtId="0" fontId="5" fillId="0" borderId="1" xfId="0" applyFont="1" applyFill="1" applyBorder="1" applyAlignment="1" applyProtection="1">
      <alignment horizontal="left" vertical="center"/>
      <protection locked="0"/>
    </xf>
    <xf numFmtId="0" fontId="29" fillId="0" borderId="1" xfId="0" applyFont="1" applyBorder="1" applyAlignment="1" applyProtection="1">
      <alignment horizontal="left" vertical="center"/>
      <protection locked="0"/>
    </xf>
    <xf numFmtId="0" fontId="29" fillId="0" borderId="1" xfId="0" applyFont="1" applyFill="1" applyBorder="1" applyAlignment="1" applyProtection="1">
      <alignment horizontal="left" vertical="center" wrapText="1"/>
      <protection locked="0"/>
    </xf>
    <xf numFmtId="0" fontId="28" fillId="0" borderId="1" xfId="0" applyFont="1" applyFill="1" applyBorder="1" applyAlignment="1" applyProtection="1">
      <alignment horizontal="left" vertical="center"/>
      <protection locked="0"/>
    </xf>
    <xf numFmtId="0" fontId="0" fillId="0" borderId="6" xfId="0" applyFill="1" applyBorder="1"/>
    <xf numFmtId="0" fontId="0" fillId="0" borderId="5" xfId="0" applyBorder="1"/>
    <xf numFmtId="0" fontId="15" fillId="2" borderId="5" xfId="0" applyFont="1" applyFill="1" applyBorder="1"/>
    <xf numFmtId="0" fontId="4" fillId="13" borderId="1" xfId="0" applyFont="1" applyFill="1" applyBorder="1" applyAlignment="1">
      <alignment horizontal="center" textRotation="90"/>
    </xf>
    <xf numFmtId="0" fontId="15" fillId="8" borderId="1" xfId="0" applyFont="1" applyFill="1" applyBorder="1" applyAlignment="1">
      <alignment horizontal="center" textRotation="90"/>
    </xf>
    <xf numFmtId="0" fontId="15" fillId="2" borderId="1" xfId="0" applyFont="1" applyFill="1" applyBorder="1"/>
    <xf numFmtId="0" fontId="15" fillId="14" borderId="1" xfId="0" applyFont="1" applyFill="1" applyBorder="1" applyAlignment="1">
      <alignment horizontal="center" textRotation="90"/>
    </xf>
    <xf numFmtId="0" fontId="10" fillId="0" borderId="1" xfId="0" applyFont="1" applyFill="1" applyBorder="1" applyAlignment="1" applyProtection="1">
      <alignment horizontal="left" vertical="center"/>
      <protection locked="0"/>
    </xf>
    <xf numFmtId="0" fontId="10" fillId="0" borderId="21" xfId="0" applyFont="1" applyFill="1" applyBorder="1" applyAlignment="1" applyProtection="1">
      <alignment horizontal="center" vertical="center"/>
      <protection locked="0"/>
    </xf>
    <xf numFmtId="0" fontId="4" fillId="0" borderId="1" xfId="0" applyFont="1" applyFill="1" applyBorder="1" applyAlignment="1" applyProtection="1">
      <alignment horizontal="left" vertical="center"/>
      <protection locked="0"/>
    </xf>
    <xf numFmtId="0" fontId="8" fillId="0" borderId="1" xfId="0" applyFont="1" applyFill="1" applyBorder="1" applyAlignment="1" applyProtection="1">
      <alignment horizontal="left" vertical="center"/>
      <protection locked="0"/>
    </xf>
    <xf numFmtId="0" fontId="9" fillId="0" borderId="1" xfId="0" applyFont="1" applyFill="1" applyBorder="1" applyAlignment="1" applyProtection="1">
      <alignment horizontal="left" vertical="center"/>
      <protection locked="0"/>
    </xf>
    <xf numFmtId="0" fontId="0" fillId="0" borderId="1" xfId="0" applyBorder="1" applyAlignment="1">
      <alignment vertical="center"/>
    </xf>
    <xf numFmtId="0" fontId="4" fillId="0" borderId="1" xfId="0" applyFont="1" applyBorder="1" applyAlignment="1">
      <alignment horizontal="center" vertical="center"/>
    </xf>
    <xf numFmtId="0" fontId="25" fillId="0" borderId="1" xfId="0" applyFont="1" applyBorder="1" applyAlignment="1">
      <alignment horizontal="center" vertical="center"/>
    </xf>
    <xf numFmtId="9" fontId="15" fillId="11" borderId="45" xfId="1" applyFont="1" applyFill="1" applyBorder="1" applyAlignment="1">
      <alignment horizontal="center" vertical="center" wrapText="1"/>
    </xf>
    <xf numFmtId="10" fontId="30" fillId="15" borderId="1" xfId="1" applyNumberFormat="1" applyFont="1" applyFill="1" applyBorder="1" applyAlignment="1">
      <alignment horizontal="center" vertical="center" wrapText="1"/>
    </xf>
    <xf numFmtId="165" fontId="31" fillId="10" borderId="1" xfId="0" applyNumberFormat="1" applyFont="1" applyFill="1" applyBorder="1" applyAlignment="1">
      <alignment horizontal="center" vertical="center"/>
    </xf>
    <xf numFmtId="0" fontId="15" fillId="0" borderId="1" xfId="0" applyFont="1" applyFill="1" applyBorder="1" applyAlignment="1">
      <alignment horizontal="center" vertical="center"/>
    </xf>
    <xf numFmtId="1" fontId="32" fillId="0" borderId="1" xfId="0" applyNumberFormat="1" applyFont="1" applyFill="1" applyBorder="1" applyAlignment="1">
      <alignment horizontal="center" vertical="center"/>
    </xf>
    <xf numFmtId="44" fontId="33" fillId="0" borderId="44" xfId="2" applyFont="1" applyFill="1" applyBorder="1" applyAlignment="1" applyProtection="1">
      <alignment vertical="center"/>
      <protection locked="0"/>
    </xf>
    <xf numFmtId="44" fontId="33" fillId="0" borderId="30" xfId="2" applyFont="1" applyFill="1" applyBorder="1" applyAlignment="1" applyProtection="1">
      <alignment vertical="center"/>
      <protection locked="0"/>
    </xf>
    <xf numFmtId="0" fontId="22" fillId="7" borderId="36" xfId="0" applyFont="1" applyFill="1" applyBorder="1" applyAlignment="1">
      <alignment horizontal="center" vertical="center" wrapText="1"/>
    </xf>
    <xf numFmtId="0" fontId="22" fillId="7" borderId="33" xfId="0" applyFont="1" applyFill="1" applyBorder="1" applyAlignment="1">
      <alignment horizontal="center" vertical="center" wrapText="1"/>
    </xf>
    <xf numFmtId="44" fontId="34" fillId="0" borderId="30" xfId="2" applyFont="1" applyFill="1" applyBorder="1" applyAlignment="1" applyProtection="1">
      <alignment vertical="center"/>
      <protection locked="0"/>
    </xf>
    <xf numFmtId="0" fontId="5" fillId="3" borderId="1" xfId="0" applyFont="1" applyFill="1" applyBorder="1" applyAlignment="1" applyProtection="1">
      <alignment horizontal="center" vertical="center"/>
      <protection locked="0"/>
    </xf>
    <xf numFmtId="44" fontId="34" fillId="0" borderId="44" xfId="2" applyFont="1" applyFill="1" applyBorder="1" applyAlignment="1" applyProtection="1">
      <alignment vertical="center"/>
      <protection locked="0"/>
    </xf>
    <xf numFmtId="0" fontId="35" fillId="0" borderId="21" xfId="0" applyFont="1" applyFill="1" applyBorder="1" applyAlignment="1" applyProtection="1">
      <alignment horizontal="center" vertical="center"/>
      <protection locked="0"/>
    </xf>
    <xf numFmtId="0" fontId="4" fillId="0" borderId="1" xfId="0" applyFont="1" applyFill="1" applyBorder="1" applyAlignment="1">
      <alignment horizontal="center" vertical="center"/>
    </xf>
    <xf numFmtId="0" fontId="0" fillId="0" borderId="1" xfId="0" applyFill="1" applyBorder="1" applyAlignment="1">
      <alignment horizontal="center" vertical="center"/>
    </xf>
    <xf numFmtId="2" fontId="15" fillId="2" borderId="37" xfId="0" applyNumberFormat="1" applyFont="1" applyFill="1" applyBorder="1" applyAlignment="1" applyProtection="1">
      <alignment horizontal="center" vertical="center"/>
    </xf>
    <xf numFmtId="2" fontId="15" fillId="2" borderId="1" xfId="0" applyNumberFormat="1" applyFont="1" applyFill="1" applyBorder="1" applyAlignment="1" applyProtection="1">
      <alignment horizontal="center" vertical="center"/>
    </xf>
    <xf numFmtId="0" fontId="15" fillId="2" borderId="21" xfId="0" applyFont="1" applyFill="1" applyBorder="1" applyAlignment="1" applyProtection="1">
      <alignment horizontal="center" vertical="center"/>
    </xf>
    <xf numFmtId="2" fontId="15" fillId="2" borderId="1" xfId="0" applyNumberFormat="1" applyFont="1" applyFill="1" applyBorder="1" applyAlignment="1">
      <alignment horizontal="center" vertical="center"/>
    </xf>
    <xf numFmtId="0" fontId="15" fillId="0" borderId="27" xfId="0" applyFont="1" applyFill="1" applyBorder="1" applyAlignment="1" applyProtection="1">
      <alignment horizontal="center" vertical="center"/>
      <protection locked="0"/>
    </xf>
    <xf numFmtId="0" fontId="15" fillId="0" borderId="30" xfId="0" applyFont="1" applyFill="1" applyBorder="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164" fontId="15" fillId="0" borderId="0" xfId="1" applyNumberFormat="1" applyFont="1" applyFill="1" applyBorder="1" applyAlignment="1" applyProtection="1">
      <alignment horizontal="center" vertical="center"/>
      <protection locked="0"/>
    </xf>
    <xf numFmtId="0" fontId="15" fillId="2" borderId="1"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37" fillId="0" borderId="21" xfId="0" applyFont="1" applyFill="1" applyBorder="1" applyAlignment="1" applyProtection="1">
      <alignment horizontal="center" vertical="center"/>
      <protection locked="0"/>
    </xf>
    <xf numFmtId="0" fontId="22" fillId="7" borderId="36" xfId="0" applyFont="1" applyFill="1" applyBorder="1" applyAlignment="1">
      <alignment horizontal="center" vertical="center" wrapText="1"/>
    </xf>
    <xf numFmtId="0" fontId="5" fillId="8" borderId="1" xfId="0" applyFont="1" applyFill="1" applyBorder="1" applyAlignment="1" applyProtection="1">
      <alignment horizontal="center" vertical="center"/>
      <protection locked="0"/>
    </xf>
    <xf numFmtId="0" fontId="5" fillId="16" borderId="1" xfId="0" applyFont="1" applyFill="1" applyBorder="1" applyAlignment="1" applyProtection="1">
      <alignment horizontal="left" vertical="center"/>
      <protection locked="0"/>
    </xf>
    <xf numFmtId="0" fontId="5" fillId="16" borderId="1" xfId="0" applyFont="1" applyFill="1" applyBorder="1" applyAlignment="1" applyProtection="1">
      <alignment horizontal="center" vertical="center"/>
      <protection locked="0"/>
    </xf>
    <xf numFmtId="0" fontId="15" fillId="12" borderId="19" xfId="0" applyFont="1" applyFill="1" applyBorder="1" applyAlignment="1">
      <alignment horizontal="center" vertical="center" wrapText="1"/>
    </xf>
    <xf numFmtId="0" fontId="15" fillId="12" borderId="20" xfId="0" applyFont="1" applyFill="1" applyBorder="1" applyAlignment="1">
      <alignment horizontal="center" vertical="center" wrapText="1"/>
    </xf>
    <xf numFmtId="0" fontId="8" fillId="9" borderId="1" xfId="0" applyFont="1" applyFill="1" applyBorder="1" applyAlignment="1">
      <alignment horizontal="center" textRotation="90"/>
    </xf>
    <xf numFmtId="0" fontId="36" fillId="7" borderId="34" xfId="0" applyFont="1" applyFill="1" applyBorder="1" applyAlignment="1">
      <alignment horizontal="center" vertical="center" wrapText="1"/>
    </xf>
    <xf numFmtId="0" fontId="36" fillId="7" borderId="35" xfId="0" applyFont="1" applyFill="1" applyBorder="1" applyAlignment="1">
      <alignment horizontal="center" vertical="center" wrapText="1"/>
    </xf>
    <xf numFmtId="0" fontId="36" fillId="7" borderId="42" xfId="0" applyFont="1" applyFill="1" applyBorder="1" applyAlignment="1">
      <alignment horizontal="center" vertical="center" wrapText="1"/>
    </xf>
    <xf numFmtId="0" fontId="22" fillId="7" borderId="31" xfId="0" applyFont="1" applyFill="1" applyBorder="1" applyAlignment="1">
      <alignment horizontal="center" vertical="center" wrapText="1"/>
    </xf>
    <xf numFmtId="0" fontId="22" fillId="7" borderId="32" xfId="0" applyFont="1" applyFill="1" applyBorder="1" applyAlignment="1">
      <alignment horizontal="center" vertical="center" wrapText="1"/>
    </xf>
    <xf numFmtId="0" fontId="36" fillId="7" borderId="38" xfId="0" applyFont="1" applyFill="1" applyBorder="1" applyAlignment="1">
      <alignment horizontal="center" vertical="center"/>
    </xf>
    <xf numFmtId="0" fontId="22" fillId="7" borderId="36" xfId="0" applyFont="1" applyFill="1" applyBorder="1" applyAlignment="1">
      <alignment horizontal="center" vertical="center" wrapText="1"/>
    </xf>
    <xf numFmtId="0" fontId="36" fillId="7" borderId="25" xfId="0" applyFont="1" applyFill="1" applyBorder="1" applyAlignment="1">
      <alignment horizontal="center" vertical="center"/>
    </xf>
  </cellXfs>
  <cellStyles count="3">
    <cellStyle name="Currency" xfId="2" builtinId="4"/>
    <cellStyle name="Normal" xfId="0" builtinId="0"/>
    <cellStyle name="Percent" xfId="1" builtinId="5"/>
  </cellStyles>
  <dxfs count="214">
    <dxf>
      <fill>
        <patternFill>
          <bgColor theme="0" tint="-0.14996795556505021"/>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000"/>
        </patternFill>
      </fill>
    </dxf>
    <dxf>
      <fill>
        <patternFill>
          <bgColor theme="0" tint="-0.24994659260841701"/>
        </patternFill>
      </fill>
    </dxf>
    <dxf>
      <font>
        <color rgb="FF9C0006"/>
      </font>
      <fill>
        <patternFill>
          <bgColor rgb="FFFFC0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0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tint="-0.24994659260841701"/>
        </patternFill>
      </fill>
    </dxf>
    <dxf>
      <fill>
        <patternFill>
          <bgColor rgb="FFFF0000"/>
        </patternFill>
      </fill>
    </dxf>
    <dxf>
      <fill>
        <patternFill>
          <bgColor rgb="FFFF0000"/>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9C0006"/>
      </font>
      <fill>
        <patternFill>
          <bgColor rgb="FFFFC000"/>
        </patternFill>
      </fill>
    </dxf>
    <dxf>
      <fill>
        <patternFill>
          <bgColor theme="0" tint="-0.24994659260841701"/>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rgb="FFFF0000"/>
        </patternFill>
      </fill>
    </dxf>
    <dxf>
      <fill>
        <patternFill>
          <bgColor rgb="FFFF0000"/>
        </patternFill>
      </fill>
    </dxf>
  </dxfs>
  <tableStyles count="0" defaultTableStyle="TableStyleMedium9" defaultPivotStyle="PivotStyleLight16"/>
  <colors>
    <mruColors>
      <color rgb="FFB7DEE8"/>
      <color rgb="FF61CF0F"/>
      <color rgb="FFFF0066"/>
      <color rgb="FFFD7955"/>
      <color rgb="FFFFFFCC"/>
      <color rgb="FFFF3300"/>
      <color rgb="FF60CB0F"/>
      <color rgb="FF90E8E8"/>
      <color rgb="FFC5D9F1"/>
      <color rgb="FFFF43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fr-CA" sz="1800"/>
              <a:t>Régression polynomiale - CEPM  </a:t>
            </a:r>
          </a:p>
        </c:rich>
      </c:tx>
      <c:layout>
        <c:manualLayout>
          <c:xMode val="edge"/>
          <c:yMode val="edge"/>
          <c:x val="0.39155618219269961"/>
          <c:y val="2.9611601580106353E-2"/>
        </c:manualLayout>
      </c:layout>
      <c:overlay val="1"/>
    </c:title>
    <c:autoTitleDeleted val="0"/>
    <c:plotArea>
      <c:layout>
        <c:manualLayout>
          <c:layoutTarget val="inner"/>
          <c:xMode val="edge"/>
          <c:yMode val="edge"/>
          <c:x val="9.3550454148373416E-2"/>
          <c:y val="9.5352185782771701E-2"/>
          <c:w val="0.77255772294121949"/>
          <c:h val="0.76080193661055473"/>
        </c:manualLayout>
      </c:layout>
      <c:scatterChart>
        <c:scatterStyle val="lineMarker"/>
        <c:varyColors val="0"/>
        <c:ser>
          <c:idx val="0"/>
          <c:order val="0"/>
          <c:tx>
            <c:v>féminin</c:v>
          </c:tx>
          <c:spPr>
            <a:ln w="28575">
              <a:noFill/>
            </a:ln>
          </c:spPr>
          <c:marker>
            <c:symbol val="circle"/>
            <c:size val="10"/>
            <c:spPr>
              <a:solidFill>
                <a:srgbClr val="EA6A5C"/>
              </a:solidFill>
            </c:spPr>
          </c:marker>
          <c:xVal>
            <c:numRef>
              <c:f>'métho glo détail 2'!$D$5:$D$29</c:f>
              <c:numCache>
                <c:formatCode>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'métho glo détail 2'!$E$5:$E$29</c:f>
              <c:numCache>
                <c:formatCode>_("$"* #,##0.00_);_("$"* \(#,##0.00\);_("$"* "-"??_);_(@_)</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0"/>
          <c:extLst>
            <c:ext xmlns:c16="http://schemas.microsoft.com/office/drawing/2014/chart" uri="{C3380CC4-5D6E-409C-BE32-E72D297353CC}">
              <c16:uniqueId val="{00000000-7BC6-42E7-9D31-155F75A9033D}"/>
            </c:ext>
          </c:extLst>
        </c:ser>
        <c:ser>
          <c:idx val="1"/>
          <c:order val="1"/>
          <c:tx>
            <c:v>masculin</c:v>
          </c:tx>
          <c:spPr>
            <a:ln w="28575">
              <a:noFill/>
            </a:ln>
          </c:spPr>
          <c:marker>
            <c:symbol val="triangle"/>
            <c:size val="10"/>
            <c:spPr>
              <a:solidFill>
                <a:srgbClr val="0070C0"/>
              </a:solidFill>
              <a:ln>
                <a:noFill/>
              </a:ln>
            </c:spPr>
          </c:marker>
          <c:trendline>
            <c:trendlineType val="poly"/>
            <c:order val="2"/>
            <c:dispRSqr val="1"/>
            <c:dispEq val="1"/>
            <c:trendlineLbl>
              <c:numFmt formatCode="General" sourceLinked="0"/>
            </c:trendlineLbl>
          </c:trendline>
          <c:xVal>
            <c:numRef>
              <c:f>'métho glo détail 2'!$D$30:$D$50</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xVal>
          <c:yVal>
            <c:numRef>
              <c:f>'métho glo détail 2'!$E$30:$E$50</c:f>
              <c:numCache>
                <c:formatCode>_("$"* #,##0.00_);_("$"* \(#,##0.00\);_("$"* "-"??_);_(@_)</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2-7BC6-42E7-9D31-155F75A9033D}"/>
            </c:ext>
          </c:extLst>
        </c:ser>
        <c:dLbls>
          <c:showLegendKey val="0"/>
          <c:showVal val="0"/>
          <c:showCatName val="0"/>
          <c:showSerName val="0"/>
          <c:showPercent val="0"/>
          <c:showBubbleSize val="0"/>
        </c:dLbls>
        <c:axId val="68516480"/>
        <c:axId val="68530944"/>
      </c:scatterChart>
      <c:valAx>
        <c:axId val="68516480"/>
        <c:scaling>
          <c:orientation val="minMax"/>
          <c:min val="20"/>
        </c:scaling>
        <c:delete val="0"/>
        <c:axPos val="b"/>
        <c:majorGridlines>
          <c:spPr>
            <a:ln w="25400">
              <a:solidFill>
                <a:schemeClr val="tx1">
                  <a:shade val="95000"/>
                  <a:satMod val="105000"/>
                </a:schemeClr>
              </a:solidFill>
            </a:ln>
          </c:spPr>
        </c:majorGridlines>
        <c:title>
          <c:tx>
            <c:rich>
              <a:bodyPr/>
              <a:lstStyle/>
              <a:p>
                <a:pPr>
                  <a:defRPr sz="1800"/>
                </a:pPr>
                <a:r>
                  <a:rPr lang="fr-CA" sz="1800"/>
                  <a:t>valeur de la CE</a:t>
                </a:r>
              </a:p>
            </c:rich>
          </c:tx>
          <c:layout>
            <c:manualLayout>
              <c:xMode val="edge"/>
              <c:yMode val="edge"/>
              <c:x val="0.44739821601673424"/>
              <c:y val="0.93186017086509609"/>
            </c:manualLayout>
          </c:layout>
          <c:overlay val="0"/>
        </c:title>
        <c:numFmt formatCode="0.0" sourceLinked="1"/>
        <c:majorTickMark val="out"/>
        <c:minorTickMark val="none"/>
        <c:tickLblPos val="nextTo"/>
        <c:crossAx val="68530944"/>
        <c:crosses val="autoZero"/>
        <c:crossBetween val="midCat"/>
      </c:valAx>
      <c:valAx>
        <c:axId val="68530944"/>
        <c:scaling>
          <c:orientation val="minMax"/>
          <c:min val="0"/>
        </c:scaling>
        <c:delete val="0"/>
        <c:axPos val="l"/>
        <c:majorGridlines>
          <c:spPr>
            <a:ln>
              <a:solidFill>
                <a:schemeClr val="bg1">
                  <a:lumMod val="75000"/>
                </a:schemeClr>
              </a:solidFill>
            </a:ln>
          </c:spPr>
        </c:majorGridlines>
        <c:title>
          <c:tx>
            <c:rich>
              <a:bodyPr rot="-5400000" vert="horz"/>
              <a:lstStyle/>
              <a:p>
                <a:pPr>
                  <a:defRPr sz="1800"/>
                </a:pPr>
                <a:r>
                  <a:rPr lang="fr-CA" sz="1800"/>
                  <a:t>taux horaire CE</a:t>
                </a:r>
              </a:p>
            </c:rich>
          </c:tx>
          <c:layout>
            <c:manualLayout>
              <c:xMode val="edge"/>
              <c:yMode val="edge"/>
              <c:x val="2.2921166306695471E-2"/>
              <c:y val="0.42612500130711578"/>
            </c:manualLayout>
          </c:layout>
          <c:overlay val="0"/>
        </c:title>
        <c:numFmt formatCode="_ * #\ ##,000_)\ &quot;$&quot;_ ;_ * \(#\ ##,000\)\ &quot;$&quot;_ ;_ * &quot;-&quot;??_)\ &quot;$&quot;_ ;_ @_ " sourceLinked="0"/>
        <c:majorTickMark val="out"/>
        <c:minorTickMark val="none"/>
        <c:tickLblPos val="nextTo"/>
        <c:crossAx val="68516480"/>
        <c:crosses val="autoZero"/>
        <c:crossBetween val="midCat"/>
      </c:valAx>
    </c:plotArea>
    <c:legend>
      <c:legendPos val="r"/>
      <c:layout>
        <c:manualLayout>
          <c:xMode val="edge"/>
          <c:yMode val="edge"/>
          <c:x val="0.88869194401455764"/>
          <c:y val="0.46555980801204638"/>
          <c:w val="0.11040812797968302"/>
          <c:h val="8.2160491890704901E-2"/>
        </c:manualLayout>
      </c:layout>
      <c:overlay val="0"/>
      <c:spPr>
        <a:ln w="15875"/>
      </c:spPr>
    </c:legend>
    <c:plotVisOnly val="1"/>
    <c:dispBlanksAs val="gap"/>
    <c:showDLblsOverMax val="0"/>
  </c:chart>
  <c:txPr>
    <a:bodyPr/>
    <a:lstStyle/>
    <a:p>
      <a:pPr>
        <a:defRPr sz="1200"/>
      </a:pPr>
      <a:endParaRPr lang="fr-FR"/>
    </a:p>
  </c:txPr>
  <c:printSettings>
    <c:headerFooter/>
    <c:pageMargins b="0.75000000000001465" l="0.70000000000000062" r="0.70000000000000062" t="0.75000000000001465"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238579</xdr:colOff>
      <xdr:row>3</xdr:row>
      <xdr:rowOff>63502</xdr:rowOff>
    </xdr:from>
    <xdr:to>
      <xdr:col>26</xdr:col>
      <xdr:colOff>408214</xdr:colOff>
      <xdr:row>34</xdr:row>
      <xdr:rowOff>179616</xdr:rowOff>
    </xdr:to>
    <xdr:graphicFrame macro="">
      <xdr:nvGraphicFramePr>
        <xdr:cNvPr id="3" name="Graphique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4</xdr:col>
      <xdr:colOff>54429</xdr:colOff>
      <xdr:row>3</xdr:row>
      <xdr:rowOff>337457</xdr:rowOff>
    </xdr:from>
    <xdr:to>
      <xdr:col>8</xdr:col>
      <xdr:colOff>97972</xdr:colOff>
      <xdr:row>16</xdr:row>
      <xdr:rowOff>195943</xdr:rowOff>
    </xdr:to>
    <xdr:sp macro="" textlink="">
      <xdr:nvSpPr>
        <xdr:cNvPr id="4" name="Interdiction 3">
          <a:extLst>
            <a:ext uri="{FF2B5EF4-FFF2-40B4-BE49-F238E27FC236}">
              <a16:creationId xmlns:a16="http://schemas.microsoft.com/office/drawing/2014/main" id="{00000000-0008-0000-0200-000004000000}"/>
            </a:ext>
          </a:extLst>
        </xdr:cNvPr>
        <xdr:cNvSpPr/>
      </xdr:nvSpPr>
      <xdr:spPr>
        <a:xfrm>
          <a:off x="4343400" y="1001486"/>
          <a:ext cx="3472543" cy="3091543"/>
        </a:xfrm>
        <a:prstGeom prst="noSmoking">
          <a:avLst/>
        </a:prstGeom>
        <a:solidFill>
          <a:srgbClr val="FF0000">
            <a:alpha val="56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solidFill>
              <a:schemeClr val="tx1"/>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0.39034</cdr:x>
      <cdr:y>0.01469</cdr:y>
    </cdr:from>
    <cdr:to>
      <cdr:x>0.6881</cdr:x>
      <cdr:y>0.06883</cdr:y>
    </cdr:to>
    <cdr:sp macro="" textlink="">
      <cdr:nvSpPr>
        <cdr:cNvPr id="2" name="ZoneTexte 1"/>
        <cdr:cNvSpPr txBox="1"/>
      </cdr:nvSpPr>
      <cdr:spPr>
        <a:xfrm xmlns:a="http://schemas.openxmlformats.org/drawingml/2006/main">
          <a:off x="6459765" y="120650"/>
          <a:ext cx="4927600" cy="444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CA"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tabColor rgb="FF07DF0C"/>
    <pageSetUpPr fitToPage="1"/>
  </sheetPr>
  <dimension ref="A1:AH136"/>
  <sheetViews>
    <sheetView topLeftCell="A5" zoomScale="40" zoomScaleNormal="40" workbookViewId="0">
      <pane xSplit="3" topLeftCell="H1" activePane="topRight" state="frozen"/>
      <selection pane="topRight" activeCell="W15" sqref="W15"/>
    </sheetView>
  </sheetViews>
  <sheetFormatPr defaultColWidth="6.7109375" defaultRowHeight="21"/>
  <cols>
    <col min="1" max="1" width="6.5703125" style="18" customWidth="1"/>
    <col min="2" max="2" width="125.42578125" style="80" customWidth="1"/>
    <col min="3" max="3" width="8" style="18" customWidth="1"/>
    <col min="4" max="4" width="27.7109375" style="18" customWidth="1"/>
    <col min="5" max="5" width="27" style="18" customWidth="1"/>
    <col min="6" max="6" width="27.28515625" style="18" customWidth="1"/>
    <col min="7" max="12" width="9.7109375" style="18" customWidth="1"/>
    <col min="13" max="13" width="22.5703125" style="18" customWidth="1"/>
    <col min="14" max="14" width="26.42578125" style="18" customWidth="1"/>
    <col min="15" max="15" width="26.28515625" style="18" customWidth="1"/>
    <col min="16" max="16" width="29.7109375" style="18" customWidth="1"/>
    <col min="17" max="17" width="28.7109375" style="18" customWidth="1"/>
    <col min="18" max="18" width="26.28515625" style="18" customWidth="1"/>
    <col min="19" max="21" width="9.7109375" style="18" customWidth="1"/>
    <col min="22" max="22" width="24.7109375" style="18" customWidth="1"/>
    <col min="23" max="23" width="16.7109375" style="18" customWidth="1"/>
    <col min="24" max="24" width="30.28515625" style="44" customWidth="1"/>
    <col min="25" max="25" width="25" style="18" customWidth="1"/>
    <col min="26" max="26" width="16.5703125" style="18" customWidth="1"/>
    <col min="27" max="27" width="18" style="18" customWidth="1"/>
    <col min="28" max="28" width="16.7109375" style="18" customWidth="1"/>
    <col min="29" max="29" width="20.7109375" style="19" customWidth="1"/>
    <col min="30" max="37" width="9.7109375" style="18" customWidth="1"/>
    <col min="38" max="16384" width="6.7109375" style="18"/>
  </cols>
  <sheetData>
    <row r="1" spans="1:34" ht="49.15" customHeight="1">
      <c r="A1" s="40"/>
      <c r="B1" s="45" t="s">
        <v>100</v>
      </c>
      <c r="C1" s="46"/>
      <c r="D1" s="47"/>
      <c r="E1" s="47"/>
      <c r="F1" s="47"/>
      <c r="G1" s="47"/>
      <c r="H1" s="47"/>
      <c r="I1" s="47"/>
      <c r="J1" s="40"/>
      <c r="K1" s="40"/>
      <c r="L1" s="40"/>
      <c r="M1" s="40"/>
      <c r="N1" s="40"/>
      <c r="O1" s="40"/>
      <c r="P1" s="40"/>
      <c r="Q1" s="40"/>
      <c r="R1" s="40"/>
      <c r="S1" s="40"/>
      <c r="T1" s="40"/>
      <c r="U1" s="40"/>
      <c r="V1" s="40"/>
      <c r="W1" s="40"/>
      <c r="X1" s="40"/>
      <c r="Y1" s="40"/>
      <c r="Z1" s="40"/>
      <c r="AA1" s="40"/>
      <c r="AB1" s="40"/>
      <c r="AC1" s="40"/>
      <c r="AD1" s="40"/>
      <c r="AE1" s="40"/>
      <c r="AF1" s="40"/>
      <c r="AG1" s="40"/>
      <c r="AH1" s="40"/>
    </row>
    <row r="2" spans="1:34" ht="34.5" customHeight="1" thickBot="1">
      <c r="A2" s="40"/>
      <c r="B2" s="104" t="s">
        <v>46</v>
      </c>
      <c r="C2" s="40"/>
      <c r="D2" s="152">
        <f>D7/D6</f>
        <v>25</v>
      </c>
      <c r="E2" s="153">
        <f>E7/E6</f>
        <v>16</v>
      </c>
      <c r="F2" s="155">
        <f>F7/F6</f>
        <v>16</v>
      </c>
      <c r="G2" s="40"/>
      <c r="H2" s="40"/>
      <c r="I2" s="40"/>
      <c r="J2" s="40"/>
      <c r="K2" s="40"/>
      <c r="L2" s="40"/>
      <c r="M2" s="155">
        <f t="shared" ref="M2:R2" si="0">M7/M6</f>
        <v>20</v>
      </c>
      <c r="N2" s="155">
        <f t="shared" si="0"/>
        <v>18</v>
      </c>
      <c r="O2" s="155">
        <f t="shared" si="0"/>
        <v>17.5</v>
      </c>
      <c r="P2" s="155">
        <f t="shared" si="0"/>
        <v>26</v>
      </c>
      <c r="Q2" s="155">
        <f t="shared" si="0"/>
        <v>24</v>
      </c>
      <c r="R2" s="155">
        <f t="shared" si="0"/>
        <v>22.5</v>
      </c>
      <c r="S2" s="40"/>
      <c r="T2" s="40"/>
      <c r="U2" s="40"/>
      <c r="V2" s="155">
        <f>V7/V6</f>
        <v>18</v>
      </c>
      <c r="W2" s="40"/>
      <c r="X2" s="40"/>
      <c r="Y2" s="40"/>
      <c r="Z2" s="40"/>
      <c r="AA2" s="40"/>
      <c r="AB2" s="40"/>
      <c r="AC2" s="40"/>
      <c r="AD2" s="40"/>
      <c r="AE2" s="40"/>
      <c r="AF2" s="40"/>
      <c r="AG2" s="40"/>
      <c r="AH2" s="40"/>
    </row>
    <row r="3" spans="1:34" ht="70.5" customHeight="1" thickTop="1" thickBot="1">
      <c r="A3" s="40"/>
      <c r="B3" s="76" t="s">
        <v>40</v>
      </c>
      <c r="C3" s="48"/>
      <c r="D3" s="175" t="s">
        <v>12</v>
      </c>
      <c r="E3" s="175"/>
      <c r="F3" s="175"/>
      <c r="G3" s="177" t="s">
        <v>13</v>
      </c>
      <c r="H3" s="177"/>
      <c r="I3" s="177"/>
      <c r="J3" s="177"/>
      <c r="K3" s="177"/>
      <c r="L3" s="177"/>
      <c r="M3" s="175"/>
      <c r="N3" s="175"/>
      <c r="O3" s="175"/>
      <c r="P3" s="175" t="s">
        <v>14</v>
      </c>
      <c r="Q3" s="175"/>
      <c r="R3" s="175"/>
      <c r="S3" s="170" t="s">
        <v>15</v>
      </c>
      <c r="T3" s="171"/>
      <c r="U3" s="171"/>
      <c r="V3" s="172"/>
      <c r="W3" s="167" t="s">
        <v>45</v>
      </c>
      <c r="X3" s="40"/>
      <c r="Z3" s="40"/>
      <c r="AA3" s="40"/>
      <c r="AB3" s="40"/>
      <c r="AC3" s="40"/>
      <c r="AD3" s="40"/>
      <c r="AE3" s="40"/>
      <c r="AF3" s="40"/>
      <c r="AG3" s="40"/>
      <c r="AH3" s="40"/>
    </row>
    <row r="4" spans="1:34" ht="82.5" customHeight="1" thickTop="1" thickBot="1">
      <c r="A4" s="40"/>
      <c r="B4" s="154" t="s">
        <v>1</v>
      </c>
      <c r="C4" s="49"/>
      <c r="D4" s="50" t="s">
        <v>3</v>
      </c>
      <c r="E4" s="144" t="s">
        <v>94</v>
      </c>
      <c r="F4" s="144" t="s">
        <v>95</v>
      </c>
      <c r="G4" s="173" t="s">
        <v>18</v>
      </c>
      <c r="H4" s="174"/>
      <c r="I4" s="174"/>
      <c r="J4" s="174"/>
      <c r="K4" s="174"/>
      <c r="L4" s="174"/>
      <c r="M4" s="176"/>
      <c r="N4" s="145" t="s">
        <v>98</v>
      </c>
      <c r="O4" s="144" t="s">
        <v>99</v>
      </c>
      <c r="P4" s="144" t="s">
        <v>97</v>
      </c>
      <c r="Q4" s="144" t="s">
        <v>96</v>
      </c>
      <c r="R4" s="50" t="s">
        <v>4</v>
      </c>
      <c r="S4" s="173" t="s">
        <v>55</v>
      </c>
      <c r="T4" s="174"/>
      <c r="U4" s="174"/>
      <c r="V4" s="174"/>
      <c r="W4" s="168"/>
      <c r="X4" s="40"/>
      <c r="Y4" s="40"/>
      <c r="Z4" s="40"/>
      <c r="AA4" s="40"/>
      <c r="AB4" s="40"/>
      <c r="AC4" s="40"/>
      <c r="AD4" s="40"/>
      <c r="AE4" s="40"/>
      <c r="AF4" s="40"/>
      <c r="AG4" s="40"/>
      <c r="AH4" s="40"/>
    </row>
    <row r="5" spans="1:34" s="6" customFormat="1" ht="149.25" customHeight="1" thickBot="1">
      <c r="A5" s="41"/>
      <c r="B5" s="78"/>
      <c r="C5" s="49"/>
      <c r="D5" s="51" t="s">
        <v>19</v>
      </c>
      <c r="E5" s="51" t="s">
        <v>19</v>
      </c>
      <c r="F5" s="51" t="s">
        <v>19</v>
      </c>
      <c r="G5" s="52" t="s">
        <v>53</v>
      </c>
      <c r="H5" s="53" t="s">
        <v>52</v>
      </c>
      <c r="I5" s="53" t="s">
        <v>51</v>
      </c>
      <c r="J5" s="53" t="s">
        <v>50</v>
      </c>
      <c r="K5" s="53" t="s">
        <v>49</v>
      </c>
      <c r="L5" s="74" t="s">
        <v>28</v>
      </c>
      <c r="M5" s="51" t="s">
        <v>19</v>
      </c>
      <c r="N5" s="54" t="s">
        <v>19</v>
      </c>
      <c r="O5" s="55" t="s">
        <v>19</v>
      </c>
      <c r="P5" s="51" t="s">
        <v>19</v>
      </c>
      <c r="Q5" s="51" t="s">
        <v>19</v>
      </c>
      <c r="R5" s="51" t="s">
        <v>19</v>
      </c>
      <c r="S5" s="56" t="s">
        <v>47</v>
      </c>
      <c r="T5" s="57" t="s">
        <v>48</v>
      </c>
      <c r="U5" s="73" t="s">
        <v>28</v>
      </c>
      <c r="V5" s="58" t="s">
        <v>19</v>
      </c>
      <c r="W5" s="105">
        <v>1000</v>
      </c>
      <c r="X5" s="106"/>
      <c r="Y5" s="102"/>
      <c r="Z5" s="75"/>
      <c r="AA5" s="75"/>
      <c r="AB5" s="75"/>
      <c r="AC5" s="42"/>
      <c r="AD5" s="41"/>
      <c r="AE5" s="41"/>
      <c r="AF5" s="41"/>
      <c r="AG5" s="41"/>
      <c r="AH5" s="41"/>
    </row>
    <row r="6" spans="1:34" ht="36" customHeight="1">
      <c r="A6" s="40"/>
      <c r="B6" s="79" t="s">
        <v>17</v>
      </c>
      <c r="C6" s="169" t="s">
        <v>29</v>
      </c>
      <c r="D6" s="158">
        <v>6</v>
      </c>
      <c r="E6" s="158">
        <v>5</v>
      </c>
      <c r="F6" s="158">
        <v>5</v>
      </c>
      <c r="G6" s="59"/>
      <c r="H6" s="60"/>
      <c r="I6" s="60"/>
      <c r="J6" s="60"/>
      <c r="K6" s="60"/>
      <c r="L6" s="61"/>
      <c r="M6" s="62">
        <v>5</v>
      </c>
      <c r="N6" s="62">
        <v>5</v>
      </c>
      <c r="O6" s="62">
        <v>4</v>
      </c>
      <c r="P6" s="62">
        <v>5</v>
      </c>
      <c r="Q6" s="62">
        <v>5</v>
      </c>
      <c r="R6" s="156">
        <v>4</v>
      </c>
      <c r="S6" s="63"/>
      <c r="T6" s="64"/>
      <c r="U6" s="65"/>
      <c r="V6" s="157">
        <v>5</v>
      </c>
      <c r="W6" s="108"/>
      <c r="X6" s="102"/>
      <c r="Y6" s="40"/>
      <c r="Z6" s="40"/>
      <c r="AA6" s="40"/>
      <c r="AB6" s="40"/>
      <c r="AC6" s="40"/>
      <c r="AD6" s="40"/>
      <c r="AE6" s="40"/>
      <c r="AF6" s="40"/>
      <c r="AG6" s="40"/>
      <c r="AH6" s="40"/>
    </row>
    <row r="7" spans="1:34" ht="39.75" customHeight="1">
      <c r="A7" s="40"/>
      <c r="B7" s="79" t="s">
        <v>16</v>
      </c>
      <c r="C7" s="169"/>
      <c r="D7" s="160">
        <f>D8*W5</f>
        <v>150</v>
      </c>
      <c r="E7" s="160">
        <f>E8*W5</f>
        <v>80</v>
      </c>
      <c r="F7" s="160">
        <f>F8*W5</f>
        <v>80</v>
      </c>
      <c r="G7" s="67"/>
      <c r="H7" s="67"/>
      <c r="I7" s="67"/>
      <c r="J7" s="67"/>
      <c r="K7" s="67"/>
      <c r="L7" s="67"/>
      <c r="M7" s="160">
        <f>M8*W5</f>
        <v>100</v>
      </c>
      <c r="N7" s="160">
        <f>N8*W5</f>
        <v>90</v>
      </c>
      <c r="O7" s="160">
        <f>O8*W5</f>
        <v>70</v>
      </c>
      <c r="P7" s="160">
        <f>P8*W5</f>
        <v>130</v>
      </c>
      <c r="Q7" s="160">
        <f>Q8*W5</f>
        <v>120</v>
      </c>
      <c r="R7" s="160">
        <f>R8*W5</f>
        <v>90</v>
      </c>
      <c r="S7" s="68"/>
      <c r="T7" s="68"/>
      <c r="U7" s="69"/>
      <c r="V7" s="161">
        <f>V8*W5</f>
        <v>90</v>
      </c>
      <c r="W7" s="99">
        <f>V7+R7+Q7+P7+O7+N7+M7+F7+E7+D7</f>
        <v>1000</v>
      </c>
      <c r="X7" s="102"/>
      <c r="Y7" s="40"/>
      <c r="Z7" s="66"/>
      <c r="AA7" s="66"/>
      <c r="AB7" s="66"/>
      <c r="AC7" s="40"/>
      <c r="AD7" s="40"/>
      <c r="AE7" s="40"/>
      <c r="AF7" s="40"/>
      <c r="AG7" s="40"/>
      <c r="AH7" s="40"/>
    </row>
    <row r="8" spans="1:34" ht="74.25" customHeight="1" thickBot="1">
      <c r="A8" s="40"/>
      <c r="B8" s="79" t="s">
        <v>0</v>
      </c>
      <c r="C8" s="169"/>
      <c r="D8" s="159">
        <v>0.15</v>
      </c>
      <c r="E8" s="159">
        <v>0.08</v>
      </c>
      <c r="F8" s="159">
        <v>0.08</v>
      </c>
      <c r="G8" s="93"/>
      <c r="H8" s="94"/>
      <c r="I8" s="94"/>
      <c r="J8" s="94"/>
      <c r="K8" s="94"/>
      <c r="L8" s="95"/>
      <c r="M8" s="70">
        <v>0.1</v>
      </c>
      <c r="N8" s="70">
        <v>0.09</v>
      </c>
      <c r="O8" s="70">
        <v>7.0000000000000007E-2</v>
      </c>
      <c r="P8" s="70">
        <v>0.13</v>
      </c>
      <c r="Q8" s="70">
        <v>0.12</v>
      </c>
      <c r="R8" s="81">
        <v>0.09</v>
      </c>
      <c r="S8" s="96"/>
      <c r="T8" s="97"/>
      <c r="U8" s="98"/>
      <c r="V8" s="70">
        <v>0.09</v>
      </c>
      <c r="W8" s="107">
        <f>D8+E8+F8+M8+N8+O8+P8+Q8+R8+V8</f>
        <v>1</v>
      </c>
      <c r="X8" s="138" t="s">
        <v>93</v>
      </c>
      <c r="Y8" s="137" t="s">
        <v>32</v>
      </c>
      <c r="Z8" s="91" t="s">
        <v>30</v>
      </c>
      <c r="AA8" s="91" t="s">
        <v>31</v>
      </c>
      <c r="AB8" s="91" t="s">
        <v>39</v>
      </c>
      <c r="AC8" s="92" t="s">
        <v>88</v>
      </c>
      <c r="AD8" s="40"/>
      <c r="AE8" s="28"/>
      <c r="AF8" s="28"/>
      <c r="AG8" s="28"/>
      <c r="AH8" s="28"/>
    </row>
    <row r="9" spans="1:34" ht="51.75" customHeight="1">
      <c r="A9" s="43">
        <v>1</v>
      </c>
      <c r="B9" s="110" t="s">
        <v>86</v>
      </c>
      <c r="C9" s="111" t="s">
        <v>2</v>
      </c>
      <c r="D9" s="147">
        <v>3</v>
      </c>
      <c r="E9" s="147">
        <v>1</v>
      </c>
      <c r="F9" s="147">
        <v>4</v>
      </c>
      <c r="G9" s="115">
        <v>0</v>
      </c>
      <c r="H9" s="115">
        <v>1</v>
      </c>
      <c r="I9" s="115">
        <v>1</v>
      </c>
      <c r="J9" s="115">
        <v>0</v>
      </c>
      <c r="K9" s="115">
        <v>0</v>
      </c>
      <c r="L9" s="114">
        <f t="shared" ref="L9:L24" si="1">SUM(G9:K9)</f>
        <v>2</v>
      </c>
      <c r="M9" s="147">
        <v>1</v>
      </c>
      <c r="N9" s="147">
        <v>1</v>
      </c>
      <c r="O9" s="147">
        <v>1</v>
      </c>
      <c r="P9" s="147">
        <v>1</v>
      </c>
      <c r="Q9" s="147">
        <v>3</v>
      </c>
      <c r="R9" s="147">
        <v>4</v>
      </c>
      <c r="S9" s="115">
        <v>4</v>
      </c>
      <c r="T9" s="115">
        <v>10</v>
      </c>
      <c r="U9" s="114">
        <f t="shared" ref="U9:U25" si="2">T9+S9</f>
        <v>14</v>
      </c>
      <c r="V9" s="147">
        <v>4</v>
      </c>
      <c r="W9" s="139">
        <f t="shared" ref="W9:W40" si="3">($D$7/$D$6*D9)+($E$7/$E$6*E9)+($F$7/$F$6*F9)+($M$7/$M$6*M9)+($N$7/$N$6*N9)+($O$7/$O$6*O9)+($P$7/$P$6*P9)+($Q$7/$Q$6*Q9)+($R$7/$R$6*R9)+($V$7/$V$6*V9)</f>
        <v>470.5</v>
      </c>
      <c r="X9" s="141">
        <v>440</v>
      </c>
      <c r="Y9" s="146">
        <v>21.66</v>
      </c>
      <c r="Z9" s="72"/>
      <c r="AA9" s="72"/>
      <c r="AB9" s="72"/>
      <c r="AC9" s="72">
        <f t="shared" ref="AC9:AC40" si="4">SUM(Y9:AB9)</f>
        <v>21.66</v>
      </c>
      <c r="AD9" s="43"/>
      <c r="AE9" s="82"/>
      <c r="AF9" s="82"/>
      <c r="AG9" s="82"/>
      <c r="AH9" s="82"/>
    </row>
    <row r="10" spans="1:34" s="17" customFormat="1" ht="51.75" customHeight="1">
      <c r="A10" s="43">
        <v>2</v>
      </c>
      <c r="B10" s="110" t="s">
        <v>87</v>
      </c>
      <c r="C10" s="111" t="s">
        <v>2</v>
      </c>
      <c r="D10" s="147">
        <v>3</v>
      </c>
      <c r="E10" s="147">
        <v>1</v>
      </c>
      <c r="F10" s="147">
        <v>4</v>
      </c>
      <c r="G10" s="115">
        <v>0</v>
      </c>
      <c r="H10" s="115">
        <v>1</v>
      </c>
      <c r="I10" s="115">
        <v>1</v>
      </c>
      <c r="J10" s="115">
        <v>0</v>
      </c>
      <c r="K10" s="115">
        <v>0</v>
      </c>
      <c r="L10" s="114">
        <f t="shared" si="1"/>
        <v>2</v>
      </c>
      <c r="M10" s="147">
        <v>1</v>
      </c>
      <c r="N10" s="147">
        <v>1</v>
      </c>
      <c r="O10" s="147">
        <v>1</v>
      </c>
      <c r="P10" s="147">
        <v>1</v>
      </c>
      <c r="Q10" s="147">
        <v>3</v>
      </c>
      <c r="R10" s="147">
        <v>4</v>
      </c>
      <c r="S10" s="115">
        <v>4</v>
      </c>
      <c r="T10" s="115">
        <v>10</v>
      </c>
      <c r="U10" s="114">
        <f t="shared" si="2"/>
        <v>14</v>
      </c>
      <c r="V10" s="147">
        <v>4</v>
      </c>
      <c r="W10" s="139">
        <f t="shared" si="3"/>
        <v>470.5</v>
      </c>
      <c r="X10" s="141">
        <v>440</v>
      </c>
      <c r="Y10" s="146">
        <v>21.66</v>
      </c>
      <c r="Z10" s="72"/>
      <c r="AA10" s="72"/>
      <c r="AB10" s="72"/>
      <c r="AC10" s="72">
        <f t="shared" si="4"/>
        <v>21.66</v>
      </c>
      <c r="AD10" s="44"/>
      <c r="AE10" s="83"/>
      <c r="AF10" s="84"/>
      <c r="AG10" s="83"/>
      <c r="AH10" s="83"/>
    </row>
    <row r="11" spans="1:34" s="17" customFormat="1" ht="51.75" customHeight="1">
      <c r="A11" s="43">
        <v>3</v>
      </c>
      <c r="B11" s="118" t="s">
        <v>77</v>
      </c>
      <c r="C11" s="111" t="s">
        <v>2</v>
      </c>
      <c r="D11" s="147">
        <v>3</v>
      </c>
      <c r="E11" s="147">
        <v>1</v>
      </c>
      <c r="F11" s="147">
        <v>2</v>
      </c>
      <c r="G11" s="115">
        <v>1</v>
      </c>
      <c r="H11" s="115">
        <v>0</v>
      </c>
      <c r="I11" s="115">
        <v>0</v>
      </c>
      <c r="J11" s="115">
        <v>1</v>
      </c>
      <c r="K11" s="115">
        <v>0</v>
      </c>
      <c r="L11" s="114">
        <f t="shared" si="1"/>
        <v>2</v>
      </c>
      <c r="M11" s="147">
        <v>1</v>
      </c>
      <c r="N11" s="147">
        <v>1</v>
      </c>
      <c r="O11" s="147">
        <v>1</v>
      </c>
      <c r="P11" s="147">
        <v>1</v>
      </c>
      <c r="Q11" s="147">
        <v>3</v>
      </c>
      <c r="R11" s="147">
        <v>1</v>
      </c>
      <c r="S11" s="115">
        <v>1</v>
      </c>
      <c r="T11" s="115">
        <v>0</v>
      </c>
      <c r="U11" s="114">
        <f t="shared" si="2"/>
        <v>1</v>
      </c>
      <c r="V11" s="147">
        <v>1</v>
      </c>
      <c r="W11" s="139">
        <f t="shared" si="3"/>
        <v>317</v>
      </c>
      <c r="X11" s="141">
        <v>344</v>
      </c>
      <c r="Y11" s="146">
        <v>19.690000000000001</v>
      </c>
      <c r="Z11" s="72"/>
      <c r="AA11" s="72"/>
      <c r="AB11" s="72"/>
      <c r="AC11" s="72">
        <f t="shared" si="4"/>
        <v>19.690000000000001</v>
      </c>
      <c r="AD11" s="43"/>
      <c r="AE11" s="83"/>
      <c r="AF11" s="83"/>
      <c r="AG11" s="83"/>
      <c r="AH11" s="83"/>
    </row>
    <row r="12" spans="1:34" s="17" customFormat="1" ht="51.75" customHeight="1">
      <c r="A12" s="43">
        <v>4</v>
      </c>
      <c r="B12" s="118" t="s">
        <v>85</v>
      </c>
      <c r="C12" s="111" t="s">
        <v>2</v>
      </c>
      <c r="D12" s="147">
        <v>3</v>
      </c>
      <c r="E12" s="147">
        <v>3</v>
      </c>
      <c r="F12" s="147">
        <v>1</v>
      </c>
      <c r="G12" s="115">
        <v>2</v>
      </c>
      <c r="H12" s="115">
        <v>2</v>
      </c>
      <c r="I12" s="115">
        <v>1</v>
      </c>
      <c r="J12" s="115">
        <v>1</v>
      </c>
      <c r="K12" s="115">
        <v>0</v>
      </c>
      <c r="L12" s="114">
        <f t="shared" si="1"/>
        <v>6</v>
      </c>
      <c r="M12" s="147">
        <v>3</v>
      </c>
      <c r="N12" s="147">
        <v>3</v>
      </c>
      <c r="O12" s="147">
        <v>3</v>
      </c>
      <c r="P12" s="147">
        <v>3</v>
      </c>
      <c r="Q12" s="147">
        <v>4</v>
      </c>
      <c r="R12" s="147">
        <v>1</v>
      </c>
      <c r="S12" s="115">
        <v>4</v>
      </c>
      <c r="T12" s="115">
        <v>1</v>
      </c>
      <c r="U12" s="114">
        <f t="shared" si="2"/>
        <v>5</v>
      </c>
      <c r="V12" s="147">
        <v>2</v>
      </c>
      <c r="W12" s="139">
        <f t="shared" si="3"/>
        <v>538</v>
      </c>
      <c r="X12" s="141">
        <v>536</v>
      </c>
      <c r="Y12" s="146">
        <v>24.9</v>
      </c>
      <c r="Z12" s="72"/>
      <c r="AA12" s="72"/>
      <c r="AB12" s="72"/>
      <c r="AC12" s="72">
        <f t="shared" si="4"/>
        <v>24.9</v>
      </c>
      <c r="AD12" s="43"/>
      <c r="AE12" s="43"/>
      <c r="AF12" s="43"/>
      <c r="AG12" s="43"/>
      <c r="AH12" s="43"/>
    </row>
    <row r="13" spans="1:34" s="17" customFormat="1" ht="51.75" customHeight="1">
      <c r="A13" s="43">
        <v>5</v>
      </c>
      <c r="B13" s="110" t="s">
        <v>72</v>
      </c>
      <c r="C13" s="111" t="s">
        <v>2</v>
      </c>
      <c r="D13" s="147">
        <v>6</v>
      </c>
      <c r="E13" s="147">
        <v>5</v>
      </c>
      <c r="F13" s="147">
        <v>1</v>
      </c>
      <c r="G13" s="115">
        <v>3</v>
      </c>
      <c r="H13" s="115">
        <v>3</v>
      </c>
      <c r="I13" s="115">
        <v>0</v>
      </c>
      <c r="J13" s="115">
        <v>3</v>
      </c>
      <c r="K13" s="115">
        <v>1</v>
      </c>
      <c r="L13" s="114">
        <f t="shared" si="1"/>
        <v>10</v>
      </c>
      <c r="M13" s="147">
        <v>5</v>
      </c>
      <c r="N13" s="147">
        <v>5</v>
      </c>
      <c r="O13" s="147">
        <v>4</v>
      </c>
      <c r="P13" s="147">
        <v>5</v>
      </c>
      <c r="Q13" s="147">
        <v>4</v>
      </c>
      <c r="R13" s="147">
        <v>1</v>
      </c>
      <c r="S13" s="115">
        <v>6</v>
      </c>
      <c r="T13" s="115">
        <v>3</v>
      </c>
      <c r="U13" s="114">
        <f t="shared" si="2"/>
        <v>9</v>
      </c>
      <c r="V13" s="147">
        <v>3</v>
      </c>
      <c r="W13" s="139">
        <f t="shared" si="3"/>
        <v>808.5</v>
      </c>
      <c r="X13" s="141">
        <v>823</v>
      </c>
      <c r="Y13" s="146">
        <v>51.74</v>
      </c>
      <c r="Z13" s="72"/>
      <c r="AA13" s="72"/>
      <c r="AB13" s="72"/>
      <c r="AC13" s="72">
        <f t="shared" si="4"/>
        <v>51.74</v>
      </c>
      <c r="AD13" s="43"/>
      <c r="AE13" s="43"/>
      <c r="AF13" s="43"/>
      <c r="AG13" s="43"/>
      <c r="AH13" s="43"/>
    </row>
    <row r="14" spans="1:34" s="17" customFormat="1" ht="51.75" customHeight="1">
      <c r="A14" s="43">
        <v>6</v>
      </c>
      <c r="B14" s="110" t="s">
        <v>90</v>
      </c>
      <c r="C14" s="111" t="s">
        <v>2</v>
      </c>
      <c r="D14" s="147">
        <v>6</v>
      </c>
      <c r="E14" s="147">
        <v>5</v>
      </c>
      <c r="F14" s="147">
        <v>2</v>
      </c>
      <c r="G14" s="115">
        <v>3</v>
      </c>
      <c r="H14" s="115">
        <v>1</v>
      </c>
      <c r="I14" s="115">
        <v>0</v>
      </c>
      <c r="J14" s="115">
        <v>2</v>
      </c>
      <c r="K14" s="115">
        <v>0</v>
      </c>
      <c r="L14" s="114">
        <f t="shared" si="1"/>
        <v>6</v>
      </c>
      <c r="M14" s="147">
        <v>3</v>
      </c>
      <c r="N14" s="147">
        <v>4</v>
      </c>
      <c r="O14" s="147">
        <v>2</v>
      </c>
      <c r="P14" s="147">
        <v>5</v>
      </c>
      <c r="Q14" s="147">
        <v>3</v>
      </c>
      <c r="R14" s="147">
        <v>1</v>
      </c>
      <c r="S14" s="115">
        <v>5</v>
      </c>
      <c r="T14" s="115">
        <v>0</v>
      </c>
      <c r="U14" s="114">
        <f t="shared" si="2"/>
        <v>5</v>
      </c>
      <c r="V14" s="147">
        <v>2</v>
      </c>
      <c r="W14" s="139">
        <f t="shared" si="3"/>
        <v>689.5</v>
      </c>
      <c r="X14" s="141">
        <v>728</v>
      </c>
      <c r="Y14" s="146">
        <v>40.11</v>
      </c>
      <c r="Z14" s="72"/>
      <c r="AA14" s="72"/>
      <c r="AB14" s="72"/>
      <c r="AC14" s="72">
        <f t="shared" si="4"/>
        <v>40.11</v>
      </c>
      <c r="AD14" s="43" t="s">
        <v>20</v>
      </c>
      <c r="AE14" s="43"/>
      <c r="AF14" s="43"/>
      <c r="AG14" s="43"/>
      <c r="AH14" s="43"/>
    </row>
    <row r="15" spans="1:34" s="17" customFormat="1" ht="51.75" customHeight="1">
      <c r="A15" s="43">
        <v>7</v>
      </c>
      <c r="B15" s="110" t="s">
        <v>91</v>
      </c>
      <c r="C15" s="111" t="s">
        <v>2</v>
      </c>
      <c r="D15" s="147">
        <v>6</v>
      </c>
      <c r="E15" s="147">
        <v>5</v>
      </c>
      <c r="F15" s="147">
        <v>2</v>
      </c>
      <c r="G15" s="115">
        <v>3</v>
      </c>
      <c r="H15" s="115">
        <v>0</v>
      </c>
      <c r="I15" s="115">
        <v>0</v>
      </c>
      <c r="J15" s="115">
        <v>2</v>
      </c>
      <c r="K15" s="115">
        <v>0</v>
      </c>
      <c r="L15" s="114">
        <f t="shared" si="1"/>
        <v>5</v>
      </c>
      <c r="M15" s="147">
        <v>3</v>
      </c>
      <c r="N15" s="147">
        <v>4</v>
      </c>
      <c r="O15" s="147">
        <v>2</v>
      </c>
      <c r="P15" s="147">
        <v>5</v>
      </c>
      <c r="Q15" s="147">
        <v>3</v>
      </c>
      <c r="R15" s="147">
        <v>1</v>
      </c>
      <c r="S15" s="115">
        <v>5</v>
      </c>
      <c r="T15" s="115">
        <v>0</v>
      </c>
      <c r="U15" s="114">
        <f t="shared" si="2"/>
        <v>5</v>
      </c>
      <c r="V15" s="147">
        <v>2</v>
      </c>
      <c r="W15" s="139">
        <f t="shared" si="3"/>
        <v>689.5</v>
      </c>
      <c r="X15" s="141">
        <v>728</v>
      </c>
      <c r="Y15" s="146">
        <v>40.11</v>
      </c>
      <c r="Z15" s="72"/>
      <c r="AA15" s="72"/>
      <c r="AB15" s="72"/>
      <c r="AC15" s="72">
        <f t="shared" si="4"/>
        <v>40.11</v>
      </c>
      <c r="AD15" s="43"/>
      <c r="AE15" s="43"/>
      <c r="AF15" s="43"/>
      <c r="AG15" s="43"/>
      <c r="AH15" s="43"/>
    </row>
    <row r="16" spans="1:34" s="17" customFormat="1" ht="51.75" customHeight="1">
      <c r="A16" s="43">
        <v>8</v>
      </c>
      <c r="B16" s="110" t="s">
        <v>71</v>
      </c>
      <c r="C16" s="111" t="s">
        <v>2</v>
      </c>
      <c r="D16" s="147">
        <v>5</v>
      </c>
      <c r="E16" s="147">
        <v>1</v>
      </c>
      <c r="F16" s="147">
        <v>5</v>
      </c>
      <c r="G16" s="115">
        <v>0</v>
      </c>
      <c r="H16" s="115">
        <v>2</v>
      </c>
      <c r="I16" s="115">
        <v>1</v>
      </c>
      <c r="J16" s="115">
        <v>0</v>
      </c>
      <c r="K16" s="115">
        <v>2</v>
      </c>
      <c r="L16" s="114">
        <f t="shared" si="1"/>
        <v>5</v>
      </c>
      <c r="M16" s="147">
        <v>3</v>
      </c>
      <c r="N16" s="147">
        <v>2</v>
      </c>
      <c r="O16" s="147">
        <v>1</v>
      </c>
      <c r="P16" s="147">
        <v>3</v>
      </c>
      <c r="Q16" s="147">
        <v>5</v>
      </c>
      <c r="R16" s="147">
        <v>2</v>
      </c>
      <c r="S16" s="115">
        <v>5</v>
      </c>
      <c r="T16" s="115">
        <v>14</v>
      </c>
      <c r="U16" s="114">
        <f t="shared" si="2"/>
        <v>19</v>
      </c>
      <c r="V16" s="147">
        <v>5</v>
      </c>
      <c r="W16" s="139">
        <f t="shared" si="3"/>
        <v>667.5</v>
      </c>
      <c r="X16" s="141">
        <v>632</v>
      </c>
      <c r="Y16" s="146">
        <v>32.880000000000003</v>
      </c>
      <c r="Z16" s="72"/>
      <c r="AA16" s="72"/>
      <c r="AB16" s="72"/>
      <c r="AC16" s="72">
        <f t="shared" si="4"/>
        <v>32.880000000000003</v>
      </c>
    </row>
    <row r="17" spans="1:29" s="17" customFormat="1" ht="51.75" customHeight="1">
      <c r="A17" s="43">
        <v>9</v>
      </c>
      <c r="B17" s="110" t="s">
        <v>82</v>
      </c>
      <c r="C17" s="111" t="s">
        <v>2</v>
      </c>
      <c r="D17" s="147">
        <v>2</v>
      </c>
      <c r="E17" s="147">
        <v>1</v>
      </c>
      <c r="F17" s="147">
        <v>2</v>
      </c>
      <c r="G17" s="115">
        <v>1</v>
      </c>
      <c r="H17" s="115">
        <v>1</v>
      </c>
      <c r="I17" s="115">
        <v>0</v>
      </c>
      <c r="J17" s="115">
        <v>1</v>
      </c>
      <c r="K17" s="115">
        <v>0</v>
      </c>
      <c r="L17" s="114">
        <f t="shared" si="1"/>
        <v>3</v>
      </c>
      <c r="M17" s="147">
        <v>2</v>
      </c>
      <c r="N17" s="147">
        <v>3</v>
      </c>
      <c r="O17" s="147">
        <v>1</v>
      </c>
      <c r="P17" s="147">
        <v>1</v>
      </c>
      <c r="Q17" s="147">
        <v>3</v>
      </c>
      <c r="R17" s="147">
        <v>1</v>
      </c>
      <c r="S17" s="115">
        <v>4</v>
      </c>
      <c r="T17" s="115">
        <v>0</v>
      </c>
      <c r="U17" s="114">
        <f t="shared" si="2"/>
        <v>4</v>
      </c>
      <c r="V17" s="147">
        <v>1</v>
      </c>
      <c r="W17" s="139">
        <f t="shared" si="3"/>
        <v>348</v>
      </c>
      <c r="X17" s="141">
        <v>344</v>
      </c>
      <c r="Y17" s="146">
        <v>19.690000000000001</v>
      </c>
      <c r="Z17" s="72"/>
      <c r="AA17" s="72"/>
      <c r="AB17" s="72"/>
      <c r="AC17" s="72">
        <f t="shared" si="4"/>
        <v>19.690000000000001</v>
      </c>
    </row>
    <row r="18" spans="1:29" s="17" customFormat="1" ht="51.75" customHeight="1">
      <c r="A18" s="43">
        <v>10</v>
      </c>
      <c r="B18" s="110" t="s">
        <v>78</v>
      </c>
      <c r="C18" s="111" t="s">
        <v>2</v>
      </c>
      <c r="D18" s="147">
        <v>5</v>
      </c>
      <c r="E18" s="147">
        <v>2</v>
      </c>
      <c r="F18" s="147">
        <v>2</v>
      </c>
      <c r="G18" s="115">
        <v>1</v>
      </c>
      <c r="H18" s="115">
        <v>0</v>
      </c>
      <c r="I18" s="115">
        <v>0</v>
      </c>
      <c r="J18" s="115">
        <v>2</v>
      </c>
      <c r="K18" s="115">
        <v>0</v>
      </c>
      <c r="L18" s="114">
        <f t="shared" si="1"/>
        <v>3</v>
      </c>
      <c r="M18" s="147">
        <v>2</v>
      </c>
      <c r="N18" s="147">
        <v>2</v>
      </c>
      <c r="O18" s="147">
        <v>1</v>
      </c>
      <c r="P18" s="147">
        <v>3</v>
      </c>
      <c r="Q18" s="147">
        <v>3</v>
      </c>
      <c r="R18" s="147">
        <v>1</v>
      </c>
      <c r="S18" s="115">
        <v>3</v>
      </c>
      <c r="T18" s="115">
        <v>0</v>
      </c>
      <c r="U18" s="114">
        <f t="shared" si="2"/>
        <v>3</v>
      </c>
      <c r="V18" s="147">
        <v>1</v>
      </c>
      <c r="W18" s="139">
        <f t="shared" si="3"/>
        <v>473</v>
      </c>
      <c r="X18" s="141">
        <v>440</v>
      </c>
      <c r="Y18" s="148">
        <v>21.66</v>
      </c>
      <c r="Z18" s="72"/>
      <c r="AA18" s="72"/>
      <c r="AB18" s="72"/>
      <c r="AC18" s="72">
        <f t="shared" si="4"/>
        <v>21.66</v>
      </c>
    </row>
    <row r="19" spans="1:29" s="17" customFormat="1" ht="51.75" customHeight="1">
      <c r="A19" s="43">
        <v>11</v>
      </c>
      <c r="B19" s="118" t="s">
        <v>76</v>
      </c>
      <c r="C19" s="111" t="s">
        <v>2</v>
      </c>
      <c r="D19" s="147">
        <v>5</v>
      </c>
      <c r="E19" s="147">
        <v>2</v>
      </c>
      <c r="F19" s="147">
        <v>2</v>
      </c>
      <c r="G19" s="115">
        <v>1</v>
      </c>
      <c r="H19" s="115">
        <v>0</v>
      </c>
      <c r="I19" s="115">
        <v>0</v>
      </c>
      <c r="J19" s="115">
        <v>2</v>
      </c>
      <c r="K19" s="115">
        <v>0</v>
      </c>
      <c r="L19" s="114">
        <f t="shared" si="1"/>
        <v>3</v>
      </c>
      <c r="M19" s="147">
        <v>2</v>
      </c>
      <c r="N19" s="147">
        <v>2</v>
      </c>
      <c r="O19" s="147">
        <v>1</v>
      </c>
      <c r="P19" s="147">
        <v>3</v>
      </c>
      <c r="Q19" s="147">
        <v>3</v>
      </c>
      <c r="R19" s="147">
        <v>1</v>
      </c>
      <c r="S19" s="115">
        <v>3</v>
      </c>
      <c r="T19" s="115">
        <v>0</v>
      </c>
      <c r="U19" s="114">
        <f t="shared" si="2"/>
        <v>3</v>
      </c>
      <c r="V19" s="147">
        <v>1</v>
      </c>
      <c r="W19" s="139">
        <f t="shared" si="3"/>
        <v>473</v>
      </c>
      <c r="X19" s="141">
        <v>440</v>
      </c>
      <c r="Y19" s="146">
        <v>21.66</v>
      </c>
      <c r="Z19" s="72"/>
      <c r="AA19" s="72"/>
      <c r="AB19" s="72"/>
      <c r="AC19" s="72">
        <f t="shared" si="4"/>
        <v>21.66</v>
      </c>
    </row>
    <row r="20" spans="1:29" s="17" customFormat="1" ht="51.75" customHeight="1">
      <c r="A20" s="43">
        <v>12</v>
      </c>
      <c r="B20" s="110" t="s">
        <v>89</v>
      </c>
      <c r="C20" s="111" t="s">
        <v>2</v>
      </c>
      <c r="D20" s="147">
        <v>4</v>
      </c>
      <c r="E20" s="147">
        <v>1</v>
      </c>
      <c r="F20" s="147">
        <v>1</v>
      </c>
      <c r="G20" s="115">
        <v>1</v>
      </c>
      <c r="H20" s="115">
        <v>0</v>
      </c>
      <c r="I20" s="115">
        <v>0</v>
      </c>
      <c r="J20" s="115">
        <v>2</v>
      </c>
      <c r="K20" s="115">
        <v>0</v>
      </c>
      <c r="L20" s="114">
        <f t="shared" si="1"/>
        <v>3</v>
      </c>
      <c r="M20" s="147">
        <v>2</v>
      </c>
      <c r="N20" s="147">
        <v>3</v>
      </c>
      <c r="O20" s="147">
        <v>2</v>
      </c>
      <c r="P20" s="147">
        <v>3</v>
      </c>
      <c r="Q20" s="147">
        <v>3</v>
      </c>
      <c r="R20" s="147">
        <v>1</v>
      </c>
      <c r="S20" s="115">
        <v>3</v>
      </c>
      <c r="T20" s="115">
        <v>0</v>
      </c>
      <c r="U20" s="114">
        <f t="shared" si="2"/>
        <v>3</v>
      </c>
      <c r="V20" s="147">
        <v>1</v>
      </c>
      <c r="W20" s="139">
        <f t="shared" si="3"/>
        <v>451.5</v>
      </c>
      <c r="X20" s="141">
        <v>440</v>
      </c>
      <c r="Y20" s="146">
        <v>21.66</v>
      </c>
      <c r="Z20" s="72"/>
      <c r="AA20" s="72"/>
      <c r="AB20" s="72"/>
      <c r="AC20" s="72">
        <f t="shared" si="4"/>
        <v>21.66</v>
      </c>
    </row>
    <row r="21" spans="1:29" s="17" customFormat="1" ht="51.75" customHeight="1">
      <c r="A21" s="43">
        <v>13</v>
      </c>
      <c r="B21" s="118" t="s">
        <v>84</v>
      </c>
      <c r="C21" s="111" t="s">
        <v>2</v>
      </c>
      <c r="D21" s="147">
        <v>5</v>
      </c>
      <c r="E21" s="147">
        <v>2</v>
      </c>
      <c r="F21" s="147">
        <v>3</v>
      </c>
      <c r="G21" s="115">
        <v>1</v>
      </c>
      <c r="H21" s="115">
        <v>0</v>
      </c>
      <c r="I21" s="115">
        <v>0</v>
      </c>
      <c r="J21" s="115">
        <v>0</v>
      </c>
      <c r="K21" s="115">
        <v>0</v>
      </c>
      <c r="L21" s="114">
        <f t="shared" si="1"/>
        <v>1</v>
      </c>
      <c r="M21" s="147">
        <v>1</v>
      </c>
      <c r="N21" s="147">
        <v>3</v>
      </c>
      <c r="O21" s="147">
        <v>1</v>
      </c>
      <c r="P21" s="147">
        <v>2</v>
      </c>
      <c r="Q21" s="147">
        <v>3</v>
      </c>
      <c r="R21" s="147">
        <v>1</v>
      </c>
      <c r="S21" s="115">
        <v>1</v>
      </c>
      <c r="T21" s="115">
        <v>0</v>
      </c>
      <c r="U21" s="114">
        <f t="shared" si="2"/>
        <v>1</v>
      </c>
      <c r="V21" s="147">
        <v>1</v>
      </c>
      <c r="W21" s="139">
        <f t="shared" si="3"/>
        <v>461</v>
      </c>
      <c r="X21" s="141">
        <v>440</v>
      </c>
      <c r="Y21" s="146">
        <v>21.66</v>
      </c>
      <c r="Z21" s="72"/>
      <c r="AA21" s="72"/>
      <c r="AB21" s="72"/>
      <c r="AC21" s="72">
        <f t="shared" si="4"/>
        <v>21.66</v>
      </c>
    </row>
    <row r="22" spans="1:29" s="17" customFormat="1" ht="51.75" customHeight="1">
      <c r="A22" s="43">
        <v>14</v>
      </c>
      <c r="B22" s="110" t="s">
        <v>81</v>
      </c>
      <c r="C22" s="111" t="s">
        <v>1</v>
      </c>
      <c r="D22" s="147">
        <v>1</v>
      </c>
      <c r="E22" s="147">
        <v>5</v>
      </c>
      <c r="F22" s="147">
        <v>3</v>
      </c>
      <c r="G22" s="115">
        <v>0</v>
      </c>
      <c r="H22" s="115">
        <v>1</v>
      </c>
      <c r="I22" s="115">
        <v>0</v>
      </c>
      <c r="J22" s="115">
        <v>0</v>
      </c>
      <c r="K22" s="115">
        <v>2</v>
      </c>
      <c r="L22" s="114">
        <f t="shared" si="1"/>
        <v>3</v>
      </c>
      <c r="M22" s="147">
        <v>2</v>
      </c>
      <c r="N22" s="147">
        <v>3</v>
      </c>
      <c r="O22" s="147">
        <v>1</v>
      </c>
      <c r="P22" s="147">
        <v>2</v>
      </c>
      <c r="Q22" s="147">
        <v>2</v>
      </c>
      <c r="R22" s="147">
        <v>3</v>
      </c>
      <c r="S22" s="115">
        <v>2</v>
      </c>
      <c r="T22" s="115">
        <v>11</v>
      </c>
      <c r="U22" s="114">
        <f t="shared" si="2"/>
        <v>13</v>
      </c>
      <c r="V22" s="147">
        <v>4</v>
      </c>
      <c r="W22" s="139">
        <f t="shared" si="3"/>
        <v>504</v>
      </c>
      <c r="X22" s="141">
        <v>536</v>
      </c>
      <c r="Y22" s="146">
        <v>24.9</v>
      </c>
      <c r="Z22" s="72"/>
      <c r="AA22" s="72"/>
      <c r="AB22" s="72"/>
      <c r="AC22" s="72">
        <f t="shared" si="4"/>
        <v>24.9</v>
      </c>
    </row>
    <row r="23" spans="1:29" s="17" customFormat="1" ht="51.75" customHeight="1">
      <c r="A23" s="43">
        <v>15</v>
      </c>
      <c r="B23" s="118" t="s">
        <v>74</v>
      </c>
      <c r="C23" s="111" t="s">
        <v>1</v>
      </c>
      <c r="D23" s="147">
        <v>6</v>
      </c>
      <c r="E23" s="147">
        <v>5</v>
      </c>
      <c r="F23" s="147">
        <v>2</v>
      </c>
      <c r="G23" s="115">
        <v>3</v>
      </c>
      <c r="H23" s="115">
        <v>0</v>
      </c>
      <c r="I23" s="115">
        <v>0</v>
      </c>
      <c r="J23" s="115">
        <v>3</v>
      </c>
      <c r="K23" s="115">
        <v>0</v>
      </c>
      <c r="L23" s="114">
        <f t="shared" si="1"/>
        <v>6</v>
      </c>
      <c r="M23" s="147">
        <v>3</v>
      </c>
      <c r="N23" s="147">
        <v>4</v>
      </c>
      <c r="O23" s="147">
        <v>3</v>
      </c>
      <c r="P23" s="147">
        <v>5</v>
      </c>
      <c r="Q23" s="147">
        <v>4</v>
      </c>
      <c r="R23" s="147">
        <v>1</v>
      </c>
      <c r="S23" s="115">
        <v>4</v>
      </c>
      <c r="T23" s="115">
        <v>0</v>
      </c>
      <c r="U23" s="114">
        <f t="shared" si="2"/>
        <v>4</v>
      </c>
      <c r="V23" s="147">
        <v>1</v>
      </c>
      <c r="W23" s="139">
        <f t="shared" si="3"/>
        <v>713</v>
      </c>
      <c r="X23" s="141">
        <v>728</v>
      </c>
      <c r="Y23" s="146">
        <v>40.11</v>
      </c>
      <c r="Z23" s="72"/>
      <c r="AA23" s="72"/>
      <c r="AB23" s="72"/>
      <c r="AC23" s="72">
        <f t="shared" si="4"/>
        <v>40.11</v>
      </c>
    </row>
    <row r="24" spans="1:29" s="17" customFormat="1" ht="51.75" customHeight="1">
      <c r="A24" s="43">
        <v>16</v>
      </c>
      <c r="B24" s="110" t="s">
        <v>101</v>
      </c>
      <c r="C24" s="111" t="s">
        <v>40</v>
      </c>
      <c r="D24" s="147">
        <v>5</v>
      </c>
      <c r="E24" s="147">
        <v>2</v>
      </c>
      <c r="F24" s="147">
        <v>5</v>
      </c>
      <c r="G24" s="113">
        <v>1</v>
      </c>
      <c r="H24" s="113">
        <v>2</v>
      </c>
      <c r="I24" s="113">
        <v>1</v>
      </c>
      <c r="J24" s="113">
        <v>0</v>
      </c>
      <c r="K24" s="113">
        <v>2</v>
      </c>
      <c r="L24" s="114">
        <f t="shared" si="1"/>
        <v>6</v>
      </c>
      <c r="M24" s="147">
        <v>3</v>
      </c>
      <c r="N24" s="147">
        <v>2</v>
      </c>
      <c r="O24" s="147">
        <v>1</v>
      </c>
      <c r="P24" s="147">
        <v>3</v>
      </c>
      <c r="Q24" s="147">
        <v>5</v>
      </c>
      <c r="R24" s="147">
        <v>2</v>
      </c>
      <c r="S24" s="115">
        <v>5</v>
      </c>
      <c r="T24" s="115">
        <v>14</v>
      </c>
      <c r="U24" s="114">
        <f t="shared" si="2"/>
        <v>19</v>
      </c>
      <c r="V24" s="147">
        <v>5</v>
      </c>
      <c r="W24" s="139">
        <f t="shared" si="3"/>
        <v>683.5</v>
      </c>
      <c r="X24" s="141">
        <v>728</v>
      </c>
      <c r="Y24" s="146">
        <v>40.11</v>
      </c>
      <c r="Z24" s="72"/>
      <c r="AA24" s="72"/>
      <c r="AB24" s="72"/>
      <c r="AC24" s="72">
        <f t="shared" si="4"/>
        <v>40.11</v>
      </c>
    </row>
    <row r="25" spans="1:29" s="17" customFormat="1" ht="51.75" customHeight="1">
      <c r="A25" s="43">
        <v>17</v>
      </c>
      <c r="B25" s="110"/>
      <c r="C25" s="111" t="s">
        <v>40</v>
      </c>
      <c r="D25" s="115"/>
      <c r="E25" s="115"/>
      <c r="F25" s="115"/>
      <c r="G25" s="140"/>
      <c r="H25" s="140"/>
      <c r="I25" s="140"/>
      <c r="J25" s="140"/>
      <c r="K25" s="140"/>
      <c r="L25" s="114">
        <f>SUM(G24:K24)</f>
        <v>6</v>
      </c>
      <c r="M25" s="115"/>
      <c r="N25" s="115"/>
      <c r="O25" s="115"/>
      <c r="P25" s="115"/>
      <c r="Q25" s="115"/>
      <c r="R25" s="115"/>
      <c r="S25" s="115"/>
      <c r="T25" s="115"/>
      <c r="U25" s="114">
        <f t="shared" si="2"/>
        <v>0</v>
      </c>
      <c r="V25" s="115"/>
      <c r="W25" s="139">
        <f t="shared" si="3"/>
        <v>0</v>
      </c>
      <c r="X25" s="141"/>
      <c r="Y25" s="142"/>
      <c r="Z25" s="72"/>
      <c r="AA25" s="72"/>
      <c r="AB25" s="72"/>
      <c r="AC25" s="72">
        <f t="shared" si="4"/>
        <v>0</v>
      </c>
    </row>
    <row r="26" spans="1:29" s="17" customFormat="1" ht="51.75" hidden="1" customHeight="1">
      <c r="A26" s="43">
        <v>18</v>
      </c>
      <c r="B26" s="118"/>
      <c r="C26" s="111" t="s">
        <v>40</v>
      </c>
      <c r="D26" s="115"/>
      <c r="E26" s="115"/>
      <c r="F26" s="115"/>
      <c r="G26" s="115"/>
      <c r="H26" s="115"/>
      <c r="I26" s="115"/>
      <c r="J26" s="115"/>
      <c r="K26" s="115"/>
      <c r="L26" s="114">
        <f>SUM(G26:K26)</f>
        <v>0</v>
      </c>
      <c r="M26" s="115"/>
      <c r="N26" s="115"/>
      <c r="O26" s="115"/>
      <c r="P26" s="115"/>
      <c r="Q26" s="115"/>
      <c r="R26" s="115"/>
      <c r="S26" s="115"/>
      <c r="T26" s="115"/>
      <c r="U26" s="114">
        <f t="shared" ref="U26:U27" si="5">T26+S26</f>
        <v>0</v>
      </c>
      <c r="V26" s="115"/>
      <c r="W26" s="139">
        <f t="shared" si="3"/>
        <v>0</v>
      </c>
      <c r="X26" s="141"/>
      <c r="Y26" s="143"/>
      <c r="Z26" s="72"/>
      <c r="AA26" s="72"/>
      <c r="AB26" s="72"/>
      <c r="AC26" s="72">
        <f t="shared" si="4"/>
        <v>0</v>
      </c>
    </row>
    <row r="27" spans="1:29" s="17" customFormat="1" ht="51.75" hidden="1" customHeight="1">
      <c r="A27" s="43">
        <v>19</v>
      </c>
      <c r="B27" s="110"/>
      <c r="C27" s="111" t="s">
        <v>40</v>
      </c>
      <c r="D27" s="115"/>
      <c r="E27" s="115"/>
      <c r="F27" s="115"/>
      <c r="G27" s="115"/>
      <c r="H27" s="115"/>
      <c r="I27" s="115"/>
      <c r="J27" s="115"/>
      <c r="K27" s="115"/>
      <c r="L27" s="114">
        <f>SUM(G27:K27)</f>
        <v>0</v>
      </c>
      <c r="M27" s="115"/>
      <c r="N27" s="115"/>
      <c r="O27" s="115"/>
      <c r="P27" s="115"/>
      <c r="Q27" s="115"/>
      <c r="R27" s="115"/>
      <c r="S27" s="115"/>
      <c r="T27" s="115">
        <v>0</v>
      </c>
      <c r="U27" s="114">
        <f t="shared" si="5"/>
        <v>0</v>
      </c>
      <c r="V27" s="115"/>
      <c r="W27" s="139">
        <f t="shared" si="3"/>
        <v>0</v>
      </c>
      <c r="X27" s="141"/>
      <c r="Y27" s="143"/>
      <c r="Z27" s="72"/>
      <c r="AA27" s="72"/>
      <c r="AB27" s="72"/>
      <c r="AC27" s="72">
        <f t="shared" si="4"/>
        <v>0</v>
      </c>
    </row>
    <row r="28" spans="1:29" s="17" customFormat="1" ht="51.75" hidden="1" customHeight="1">
      <c r="A28" s="43">
        <v>20</v>
      </c>
      <c r="B28" s="110"/>
      <c r="C28" s="111" t="s">
        <v>40</v>
      </c>
      <c r="D28" s="112"/>
      <c r="E28" s="112"/>
      <c r="F28" s="112"/>
      <c r="G28" s="113"/>
      <c r="H28" s="113"/>
      <c r="I28" s="115"/>
      <c r="J28" s="113"/>
      <c r="K28" s="113"/>
      <c r="L28" s="114">
        <f t="shared" ref="L28:L40" si="6">SUM(G28:K28)</f>
        <v>0</v>
      </c>
      <c r="M28" s="112"/>
      <c r="N28" s="112"/>
      <c r="O28" s="112"/>
      <c r="P28" s="112"/>
      <c r="Q28" s="112"/>
      <c r="R28" s="112"/>
      <c r="S28" s="115"/>
      <c r="T28" s="115"/>
      <c r="U28" s="114">
        <f t="shared" ref="U28:U40" si="7">T28+S28</f>
        <v>0</v>
      </c>
      <c r="V28" s="112"/>
      <c r="W28" s="77">
        <f t="shared" si="3"/>
        <v>0</v>
      </c>
      <c r="X28" s="103">
        <f t="shared" ref="X28:X40" si="8">ROUND(W28,0)</f>
        <v>0</v>
      </c>
      <c r="Y28" s="72"/>
      <c r="Z28" s="72"/>
      <c r="AA28" s="72"/>
      <c r="AB28" s="72"/>
      <c r="AC28" s="72">
        <f t="shared" si="4"/>
        <v>0</v>
      </c>
    </row>
    <row r="29" spans="1:29" s="17" customFormat="1" ht="51.75" hidden="1" customHeight="1">
      <c r="A29" s="43">
        <v>21</v>
      </c>
      <c r="B29" s="118"/>
      <c r="C29" s="111" t="s">
        <v>40</v>
      </c>
      <c r="D29" s="112"/>
      <c r="E29" s="112"/>
      <c r="F29" s="112"/>
      <c r="G29" s="113"/>
      <c r="H29" s="113"/>
      <c r="I29" s="115"/>
      <c r="J29" s="113"/>
      <c r="K29" s="113"/>
      <c r="L29" s="114">
        <f t="shared" si="6"/>
        <v>0</v>
      </c>
      <c r="M29" s="112"/>
      <c r="N29" s="112"/>
      <c r="O29" s="112"/>
      <c r="P29" s="112"/>
      <c r="Q29" s="112"/>
      <c r="R29" s="112"/>
      <c r="S29" s="115"/>
      <c r="T29" s="115"/>
      <c r="U29" s="114">
        <f t="shared" si="7"/>
        <v>0</v>
      </c>
      <c r="V29" s="112"/>
      <c r="W29" s="77">
        <f t="shared" si="3"/>
        <v>0</v>
      </c>
      <c r="X29" s="103">
        <f t="shared" si="8"/>
        <v>0</v>
      </c>
      <c r="Y29" s="72"/>
      <c r="Z29" s="72"/>
      <c r="AA29" s="72"/>
      <c r="AB29" s="72"/>
      <c r="AC29" s="72">
        <f t="shared" si="4"/>
        <v>0</v>
      </c>
    </row>
    <row r="30" spans="1:29" s="17" customFormat="1" ht="51.75" hidden="1" customHeight="1">
      <c r="A30" s="43">
        <v>22</v>
      </c>
      <c r="B30" s="118"/>
      <c r="C30" s="111" t="s">
        <v>40</v>
      </c>
      <c r="D30" s="112"/>
      <c r="E30" s="112"/>
      <c r="F30" s="112"/>
      <c r="G30" s="113"/>
      <c r="H30" s="113"/>
      <c r="I30" s="113"/>
      <c r="J30" s="113"/>
      <c r="K30" s="113"/>
      <c r="L30" s="114">
        <f t="shared" si="6"/>
        <v>0</v>
      </c>
      <c r="M30" s="112"/>
      <c r="N30" s="112"/>
      <c r="O30" s="112"/>
      <c r="P30" s="112"/>
      <c r="Q30" s="112"/>
      <c r="R30" s="112"/>
      <c r="S30" s="115"/>
      <c r="T30" s="115"/>
      <c r="U30" s="114">
        <f t="shared" si="7"/>
        <v>0</v>
      </c>
      <c r="V30" s="112"/>
      <c r="W30" s="77">
        <f t="shared" si="3"/>
        <v>0</v>
      </c>
      <c r="X30" s="103">
        <f t="shared" si="8"/>
        <v>0</v>
      </c>
      <c r="Y30" s="72"/>
      <c r="Z30" s="72"/>
      <c r="AA30" s="72"/>
      <c r="AB30" s="72"/>
      <c r="AC30" s="72">
        <f t="shared" si="4"/>
        <v>0</v>
      </c>
    </row>
    <row r="31" spans="1:29" s="17" customFormat="1" ht="51.75" hidden="1" customHeight="1">
      <c r="A31" s="43">
        <v>23</v>
      </c>
      <c r="B31" s="118"/>
      <c r="C31" s="111" t="s">
        <v>40</v>
      </c>
      <c r="D31" s="112"/>
      <c r="E31" s="112"/>
      <c r="F31" s="112"/>
      <c r="G31" s="113"/>
      <c r="H31" s="113"/>
      <c r="I31" s="113"/>
      <c r="J31" s="113"/>
      <c r="K31" s="113"/>
      <c r="L31" s="114">
        <f t="shared" si="6"/>
        <v>0</v>
      </c>
      <c r="M31" s="112"/>
      <c r="N31" s="112"/>
      <c r="O31" s="112"/>
      <c r="P31" s="112"/>
      <c r="Q31" s="112"/>
      <c r="R31" s="112"/>
      <c r="S31" s="115"/>
      <c r="T31" s="115"/>
      <c r="U31" s="114">
        <f t="shared" si="7"/>
        <v>0</v>
      </c>
      <c r="V31" s="112"/>
      <c r="W31" s="77">
        <f t="shared" si="3"/>
        <v>0</v>
      </c>
      <c r="X31" s="103">
        <f t="shared" si="8"/>
        <v>0</v>
      </c>
      <c r="Y31" s="72"/>
      <c r="Z31" s="72"/>
      <c r="AA31" s="72"/>
      <c r="AB31" s="72"/>
      <c r="AC31" s="72">
        <f t="shared" si="4"/>
        <v>0</v>
      </c>
    </row>
    <row r="32" spans="1:29" s="17" customFormat="1" ht="51.75" hidden="1" customHeight="1">
      <c r="A32" s="43">
        <v>24</v>
      </c>
      <c r="B32" s="119"/>
      <c r="C32" s="111" t="s">
        <v>40</v>
      </c>
      <c r="D32" s="112"/>
      <c r="E32" s="112"/>
      <c r="F32" s="112"/>
      <c r="G32" s="113"/>
      <c r="H32" s="113"/>
      <c r="I32" s="115"/>
      <c r="J32" s="113"/>
      <c r="K32" s="113"/>
      <c r="L32" s="114">
        <f t="shared" si="6"/>
        <v>0</v>
      </c>
      <c r="M32" s="112"/>
      <c r="N32" s="112"/>
      <c r="O32" s="112"/>
      <c r="P32" s="112"/>
      <c r="Q32" s="112"/>
      <c r="R32" s="112"/>
      <c r="S32" s="115"/>
      <c r="T32" s="115"/>
      <c r="U32" s="114">
        <f t="shared" si="7"/>
        <v>0</v>
      </c>
      <c r="V32" s="112"/>
      <c r="W32" s="77">
        <f t="shared" si="3"/>
        <v>0</v>
      </c>
      <c r="X32" s="103">
        <f t="shared" si="8"/>
        <v>0</v>
      </c>
      <c r="Y32" s="72">
        <v>0</v>
      </c>
      <c r="Z32" s="72"/>
      <c r="AA32" s="72"/>
      <c r="AB32" s="72"/>
      <c r="AC32" s="72">
        <f t="shared" si="4"/>
        <v>0</v>
      </c>
    </row>
    <row r="33" spans="1:29" s="17" customFormat="1" ht="38.25" hidden="1" customHeight="1">
      <c r="A33" s="43">
        <v>25</v>
      </c>
      <c r="B33" s="116"/>
      <c r="C33" s="111" t="s">
        <v>40</v>
      </c>
      <c r="D33" s="112"/>
      <c r="E33" s="112"/>
      <c r="F33" s="112"/>
      <c r="G33" s="113"/>
      <c r="H33" s="113"/>
      <c r="I33" s="113"/>
      <c r="J33" s="113"/>
      <c r="K33" s="113"/>
      <c r="L33" s="114">
        <f t="shared" si="6"/>
        <v>0</v>
      </c>
      <c r="M33" s="112"/>
      <c r="N33" s="112"/>
      <c r="O33" s="112"/>
      <c r="P33" s="112"/>
      <c r="Q33" s="112"/>
      <c r="R33" s="112"/>
      <c r="S33" s="115"/>
      <c r="T33" s="115"/>
      <c r="U33" s="114">
        <f t="shared" si="7"/>
        <v>0</v>
      </c>
      <c r="V33" s="112"/>
      <c r="W33" s="77">
        <f t="shared" si="3"/>
        <v>0</v>
      </c>
      <c r="X33" s="103">
        <f t="shared" si="8"/>
        <v>0</v>
      </c>
      <c r="Y33" s="72">
        <v>0</v>
      </c>
      <c r="Z33" s="72"/>
      <c r="AA33" s="72"/>
      <c r="AB33" s="72"/>
      <c r="AC33" s="72">
        <f t="shared" si="4"/>
        <v>0</v>
      </c>
    </row>
    <row r="34" spans="1:29" s="17" customFormat="1" ht="38.25" hidden="1" customHeight="1">
      <c r="A34" s="43">
        <v>26</v>
      </c>
      <c r="B34" s="118"/>
      <c r="C34" s="111" t="s">
        <v>40</v>
      </c>
      <c r="D34" s="112"/>
      <c r="E34" s="112"/>
      <c r="F34" s="112"/>
      <c r="G34" s="113"/>
      <c r="H34" s="113"/>
      <c r="I34" s="115"/>
      <c r="J34" s="113"/>
      <c r="K34" s="113"/>
      <c r="L34" s="114">
        <f t="shared" si="6"/>
        <v>0</v>
      </c>
      <c r="M34" s="112"/>
      <c r="N34" s="112"/>
      <c r="O34" s="112"/>
      <c r="P34" s="112"/>
      <c r="Q34" s="112"/>
      <c r="R34" s="112"/>
      <c r="S34" s="115"/>
      <c r="T34" s="115"/>
      <c r="U34" s="114">
        <f t="shared" si="7"/>
        <v>0</v>
      </c>
      <c r="V34" s="112"/>
      <c r="W34" s="77">
        <f t="shared" si="3"/>
        <v>0</v>
      </c>
      <c r="X34" s="103">
        <f t="shared" si="8"/>
        <v>0</v>
      </c>
      <c r="Y34" s="72">
        <v>0</v>
      </c>
      <c r="Z34" s="72"/>
      <c r="AA34" s="72"/>
      <c r="AB34" s="72"/>
      <c r="AC34" s="72">
        <f t="shared" si="4"/>
        <v>0</v>
      </c>
    </row>
    <row r="35" spans="1:29" s="17" customFormat="1" ht="38.25" hidden="1" customHeight="1">
      <c r="A35" s="43">
        <v>27</v>
      </c>
      <c r="B35" s="120"/>
      <c r="C35" s="111" t="s">
        <v>40</v>
      </c>
      <c r="D35" s="112"/>
      <c r="E35" s="112"/>
      <c r="F35" s="112"/>
      <c r="G35" s="113"/>
      <c r="H35" s="113"/>
      <c r="I35" s="115"/>
      <c r="J35" s="113"/>
      <c r="K35" s="113"/>
      <c r="L35" s="114">
        <f t="shared" si="6"/>
        <v>0</v>
      </c>
      <c r="M35" s="112"/>
      <c r="N35" s="112"/>
      <c r="O35" s="112"/>
      <c r="P35" s="112"/>
      <c r="Q35" s="112"/>
      <c r="R35" s="112"/>
      <c r="S35" s="115"/>
      <c r="T35" s="115"/>
      <c r="U35" s="114">
        <f t="shared" si="7"/>
        <v>0</v>
      </c>
      <c r="V35" s="112"/>
      <c r="W35" s="77">
        <f t="shared" si="3"/>
        <v>0</v>
      </c>
      <c r="X35" s="103">
        <f t="shared" si="8"/>
        <v>0</v>
      </c>
      <c r="Y35" s="72">
        <v>0</v>
      </c>
      <c r="Z35" s="72"/>
      <c r="AA35" s="72"/>
      <c r="AB35" s="72"/>
      <c r="AC35" s="72">
        <f t="shared" si="4"/>
        <v>0</v>
      </c>
    </row>
    <row r="36" spans="1:29" s="17" customFormat="1" ht="38.25" hidden="1" customHeight="1">
      <c r="A36" s="43">
        <v>28</v>
      </c>
      <c r="B36" s="116"/>
      <c r="C36" s="111" t="s">
        <v>40</v>
      </c>
      <c r="D36" s="112"/>
      <c r="E36" s="112"/>
      <c r="F36" s="112"/>
      <c r="G36" s="113"/>
      <c r="H36" s="113"/>
      <c r="I36" s="113"/>
      <c r="J36" s="113"/>
      <c r="K36" s="113"/>
      <c r="L36" s="114">
        <f t="shared" si="6"/>
        <v>0</v>
      </c>
      <c r="M36" s="112"/>
      <c r="N36" s="112"/>
      <c r="O36" s="112"/>
      <c r="P36" s="112"/>
      <c r="Q36" s="112"/>
      <c r="R36" s="112"/>
      <c r="S36" s="115"/>
      <c r="T36" s="115"/>
      <c r="U36" s="114">
        <f t="shared" si="7"/>
        <v>0</v>
      </c>
      <c r="V36" s="112"/>
      <c r="W36" s="77">
        <f t="shared" si="3"/>
        <v>0</v>
      </c>
      <c r="X36" s="103">
        <f t="shared" si="8"/>
        <v>0</v>
      </c>
      <c r="Y36" s="72">
        <v>0</v>
      </c>
      <c r="Z36" s="72"/>
      <c r="AA36" s="72"/>
      <c r="AB36" s="72"/>
      <c r="AC36" s="72">
        <f t="shared" si="4"/>
        <v>0</v>
      </c>
    </row>
    <row r="37" spans="1:29" s="17" customFormat="1" ht="38.25" hidden="1" customHeight="1">
      <c r="A37" s="43">
        <v>29</v>
      </c>
      <c r="B37" s="119"/>
      <c r="C37" s="111" t="s">
        <v>40</v>
      </c>
      <c r="D37" s="112"/>
      <c r="E37" s="112"/>
      <c r="F37" s="112"/>
      <c r="G37" s="113"/>
      <c r="H37" s="113"/>
      <c r="I37" s="115"/>
      <c r="J37" s="113"/>
      <c r="K37" s="113"/>
      <c r="L37" s="114">
        <f t="shared" si="6"/>
        <v>0</v>
      </c>
      <c r="M37" s="112"/>
      <c r="N37" s="112"/>
      <c r="O37" s="112"/>
      <c r="P37" s="112"/>
      <c r="Q37" s="112"/>
      <c r="R37" s="112"/>
      <c r="S37" s="115"/>
      <c r="T37" s="115"/>
      <c r="U37" s="114">
        <f t="shared" si="7"/>
        <v>0</v>
      </c>
      <c r="V37" s="112"/>
      <c r="W37" s="77">
        <f t="shared" si="3"/>
        <v>0</v>
      </c>
      <c r="X37" s="103">
        <f t="shared" si="8"/>
        <v>0</v>
      </c>
      <c r="Y37" s="72">
        <v>0</v>
      </c>
      <c r="Z37" s="72"/>
      <c r="AA37" s="72"/>
      <c r="AB37" s="72"/>
      <c r="AC37" s="72">
        <f t="shared" si="4"/>
        <v>0</v>
      </c>
    </row>
    <row r="38" spans="1:29" s="17" customFormat="1" ht="38.25" hidden="1" customHeight="1">
      <c r="A38" s="43">
        <v>30</v>
      </c>
      <c r="B38" s="118"/>
      <c r="C38" s="111" t="s">
        <v>40</v>
      </c>
      <c r="D38" s="112"/>
      <c r="E38" s="112"/>
      <c r="F38" s="112"/>
      <c r="G38" s="113"/>
      <c r="H38" s="113"/>
      <c r="I38" s="115"/>
      <c r="J38" s="113"/>
      <c r="K38" s="113"/>
      <c r="L38" s="114">
        <f t="shared" si="6"/>
        <v>0</v>
      </c>
      <c r="M38" s="112"/>
      <c r="N38" s="112"/>
      <c r="O38" s="112"/>
      <c r="P38" s="112"/>
      <c r="Q38" s="112"/>
      <c r="R38" s="112"/>
      <c r="S38" s="115"/>
      <c r="T38" s="115"/>
      <c r="U38" s="114">
        <f t="shared" si="7"/>
        <v>0</v>
      </c>
      <c r="V38" s="112"/>
      <c r="W38" s="77">
        <f t="shared" si="3"/>
        <v>0</v>
      </c>
      <c r="X38" s="103">
        <f t="shared" si="8"/>
        <v>0</v>
      </c>
      <c r="Y38" s="72">
        <v>0</v>
      </c>
      <c r="Z38" s="72"/>
      <c r="AA38" s="72"/>
      <c r="AB38" s="72"/>
      <c r="AC38" s="72">
        <f t="shared" si="4"/>
        <v>0</v>
      </c>
    </row>
    <row r="39" spans="1:29" s="17" customFormat="1" ht="38.25" hidden="1" customHeight="1">
      <c r="A39" s="43">
        <v>31</v>
      </c>
      <c r="B39" s="118"/>
      <c r="C39" s="111" t="s">
        <v>40</v>
      </c>
      <c r="D39" s="112"/>
      <c r="E39" s="112"/>
      <c r="F39" s="112"/>
      <c r="G39" s="113"/>
      <c r="H39" s="113"/>
      <c r="I39" s="113"/>
      <c r="J39" s="113"/>
      <c r="K39" s="113"/>
      <c r="L39" s="114">
        <f t="shared" si="6"/>
        <v>0</v>
      </c>
      <c r="M39" s="112"/>
      <c r="N39" s="112"/>
      <c r="O39" s="112"/>
      <c r="P39" s="112"/>
      <c r="Q39" s="112"/>
      <c r="R39" s="112"/>
      <c r="S39" s="115"/>
      <c r="T39" s="115"/>
      <c r="U39" s="114">
        <f t="shared" si="7"/>
        <v>0</v>
      </c>
      <c r="V39" s="112"/>
      <c r="W39" s="77">
        <f t="shared" si="3"/>
        <v>0</v>
      </c>
      <c r="X39" s="103">
        <f t="shared" si="8"/>
        <v>0</v>
      </c>
      <c r="Y39" s="72">
        <v>0</v>
      </c>
      <c r="Z39" s="72"/>
      <c r="AA39" s="72"/>
      <c r="AB39" s="72"/>
      <c r="AC39" s="72">
        <f t="shared" si="4"/>
        <v>0</v>
      </c>
    </row>
    <row r="40" spans="1:29" s="17" customFormat="1" ht="38.25" hidden="1" customHeight="1">
      <c r="A40" s="43">
        <v>32</v>
      </c>
      <c r="B40" s="120"/>
      <c r="C40" s="111" t="s">
        <v>40</v>
      </c>
      <c r="D40" s="112"/>
      <c r="E40" s="112"/>
      <c r="F40" s="112"/>
      <c r="G40" s="113"/>
      <c r="H40" s="113"/>
      <c r="I40" s="115"/>
      <c r="J40" s="113"/>
      <c r="K40" s="113"/>
      <c r="L40" s="114">
        <f t="shared" si="6"/>
        <v>0</v>
      </c>
      <c r="M40" s="112"/>
      <c r="N40" s="112"/>
      <c r="O40" s="112"/>
      <c r="P40" s="112"/>
      <c r="Q40" s="112"/>
      <c r="R40" s="112"/>
      <c r="S40" s="115"/>
      <c r="T40" s="115"/>
      <c r="U40" s="114">
        <f t="shared" si="7"/>
        <v>0</v>
      </c>
      <c r="V40" s="112"/>
      <c r="W40" s="77">
        <f t="shared" si="3"/>
        <v>0</v>
      </c>
      <c r="X40" s="103">
        <f t="shared" si="8"/>
        <v>0</v>
      </c>
      <c r="Y40" s="72">
        <v>0</v>
      </c>
      <c r="Z40" s="72"/>
      <c r="AA40" s="72"/>
      <c r="AB40" s="72"/>
      <c r="AC40" s="72">
        <f t="shared" si="4"/>
        <v>0</v>
      </c>
    </row>
    <row r="41" spans="1:29" s="17" customFormat="1" ht="38.25" hidden="1" customHeight="1">
      <c r="A41" s="43">
        <v>33</v>
      </c>
      <c r="B41" s="118"/>
      <c r="C41" s="111" t="s">
        <v>40</v>
      </c>
      <c r="D41" s="112"/>
      <c r="E41" s="112"/>
      <c r="F41" s="112"/>
      <c r="G41" s="113"/>
      <c r="H41" s="113"/>
      <c r="I41" s="115"/>
      <c r="J41" s="113"/>
      <c r="K41" s="113"/>
      <c r="L41" s="114">
        <f t="shared" ref="L41:L72" si="9">SUM(G41:K41)</f>
        <v>0</v>
      </c>
      <c r="M41" s="112"/>
      <c r="N41" s="112"/>
      <c r="O41" s="112"/>
      <c r="P41" s="112"/>
      <c r="Q41" s="112"/>
      <c r="R41" s="112"/>
      <c r="S41" s="115"/>
      <c r="T41" s="115"/>
      <c r="U41" s="114">
        <f t="shared" ref="U41:U72" si="10">T41+S41</f>
        <v>0</v>
      </c>
      <c r="V41" s="112"/>
      <c r="W41" s="77">
        <f t="shared" ref="W41:W72" si="11">($D$7/$D$6*D41)+($E$7/$E$6*E41)+($F$7/$F$6*F41)+($M$7/$M$6*M41)+($N$7/$N$6*N41)+($O$7/$O$6*O41)+($P$7/$P$6*P41)+($Q$7/$Q$6*Q41)+($R$7/$R$6*R41)+($V$7/$V$6*V41)</f>
        <v>0</v>
      </c>
      <c r="X41" s="103">
        <f t="shared" ref="X41:X72" si="12">ROUND(W41,0)</f>
        <v>0</v>
      </c>
      <c r="Y41" s="72">
        <v>0</v>
      </c>
      <c r="Z41" s="72"/>
      <c r="AA41" s="72"/>
      <c r="AB41" s="72"/>
      <c r="AC41" s="72">
        <f t="shared" ref="AC41:AC72" si="13">SUM(Y41:AB41)</f>
        <v>0</v>
      </c>
    </row>
    <row r="42" spans="1:29" s="17" customFormat="1" ht="38.25" hidden="1" customHeight="1">
      <c r="A42" s="43">
        <v>34</v>
      </c>
      <c r="B42" s="116"/>
      <c r="C42" s="111" t="s">
        <v>40</v>
      </c>
      <c r="D42" s="112"/>
      <c r="E42" s="112"/>
      <c r="F42" s="112"/>
      <c r="G42" s="113"/>
      <c r="H42" s="113"/>
      <c r="I42" s="113"/>
      <c r="J42" s="113"/>
      <c r="K42" s="113"/>
      <c r="L42" s="114">
        <f t="shared" si="9"/>
        <v>0</v>
      </c>
      <c r="M42" s="112"/>
      <c r="N42" s="112"/>
      <c r="O42" s="112"/>
      <c r="P42" s="112"/>
      <c r="Q42" s="112"/>
      <c r="R42" s="112"/>
      <c r="S42" s="115"/>
      <c r="T42" s="115"/>
      <c r="U42" s="114">
        <f t="shared" si="10"/>
        <v>0</v>
      </c>
      <c r="V42" s="112"/>
      <c r="W42" s="77">
        <f t="shared" si="11"/>
        <v>0</v>
      </c>
      <c r="X42" s="103">
        <f t="shared" si="12"/>
        <v>0</v>
      </c>
      <c r="Y42" s="72">
        <v>0</v>
      </c>
      <c r="Z42" s="72"/>
      <c r="AA42" s="72"/>
      <c r="AB42" s="72"/>
      <c r="AC42" s="72">
        <f t="shared" si="13"/>
        <v>0</v>
      </c>
    </row>
    <row r="43" spans="1:29" s="17" customFormat="1" ht="38.25" hidden="1" customHeight="1">
      <c r="A43" s="43">
        <v>35</v>
      </c>
      <c r="B43" s="116"/>
      <c r="C43" s="111" t="s">
        <v>40</v>
      </c>
      <c r="D43" s="112"/>
      <c r="E43" s="112"/>
      <c r="F43" s="112"/>
      <c r="G43" s="113"/>
      <c r="H43" s="113"/>
      <c r="I43" s="113"/>
      <c r="J43" s="113"/>
      <c r="K43" s="113"/>
      <c r="L43" s="114">
        <f t="shared" si="9"/>
        <v>0</v>
      </c>
      <c r="M43" s="112"/>
      <c r="N43" s="112"/>
      <c r="O43" s="112"/>
      <c r="P43" s="112"/>
      <c r="Q43" s="112"/>
      <c r="R43" s="112"/>
      <c r="S43" s="115"/>
      <c r="T43" s="115"/>
      <c r="U43" s="114">
        <f t="shared" si="10"/>
        <v>0</v>
      </c>
      <c r="V43" s="112"/>
      <c r="W43" s="77">
        <f t="shared" si="11"/>
        <v>0</v>
      </c>
      <c r="X43" s="103">
        <f t="shared" si="12"/>
        <v>0</v>
      </c>
      <c r="Y43" s="72">
        <v>0</v>
      </c>
      <c r="Z43" s="72"/>
      <c r="AA43" s="72"/>
      <c r="AB43" s="72"/>
      <c r="AC43" s="72">
        <f t="shared" si="13"/>
        <v>0</v>
      </c>
    </row>
    <row r="44" spans="1:29" s="17" customFormat="1" ht="38.25" hidden="1" customHeight="1">
      <c r="A44" s="43">
        <v>36</v>
      </c>
      <c r="B44" s="116"/>
      <c r="C44" s="111" t="s">
        <v>40</v>
      </c>
      <c r="D44" s="112"/>
      <c r="E44" s="112"/>
      <c r="F44" s="112"/>
      <c r="G44" s="113"/>
      <c r="H44" s="113"/>
      <c r="I44" s="113"/>
      <c r="J44" s="113"/>
      <c r="K44" s="113"/>
      <c r="L44" s="114">
        <f t="shared" si="9"/>
        <v>0</v>
      </c>
      <c r="M44" s="112"/>
      <c r="N44" s="112"/>
      <c r="O44" s="112"/>
      <c r="P44" s="112"/>
      <c r="Q44" s="112"/>
      <c r="R44" s="112"/>
      <c r="S44" s="115"/>
      <c r="T44" s="115"/>
      <c r="U44" s="114">
        <f t="shared" si="10"/>
        <v>0</v>
      </c>
      <c r="V44" s="112"/>
      <c r="W44" s="77">
        <f t="shared" si="11"/>
        <v>0</v>
      </c>
      <c r="X44" s="103">
        <f t="shared" si="12"/>
        <v>0</v>
      </c>
      <c r="Y44" s="72">
        <v>0</v>
      </c>
      <c r="Z44" s="72"/>
      <c r="AA44" s="72"/>
      <c r="AB44" s="72"/>
      <c r="AC44" s="72">
        <f t="shared" si="13"/>
        <v>0</v>
      </c>
    </row>
    <row r="45" spans="1:29" s="17" customFormat="1" ht="38.25" hidden="1" customHeight="1">
      <c r="A45" s="43">
        <v>37</v>
      </c>
      <c r="B45" s="119"/>
      <c r="C45" s="111" t="s">
        <v>40</v>
      </c>
      <c r="D45" s="112"/>
      <c r="E45" s="112"/>
      <c r="F45" s="112"/>
      <c r="G45" s="113"/>
      <c r="H45" s="113"/>
      <c r="I45" s="115"/>
      <c r="J45" s="113"/>
      <c r="K45" s="113"/>
      <c r="L45" s="114">
        <f t="shared" si="9"/>
        <v>0</v>
      </c>
      <c r="M45" s="112"/>
      <c r="N45" s="112"/>
      <c r="O45" s="112"/>
      <c r="P45" s="112"/>
      <c r="Q45" s="112"/>
      <c r="R45" s="112"/>
      <c r="S45" s="115"/>
      <c r="T45" s="115"/>
      <c r="U45" s="114">
        <f t="shared" si="10"/>
        <v>0</v>
      </c>
      <c r="V45" s="112"/>
      <c r="W45" s="77">
        <f t="shared" si="11"/>
        <v>0</v>
      </c>
      <c r="X45" s="103">
        <f t="shared" si="12"/>
        <v>0</v>
      </c>
      <c r="Y45" s="72">
        <v>0</v>
      </c>
      <c r="Z45" s="72"/>
      <c r="AA45" s="72"/>
      <c r="AB45" s="72"/>
      <c r="AC45" s="72">
        <f t="shared" si="13"/>
        <v>0</v>
      </c>
    </row>
    <row r="46" spans="1:29" s="17" customFormat="1" ht="38.25" hidden="1" customHeight="1">
      <c r="A46" s="43">
        <v>38</v>
      </c>
      <c r="B46" s="119"/>
      <c r="C46" s="111" t="s">
        <v>40</v>
      </c>
      <c r="D46" s="112"/>
      <c r="E46" s="112"/>
      <c r="F46" s="112"/>
      <c r="G46" s="113"/>
      <c r="H46" s="113"/>
      <c r="I46" s="115"/>
      <c r="J46" s="113"/>
      <c r="K46" s="113"/>
      <c r="L46" s="114">
        <f t="shared" si="9"/>
        <v>0</v>
      </c>
      <c r="M46" s="112"/>
      <c r="N46" s="112"/>
      <c r="O46" s="112"/>
      <c r="P46" s="112"/>
      <c r="Q46" s="112"/>
      <c r="R46" s="112"/>
      <c r="S46" s="115"/>
      <c r="T46" s="115"/>
      <c r="U46" s="114">
        <f t="shared" si="10"/>
        <v>0</v>
      </c>
      <c r="V46" s="112"/>
      <c r="W46" s="77">
        <f t="shared" si="11"/>
        <v>0</v>
      </c>
      <c r="X46" s="103">
        <f t="shared" si="12"/>
        <v>0</v>
      </c>
      <c r="Y46" s="72">
        <v>0</v>
      </c>
      <c r="Z46" s="72"/>
      <c r="AA46" s="72"/>
      <c r="AB46" s="72"/>
      <c r="AC46" s="72">
        <f t="shared" si="13"/>
        <v>0</v>
      </c>
    </row>
    <row r="47" spans="1:29" s="17" customFormat="1" ht="38.25" hidden="1" customHeight="1">
      <c r="A47" s="43">
        <v>39</v>
      </c>
      <c r="B47" s="118"/>
      <c r="C47" s="111" t="s">
        <v>40</v>
      </c>
      <c r="D47" s="112"/>
      <c r="E47" s="112"/>
      <c r="F47" s="112"/>
      <c r="G47" s="113"/>
      <c r="H47" s="113"/>
      <c r="I47" s="115"/>
      <c r="J47" s="113"/>
      <c r="K47" s="113"/>
      <c r="L47" s="114">
        <f t="shared" si="9"/>
        <v>0</v>
      </c>
      <c r="M47" s="112"/>
      <c r="N47" s="112"/>
      <c r="O47" s="112"/>
      <c r="P47" s="112"/>
      <c r="Q47" s="112"/>
      <c r="R47" s="112"/>
      <c r="S47" s="115"/>
      <c r="T47" s="115"/>
      <c r="U47" s="114">
        <f t="shared" si="10"/>
        <v>0</v>
      </c>
      <c r="V47" s="112"/>
      <c r="W47" s="77">
        <f t="shared" si="11"/>
        <v>0</v>
      </c>
      <c r="X47" s="103">
        <f t="shared" si="12"/>
        <v>0</v>
      </c>
      <c r="Y47" s="72">
        <v>0</v>
      </c>
      <c r="Z47" s="72"/>
      <c r="AA47" s="72"/>
      <c r="AB47" s="72"/>
      <c r="AC47" s="72">
        <f t="shared" si="13"/>
        <v>0</v>
      </c>
    </row>
    <row r="48" spans="1:29" s="17" customFormat="1" ht="38.25" hidden="1" customHeight="1">
      <c r="A48" s="43">
        <v>40</v>
      </c>
      <c r="B48" s="116"/>
      <c r="C48" s="111" t="s">
        <v>40</v>
      </c>
      <c r="D48" s="112"/>
      <c r="E48" s="112"/>
      <c r="F48" s="112"/>
      <c r="G48" s="113"/>
      <c r="H48" s="113"/>
      <c r="I48" s="113"/>
      <c r="J48" s="113"/>
      <c r="K48" s="113"/>
      <c r="L48" s="114">
        <f t="shared" si="9"/>
        <v>0</v>
      </c>
      <c r="M48" s="112"/>
      <c r="N48" s="112"/>
      <c r="O48" s="112"/>
      <c r="P48" s="112"/>
      <c r="Q48" s="112"/>
      <c r="R48" s="112"/>
      <c r="S48" s="115"/>
      <c r="T48" s="115"/>
      <c r="U48" s="114">
        <f t="shared" si="10"/>
        <v>0</v>
      </c>
      <c r="V48" s="112"/>
      <c r="W48" s="77">
        <f t="shared" si="11"/>
        <v>0</v>
      </c>
      <c r="X48" s="103">
        <f t="shared" si="12"/>
        <v>0</v>
      </c>
      <c r="Y48" s="72">
        <v>0</v>
      </c>
      <c r="Z48" s="72"/>
      <c r="AA48" s="72"/>
      <c r="AB48" s="72"/>
      <c r="AC48" s="72">
        <f t="shared" si="13"/>
        <v>0</v>
      </c>
    </row>
    <row r="49" spans="1:29" s="17" customFormat="1" ht="38.25" hidden="1" customHeight="1">
      <c r="A49" s="43">
        <v>41</v>
      </c>
      <c r="B49" s="116"/>
      <c r="C49" s="111" t="s">
        <v>40</v>
      </c>
      <c r="D49" s="112"/>
      <c r="E49" s="112"/>
      <c r="F49" s="112"/>
      <c r="G49" s="113"/>
      <c r="H49" s="113"/>
      <c r="I49" s="113"/>
      <c r="J49" s="113"/>
      <c r="K49" s="113"/>
      <c r="L49" s="114">
        <f t="shared" si="9"/>
        <v>0</v>
      </c>
      <c r="M49" s="112"/>
      <c r="N49" s="112"/>
      <c r="O49" s="112"/>
      <c r="P49" s="112"/>
      <c r="Q49" s="112"/>
      <c r="R49" s="112"/>
      <c r="S49" s="115"/>
      <c r="T49" s="115"/>
      <c r="U49" s="114">
        <f t="shared" si="10"/>
        <v>0</v>
      </c>
      <c r="V49" s="112"/>
      <c r="W49" s="77">
        <f t="shared" si="11"/>
        <v>0</v>
      </c>
      <c r="X49" s="103">
        <f t="shared" si="12"/>
        <v>0</v>
      </c>
      <c r="Y49" s="72">
        <v>0</v>
      </c>
      <c r="Z49" s="72"/>
      <c r="AA49" s="72"/>
      <c r="AB49" s="72"/>
      <c r="AC49" s="72">
        <f t="shared" si="13"/>
        <v>0</v>
      </c>
    </row>
    <row r="50" spans="1:29" s="17" customFormat="1" ht="38.25" hidden="1" customHeight="1">
      <c r="A50" s="43">
        <v>42</v>
      </c>
      <c r="B50" s="116"/>
      <c r="C50" s="111" t="s">
        <v>40</v>
      </c>
      <c r="D50" s="112"/>
      <c r="E50" s="112"/>
      <c r="F50" s="112"/>
      <c r="G50" s="113"/>
      <c r="H50" s="113"/>
      <c r="I50" s="113"/>
      <c r="J50" s="113"/>
      <c r="K50" s="113"/>
      <c r="L50" s="114">
        <f t="shared" si="9"/>
        <v>0</v>
      </c>
      <c r="M50" s="112"/>
      <c r="N50" s="112"/>
      <c r="O50" s="112"/>
      <c r="P50" s="112"/>
      <c r="Q50" s="112"/>
      <c r="R50" s="112"/>
      <c r="S50" s="115"/>
      <c r="T50" s="115"/>
      <c r="U50" s="114">
        <f t="shared" si="10"/>
        <v>0</v>
      </c>
      <c r="V50" s="112"/>
      <c r="W50" s="77">
        <f t="shared" si="11"/>
        <v>0</v>
      </c>
      <c r="X50" s="103">
        <f t="shared" si="12"/>
        <v>0</v>
      </c>
      <c r="Y50" s="72">
        <v>0</v>
      </c>
      <c r="Z50" s="72"/>
      <c r="AA50" s="72"/>
      <c r="AB50" s="72"/>
      <c r="AC50" s="72">
        <f t="shared" si="13"/>
        <v>0</v>
      </c>
    </row>
    <row r="51" spans="1:29" s="17" customFormat="1" ht="38.25" hidden="1" customHeight="1">
      <c r="A51" s="43">
        <v>43</v>
      </c>
      <c r="B51" s="116"/>
      <c r="C51" s="111" t="s">
        <v>40</v>
      </c>
      <c r="D51" s="112"/>
      <c r="E51" s="112"/>
      <c r="F51" s="112"/>
      <c r="G51" s="113"/>
      <c r="H51" s="113"/>
      <c r="I51" s="113"/>
      <c r="J51" s="113"/>
      <c r="K51" s="113"/>
      <c r="L51" s="114">
        <f t="shared" si="9"/>
        <v>0</v>
      </c>
      <c r="M51" s="112"/>
      <c r="N51" s="112"/>
      <c r="O51" s="112"/>
      <c r="P51" s="112"/>
      <c r="Q51" s="112"/>
      <c r="R51" s="112"/>
      <c r="S51" s="115"/>
      <c r="T51" s="115"/>
      <c r="U51" s="114">
        <f t="shared" si="10"/>
        <v>0</v>
      </c>
      <c r="V51" s="112"/>
      <c r="W51" s="77">
        <f t="shared" si="11"/>
        <v>0</v>
      </c>
      <c r="X51" s="103">
        <f t="shared" si="12"/>
        <v>0</v>
      </c>
      <c r="Y51" s="72">
        <v>0</v>
      </c>
      <c r="Z51" s="72"/>
      <c r="AA51" s="72"/>
      <c r="AB51" s="72"/>
      <c r="AC51" s="72">
        <f t="shared" si="13"/>
        <v>0</v>
      </c>
    </row>
    <row r="52" spans="1:29" s="17" customFormat="1" ht="38.25" hidden="1" customHeight="1">
      <c r="A52" s="43">
        <v>44</v>
      </c>
      <c r="B52" s="118"/>
      <c r="C52" s="111" t="s">
        <v>40</v>
      </c>
      <c r="D52" s="112"/>
      <c r="E52" s="112"/>
      <c r="F52" s="112"/>
      <c r="G52" s="115"/>
      <c r="H52" s="115"/>
      <c r="I52" s="115"/>
      <c r="J52" s="115"/>
      <c r="K52" s="115"/>
      <c r="L52" s="114">
        <f t="shared" si="9"/>
        <v>0</v>
      </c>
      <c r="M52" s="112"/>
      <c r="N52" s="112"/>
      <c r="O52" s="112"/>
      <c r="P52" s="112"/>
      <c r="Q52" s="112"/>
      <c r="R52" s="112"/>
      <c r="S52" s="115"/>
      <c r="T52" s="115"/>
      <c r="U52" s="114">
        <f t="shared" si="10"/>
        <v>0</v>
      </c>
      <c r="V52" s="112"/>
      <c r="W52" s="77">
        <f t="shared" si="11"/>
        <v>0</v>
      </c>
      <c r="X52" s="103">
        <f t="shared" si="12"/>
        <v>0</v>
      </c>
      <c r="Y52" s="72">
        <v>0</v>
      </c>
      <c r="Z52" s="72"/>
      <c r="AA52" s="72"/>
      <c r="AB52" s="72"/>
      <c r="AC52" s="72">
        <f t="shared" si="13"/>
        <v>0</v>
      </c>
    </row>
    <row r="53" spans="1:29" s="17" customFormat="1" ht="38.25" hidden="1" customHeight="1">
      <c r="A53" s="43">
        <v>45</v>
      </c>
      <c r="B53" s="116"/>
      <c r="C53" s="111" t="s">
        <v>40</v>
      </c>
      <c r="D53" s="112"/>
      <c r="E53" s="112"/>
      <c r="F53" s="112"/>
      <c r="G53" s="113"/>
      <c r="H53" s="113"/>
      <c r="I53" s="113"/>
      <c r="J53" s="113"/>
      <c r="K53" s="113"/>
      <c r="L53" s="114">
        <f t="shared" si="9"/>
        <v>0</v>
      </c>
      <c r="M53" s="112"/>
      <c r="N53" s="112"/>
      <c r="O53" s="112"/>
      <c r="P53" s="112"/>
      <c r="Q53" s="112"/>
      <c r="R53" s="112"/>
      <c r="S53" s="115"/>
      <c r="T53" s="115"/>
      <c r="U53" s="114">
        <f t="shared" si="10"/>
        <v>0</v>
      </c>
      <c r="V53" s="112"/>
      <c r="W53" s="77">
        <f t="shared" si="11"/>
        <v>0</v>
      </c>
      <c r="X53" s="103">
        <f t="shared" si="12"/>
        <v>0</v>
      </c>
      <c r="Y53" s="72">
        <v>0</v>
      </c>
      <c r="Z53" s="72"/>
      <c r="AA53" s="72"/>
      <c r="AB53" s="72"/>
      <c r="AC53" s="72">
        <f t="shared" si="13"/>
        <v>0</v>
      </c>
    </row>
    <row r="54" spans="1:29" s="17" customFormat="1" ht="38.25" hidden="1" customHeight="1">
      <c r="A54" s="43">
        <v>46</v>
      </c>
      <c r="B54" s="116"/>
      <c r="C54" s="111" t="s">
        <v>40</v>
      </c>
      <c r="D54" s="112"/>
      <c r="E54" s="112"/>
      <c r="F54" s="112"/>
      <c r="G54" s="113"/>
      <c r="H54" s="113"/>
      <c r="I54" s="113"/>
      <c r="J54" s="113"/>
      <c r="K54" s="113"/>
      <c r="L54" s="114">
        <f t="shared" si="9"/>
        <v>0</v>
      </c>
      <c r="M54" s="112"/>
      <c r="N54" s="112"/>
      <c r="O54" s="112"/>
      <c r="P54" s="112"/>
      <c r="Q54" s="112"/>
      <c r="R54" s="112"/>
      <c r="S54" s="115"/>
      <c r="T54" s="115"/>
      <c r="U54" s="114">
        <f t="shared" si="10"/>
        <v>0</v>
      </c>
      <c r="V54" s="112"/>
      <c r="W54" s="77">
        <f t="shared" si="11"/>
        <v>0</v>
      </c>
      <c r="X54" s="103">
        <f t="shared" si="12"/>
        <v>0</v>
      </c>
      <c r="Y54" s="72">
        <v>0</v>
      </c>
      <c r="Z54" s="72"/>
      <c r="AA54" s="72"/>
      <c r="AB54" s="72"/>
      <c r="AC54" s="72">
        <f t="shared" si="13"/>
        <v>0</v>
      </c>
    </row>
    <row r="55" spans="1:29" s="17" customFormat="1" ht="38.25" hidden="1" customHeight="1">
      <c r="A55" s="43">
        <v>47</v>
      </c>
      <c r="B55" s="116"/>
      <c r="C55" s="111" t="s">
        <v>40</v>
      </c>
      <c r="D55" s="112"/>
      <c r="E55" s="112"/>
      <c r="F55" s="112"/>
      <c r="G55" s="113"/>
      <c r="H55" s="113"/>
      <c r="I55" s="113"/>
      <c r="J55" s="113"/>
      <c r="K55" s="113"/>
      <c r="L55" s="114">
        <f t="shared" si="9"/>
        <v>0</v>
      </c>
      <c r="M55" s="112"/>
      <c r="N55" s="112"/>
      <c r="O55" s="112"/>
      <c r="P55" s="112"/>
      <c r="Q55" s="112"/>
      <c r="R55" s="112"/>
      <c r="S55" s="115"/>
      <c r="T55" s="115"/>
      <c r="U55" s="114">
        <f t="shared" si="10"/>
        <v>0</v>
      </c>
      <c r="V55" s="112"/>
      <c r="W55" s="77">
        <f t="shared" si="11"/>
        <v>0</v>
      </c>
      <c r="X55" s="103">
        <f t="shared" si="12"/>
        <v>0</v>
      </c>
      <c r="Y55" s="72">
        <v>0</v>
      </c>
      <c r="Z55" s="72"/>
      <c r="AA55" s="72"/>
      <c r="AB55" s="72"/>
      <c r="AC55" s="72">
        <f t="shared" si="13"/>
        <v>0</v>
      </c>
    </row>
    <row r="56" spans="1:29" s="17" customFormat="1" ht="38.25" hidden="1" customHeight="1">
      <c r="A56" s="43">
        <v>48</v>
      </c>
      <c r="B56" s="118"/>
      <c r="C56" s="111" t="s">
        <v>40</v>
      </c>
      <c r="D56" s="112"/>
      <c r="E56" s="112"/>
      <c r="F56" s="112"/>
      <c r="G56" s="113"/>
      <c r="H56" s="113"/>
      <c r="I56" s="113"/>
      <c r="J56" s="113"/>
      <c r="K56" s="113"/>
      <c r="L56" s="114">
        <f t="shared" si="9"/>
        <v>0</v>
      </c>
      <c r="M56" s="112"/>
      <c r="N56" s="112"/>
      <c r="O56" s="112"/>
      <c r="P56" s="112"/>
      <c r="Q56" s="112"/>
      <c r="R56" s="112"/>
      <c r="S56" s="115"/>
      <c r="T56" s="115"/>
      <c r="U56" s="114">
        <f t="shared" si="10"/>
        <v>0</v>
      </c>
      <c r="V56" s="112"/>
      <c r="W56" s="77">
        <f t="shared" si="11"/>
        <v>0</v>
      </c>
      <c r="X56" s="103">
        <f t="shared" si="12"/>
        <v>0</v>
      </c>
      <c r="Y56" s="72">
        <v>0</v>
      </c>
      <c r="Z56" s="72"/>
      <c r="AA56" s="72"/>
      <c r="AB56" s="72"/>
      <c r="AC56" s="72">
        <f t="shared" si="13"/>
        <v>0</v>
      </c>
    </row>
    <row r="57" spans="1:29" s="17" customFormat="1" ht="38.25" hidden="1" customHeight="1">
      <c r="A57" s="43">
        <v>49</v>
      </c>
      <c r="B57" s="116"/>
      <c r="C57" s="111" t="s">
        <v>40</v>
      </c>
      <c r="D57" s="112"/>
      <c r="E57" s="112"/>
      <c r="F57" s="112"/>
      <c r="G57" s="113"/>
      <c r="H57" s="113"/>
      <c r="I57" s="113"/>
      <c r="J57" s="113"/>
      <c r="K57" s="113"/>
      <c r="L57" s="114">
        <f t="shared" si="9"/>
        <v>0</v>
      </c>
      <c r="M57" s="112"/>
      <c r="N57" s="112"/>
      <c r="O57" s="112"/>
      <c r="P57" s="112"/>
      <c r="Q57" s="112"/>
      <c r="R57" s="112"/>
      <c r="S57" s="115"/>
      <c r="T57" s="115"/>
      <c r="U57" s="114">
        <f t="shared" si="10"/>
        <v>0</v>
      </c>
      <c r="V57" s="112"/>
      <c r="W57" s="77">
        <f t="shared" si="11"/>
        <v>0</v>
      </c>
      <c r="X57" s="103">
        <f t="shared" si="12"/>
        <v>0</v>
      </c>
      <c r="Y57" s="72">
        <v>0</v>
      </c>
      <c r="Z57" s="72"/>
      <c r="AA57" s="72"/>
      <c r="AB57" s="72"/>
      <c r="AC57" s="72">
        <f t="shared" si="13"/>
        <v>0</v>
      </c>
    </row>
    <row r="58" spans="1:29" s="17" customFormat="1" ht="38.25" hidden="1" customHeight="1">
      <c r="A58" s="43">
        <v>50</v>
      </c>
      <c r="B58" s="116"/>
      <c r="C58" s="111" t="s">
        <v>40</v>
      </c>
      <c r="D58" s="112"/>
      <c r="E58" s="112"/>
      <c r="F58" s="112"/>
      <c r="G58" s="113"/>
      <c r="H58" s="113"/>
      <c r="I58" s="113"/>
      <c r="J58" s="113"/>
      <c r="K58" s="113"/>
      <c r="L58" s="114">
        <f t="shared" si="9"/>
        <v>0</v>
      </c>
      <c r="M58" s="112"/>
      <c r="N58" s="112"/>
      <c r="O58" s="112"/>
      <c r="P58" s="112"/>
      <c r="Q58" s="112"/>
      <c r="R58" s="112"/>
      <c r="S58" s="115"/>
      <c r="T58" s="115"/>
      <c r="U58" s="114">
        <f t="shared" si="10"/>
        <v>0</v>
      </c>
      <c r="V58" s="112"/>
      <c r="W58" s="77">
        <f t="shared" si="11"/>
        <v>0</v>
      </c>
      <c r="X58" s="103">
        <f t="shared" si="12"/>
        <v>0</v>
      </c>
      <c r="Y58" s="72">
        <v>0</v>
      </c>
      <c r="Z58" s="72"/>
      <c r="AA58" s="72"/>
      <c r="AB58" s="72"/>
      <c r="AC58" s="72">
        <f t="shared" si="13"/>
        <v>0</v>
      </c>
    </row>
    <row r="59" spans="1:29" s="17" customFormat="1" ht="38.25" hidden="1" customHeight="1">
      <c r="A59" s="43">
        <v>51</v>
      </c>
      <c r="B59" s="118"/>
      <c r="C59" s="111" t="s">
        <v>40</v>
      </c>
      <c r="D59" s="112"/>
      <c r="E59" s="112"/>
      <c r="F59" s="112"/>
      <c r="G59" s="113"/>
      <c r="H59" s="113"/>
      <c r="I59" s="113"/>
      <c r="J59" s="113"/>
      <c r="K59" s="113"/>
      <c r="L59" s="114">
        <f t="shared" si="9"/>
        <v>0</v>
      </c>
      <c r="M59" s="112"/>
      <c r="N59" s="112"/>
      <c r="O59" s="112"/>
      <c r="P59" s="112"/>
      <c r="Q59" s="112"/>
      <c r="R59" s="112"/>
      <c r="S59" s="115"/>
      <c r="T59" s="115"/>
      <c r="U59" s="114">
        <f t="shared" si="10"/>
        <v>0</v>
      </c>
      <c r="V59" s="112"/>
      <c r="W59" s="77">
        <f t="shared" si="11"/>
        <v>0</v>
      </c>
      <c r="X59" s="103">
        <f t="shared" si="12"/>
        <v>0</v>
      </c>
      <c r="Y59" s="72">
        <v>0</v>
      </c>
      <c r="Z59" s="72"/>
      <c r="AA59" s="72"/>
      <c r="AB59" s="72"/>
      <c r="AC59" s="72">
        <f t="shared" si="13"/>
        <v>0</v>
      </c>
    </row>
    <row r="60" spans="1:29" s="17" customFormat="1" ht="38.25" hidden="1" customHeight="1">
      <c r="A60" s="43">
        <v>52</v>
      </c>
      <c r="B60" s="110"/>
      <c r="C60" s="111" t="s">
        <v>40</v>
      </c>
      <c r="D60" s="112"/>
      <c r="E60" s="112"/>
      <c r="F60" s="112"/>
      <c r="G60" s="113"/>
      <c r="H60" s="113"/>
      <c r="I60" s="115"/>
      <c r="J60" s="113"/>
      <c r="K60" s="113"/>
      <c r="L60" s="114">
        <f t="shared" si="9"/>
        <v>0</v>
      </c>
      <c r="M60" s="112"/>
      <c r="N60" s="112"/>
      <c r="O60" s="112"/>
      <c r="P60" s="112"/>
      <c r="Q60" s="112"/>
      <c r="R60" s="112"/>
      <c r="S60" s="115"/>
      <c r="T60" s="115"/>
      <c r="U60" s="114">
        <f t="shared" si="10"/>
        <v>0</v>
      </c>
      <c r="V60" s="112"/>
      <c r="W60" s="77">
        <f t="shared" si="11"/>
        <v>0</v>
      </c>
      <c r="X60" s="103">
        <f t="shared" si="12"/>
        <v>0</v>
      </c>
      <c r="Y60" s="72">
        <v>0</v>
      </c>
      <c r="Z60" s="72"/>
      <c r="AA60" s="72"/>
      <c r="AB60" s="72"/>
      <c r="AC60" s="72">
        <f t="shared" si="13"/>
        <v>0</v>
      </c>
    </row>
    <row r="61" spans="1:29" s="17" customFormat="1" ht="38.25" hidden="1" customHeight="1">
      <c r="A61" s="43">
        <v>53</v>
      </c>
      <c r="B61" s="118"/>
      <c r="C61" s="111" t="s">
        <v>40</v>
      </c>
      <c r="D61" s="112"/>
      <c r="E61" s="112"/>
      <c r="F61" s="112"/>
      <c r="G61" s="113"/>
      <c r="H61" s="113"/>
      <c r="I61" s="115"/>
      <c r="J61" s="113"/>
      <c r="K61" s="113"/>
      <c r="L61" s="114">
        <f t="shared" si="9"/>
        <v>0</v>
      </c>
      <c r="M61" s="112"/>
      <c r="N61" s="112"/>
      <c r="O61" s="112"/>
      <c r="P61" s="112"/>
      <c r="Q61" s="112"/>
      <c r="R61" s="112"/>
      <c r="S61" s="115"/>
      <c r="T61" s="115"/>
      <c r="U61" s="114">
        <f t="shared" si="10"/>
        <v>0</v>
      </c>
      <c r="V61" s="112"/>
      <c r="W61" s="77">
        <f t="shared" si="11"/>
        <v>0</v>
      </c>
      <c r="X61" s="103">
        <f t="shared" si="12"/>
        <v>0</v>
      </c>
      <c r="Y61" s="72">
        <v>0</v>
      </c>
      <c r="Z61" s="72"/>
      <c r="AA61" s="72"/>
      <c r="AB61" s="72"/>
      <c r="AC61" s="72">
        <f t="shared" si="13"/>
        <v>0</v>
      </c>
    </row>
    <row r="62" spans="1:29" s="17" customFormat="1" ht="38.25" hidden="1" customHeight="1">
      <c r="A62" s="43">
        <v>54</v>
      </c>
      <c r="B62" s="110"/>
      <c r="C62" s="111" t="s">
        <v>40</v>
      </c>
      <c r="D62" s="112"/>
      <c r="E62" s="112"/>
      <c r="F62" s="112"/>
      <c r="G62" s="113"/>
      <c r="H62" s="113"/>
      <c r="I62" s="115"/>
      <c r="J62" s="113"/>
      <c r="K62" s="113"/>
      <c r="L62" s="114">
        <f t="shared" si="9"/>
        <v>0</v>
      </c>
      <c r="M62" s="112"/>
      <c r="N62" s="112"/>
      <c r="O62" s="112"/>
      <c r="P62" s="112"/>
      <c r="Q62" s="112"/>
      <c r="R62" s="112"/>
      <c r="S62" s="115"/>
      <c r="T62" s="115"/>
      <c r="U62" s="114">
        <f t="shared" si="10"/>
        <v>0</v>
      </c>
      <c r="V62" s="112"/>
      <c r="W62" s="77">
        <f t="shared" si="11"/>
        <v>0</v>
      </c>
      <c r="X62" s="103">
        <f t="shared" si="12"/>
        <v>0</v>
      </c>
      <c r="Y62" s="72">
        <v>0</v>
      </c>
      <c r="Z62" s="72"/>
      <c r="AA62" s="72"/>
      <c r="AB62" s="72"/>
      <c r="AC62" s="72">
        <f t="shared" si="13"/>
        <v>0</v>
      </c>
    </row>
    <row r="63" spans="1:29" s="17" customFormat="1" ht="38.25" hidden="1" customHeight="1">
      <c r="A63" s="43">
        <v>55</v>
      </c>
      <c r="B63" s="116"/>
      <c r="C63" s="111" t="s">
        <v>40</v>
      </c>
      <c r="D63" s="112"/>
      <c r="E63" s="112"/>
      <c r="F63" s="112"/>
      <c r="G63" s="113"/>
      <c r="H63" s="113"/>
      <c r="I63" s="113"/>
      <c r="J63" s="113"/>
      <c r="K63" s="113"/>
      <c r="L63" s="114">
        <f t="shared" si="9"/>
        <v>0</v>
      </c>
      <c r="M63" s="112"/>
      <c r="N63" s="112"/>
      <c r="O63" s="112"/>
      <c r="P63" s="112"/>
      <c r="Q63" s="112"/>
      <c r="R63" s="112"/>
      <c r="S63" s="115"/>
      <c r="T63" s="115"/>
      <c r="U63" s="114">
        <f t="shared" si="10"/>
        <v>0</v>
      </c>
      <c r="V63" s="112"/>
      <c r="W63" s="77">
        <f t="shared" si="11"/>
        <v>0</v>
      </c>
      <c r="X63" s="103">
        <f t="shared" si="12"/>
        <v>0</v>
      </c>
      <c r="Y63" s="72">
        <v>0</v>
      </c>
      <c r="Z63" s="72"/>
      <c r="AA63" s="72"/>
      <c r="AB63" s="72"/>
      <c r="AC63" s="72">
        <f t="shared" si="13"/>
        <v>0</v>
      </c>
    </row>
    <row r="64" spans="1:29" s="17" customFormat="1" ht="38.25" hidden="1" customHeight="1">
      <c r="A64" s="43">
        <v>56</v>
      </c>
      <c r="B64" s="116"/>
      <c r="C64" s="111" t="s">
        <v>40</v>
      </c>
      <c r="D64" s="112"/>
      <c r="E64" s="112"/>
      <c r="F64" s="112"/>
      <c r="G64" s="113"/>
      <c r="H64" s="113"/>
      <c r="I64" s="113"/>
      <c r="J64" s="113"/>
      <c r="K64" s="113"/>
      <c r="L64" s="114">
        <f t="shared" si="9"/>
        <v>0</v>
      </c>
      <c r="M64" s="112"/>
      <c r="N64" s="112"/>
      <c r="O64" s="112"/>
      <c r="P64" s="112"/>
      <c r="Q64" s="112"/>
      <c r="R64" s="112"/>
      <c r="S64" s="115"/>
      <c r="T64" s="115"/>
      <c r="U64" s="114">
        <f t="shared" si="10"/>
        <v>0</v>
      </c>
      <c r="V64" s="112"/>
      <c r="W64" s="77">
        <f t="shared" si="11"/>
        <v>0</v>
      </c>
      <c r="X64" s="103">
        <f t="shared" si="12"/>
        <v>0</v>
      </c>
      <c r="Y64" s="72">
        <v>0</v>
      </c>
      <c r="Z64" s="72"/>
      <c r="AA64" s="72"/>
      <c r="AB64" s="72"/>
      <c r="AC64" s="72">
        <f t="shared" si="13"/>
        <v>0</v>
      </c>
    </row>
    <row r="65" spans="1:29" s="17" customFormat="1" ht="38.25" hidden="1" customHeight="1">
      <c r="A65" s="43">
        <v>57</v>
      </c>
      <c r="B65" s="120"/>
      <c r="C65" s="111" t="s">
        <v>40</v>
      </c>
      <c r="D65" s="112"/>
      <c r="E65" s="112"/>
      <c r="F65" s="112"/>
      <c r="G65" s="115"/>
      <c r="H65" s="115"/>
      <c r="I65" s="115"/>
      <c r="J65" s="115"/>
      <c r="K65" s="115"/>
      <c r="L65" s="114">
        <f t="shared" si="9"/>
        <v>0</v>
      </c>
      <c r="M65" s="112"/>
      <c r="N65" s="112"/>
      <c r="O65" s="112"/>
      <c r="P65" s="112"/>
      <c r="Q65" s="112"/>
      <c r="R65" s="112"/>
      <c r="S65" s="115"/>
      <c r="T65" s="115"/>
      <c r="U65" s="114">
        <f t="shared" si="10"/>
        <v>0</v>
      </c>
      <c r="V65" s="112"/>
      <c r="W65" s="77">
        <f t="shared" si="11"/>
        <v>0</v>
      </c>
      <c r="X65" s="103">
        <f t="shared" si="12"/>
        <v>0</v>
      </c>
      <c r="Y65" s="72">
        <v>0</v>
      </c>
      <c r="Z65" s="72"/>
      <c r="AA65" s="72"/>
      <c r="AB65" s="72"/>
      <c r="AC65" s="72">
        <f t="shared" si="13"/>
        <v>0</v>
      </c>
    </row>
    <row r="66" spans="1:29" s="17" customFormat="1" ht="38.25" hidden="1" customHeight="1">
      <c r="A66" s="43">
        <v>58</v>
      </c>
      <c r="B66" s="116"/>
      <c r="C66" s="111" t="s">
        <v>40</v>
      </c>
      <c r="D66" s="112"/>
      <c r="E66" s="112"/>
      <c r="F66" s="112"/>
      <c r="G66" s="113"/>
      <c r="H66" s="113"/>
      <c r="I66" s="113"/>
      <c r="J66" s="113"/>
      <c r="K66" s="113"/>
      <c r="L66" s="114">
        <f t="shared" si="9"/>
        <v>0</v>
      </c>
      <c r="M66" s="112"/>
      <c r="N66" s="112"/>
      <c r="O66" s="112"/>
      <c r="P66" s="112"/>
      <c r="Q66" s="112"/>
      <c r="R66" s="112"/>
      <c r="S66" s="115"/>
      <c r="T66" s="115"/>
      <c r="U66" s="114">
        <f t="shared" si="10"/>
        <v>0</v>
      </c>
      <c r="V66" s="112"/>
      <c r="W66" s="77">
        <f t="shared" si="11"/>
        <v>0</v>
      </c>
      <c r="X66" s="103">
        <f t="shared" si="12"/>
        <v>0</v>
      </c>
      <c r="Y66" s="72">
        <v>0</v>
      </c>
      <c r="Z66" s="72"/>
      <c r="AA66" s="72"/>
      <c r="AB66" s="72"/>
      <c r="AC66" s="72">
        <f t="shared" si="13"/>
        <v>0</v>
      </c>
    </row>
    <row r="67" spans="1:29" s="17" customFormat="1" ht="38.25" hidden="1" customHeight="1">
      <c r="A67" s="43">
        <v>59</v>
      </c>
      <c r="B67" s="118"/>
      <c r="C67" s="111" t="s">
        <v>40</v>
      </c>
      <c r="D67" s="112"/>
      <c r="E67" s="112"/>
      <c r="F67" s="112"/>
      <c r="G67" s="113"/>
      <c r="H67" s="113"/>
      <c r="I67" s="115"/>
      <c r="J67" s="113"/>
      <c r="K67" s="113"/>
      <c r="L67" s="114">
        <f t="shared" si="9"/>
        <v>0</v>
      </c>
      <c r="M67" s="112"/>
      <c r="N67" s="112"/>
      <c r="O67" s="112"/>
      <c r="P67" s="112"/>
      <c r="Q67" s="112"/>
      <c r="R67" s="112"/>
      <c r="S67" s="115"/>
      <c r="T67" s="115"/>
      <c r="U67" s="114">
        <f t="shared" si="10"/>
        <v>0</v>
      </c>
      <c r="V67" s="112"/>
      <c r="W67" s="77">
        <f t="shared" si="11"/>
        <v>0</v>
      </c>
      <c r="X67" s="103">
        <f t="shared" si="12"/>
        <v>0</v>
      </c>
      <c r="Y67" s="72">
        <v>0</v>
      </c>
      <c r="Z67" s="72"/>
      <c r="AA67" s="72"/>
      <c r="AB67" s="72"/>
      <c r="AC67" s="72">
        <f t="shared" si="13"/>
        <v>0</v>
      </c>
    </row>
    <row r="68" spans="1:29" s="17" customFormat="1" ht="38.25" hidden="1" customHeight="1">
      <c r="A68" s="43">
        <v>60</v>
      </c>
      <c r="B68" s="116"/>
      <c r="C68" s="111" t="s">
        <v>40</v>
      </c>
      <c r="D68" s="112"/>
      <c r="E68" s="112"/>
      <c r="F68" s="112"/>
      <c r="G68" s="113"/>
      <c r="H68" s="113"/>
      <c r="I68" s="113"/>
      <c r="J68" s="113"/>
      <c r="K68" s="113"/>
      <c r="L68" s="114">
        <f t="shared" si="9"/>
        <v>0</v>
      </c>
      <c r="M68" s="112"/>
      <c r="N68" s="112"/>
      <c r="O68" s="112"/>
      <c r="P68" s="112"/>
      <c r="Q68" s="112"/>
      <c r="R68" s="112"/>
      <c r="S68" s="115"/>
      <c r="T68" s="115"/>
      <c r="U68" s="114">
        <f t="shared" si="10"/>
        <v>0</v>
      </c>
      <c r="V68" s="112"/>
      <c r="W68" s="77">
        <f t="shared" si="11"/>
        <v>0</v>
      </c>
      <c r="X68" s="103">
        <f t="shared" si="12"/>
        <v>0</v>
      </c>
      <c r="Y68" s="72">
        <v>0</v>
      </c>
      <c r="Z68" s="72"/>
      <c r="AA68" s="72"/>
      <c r="AB68" s="72"/>
      <c r="AC68" s="72">
        <f t="shared" si="13"/>
        <v>0</v>
      </c>
    </row>
    <row r="69" spans="1:29" s="17" customFormat="1" ht="38.25" hidden="1" customHeight="1">
      <c r="A69" s="43">
        <v>61</v>
      </c>
      <c r="B69" s="117"/>
      <c r="C69" s="111" t="s">
        <v>40</v>
      </c>
      <c r="D69" s="112"/>
      <c r="E69" s="112"/>
      <c r="F69" s="112"/>
      <c r="G69" s="113"/>
      <c r="H69" s="113"/>
      <c r="I69" s="115"/>
      <c r="J69" s="113"/>
      <c r="K69" s="113"/>
      <c r="L69" s="114">
        <f t="shared" si="9"/>
        <v>0</v>
      </c>
      <c r="M69" s="112"/>
      <c r="N69" s="112"/>
      <c r="O69" s="112"/>
      <c r="P69" s="112"/>
      <c r="Q69" s="112"/>
      <c r="R69" s="112"/>
      <c r="S69" s="115"/>
      <c r="T69" s="115"/>
      <c r="U69" s="114">
        <f t="shared" si="10"/>
        <v>0</v>
      </c>
      <c r="V69" s="112"/>
      <c r="W69" s="77">
        <f t="shared" si="11"/>
        <v>0</v>
      </c>
      <c r="X69" s="103">
        <f t="shared" si="12"/>
        <v>0</v>
      </c>
      <c r="Y69" s="72">
        <v>0</v>
      </c>
      <c r="Z69" s="72"/>
      <c r="AA69" s="72"/>
      <c r="AB69" s="72"/>
      <c r="AC69" s="72">
        <f t="shared" si="13"/>
        <v>0</v>
      </c>
    </row>
    <row r="70" spans="1:29" s="17" customFormat="1" ht="38.25" hidden="1" customHeight="1">
      <c r="A70" s="43">
        <v>62</v>
      </c>
      <c r="B70" s="116"/>
      <c r="C70" s="111" t="s">
        <v>40</v>
      </c>
      <c r="D70" s="112"/>
      <c r="E70" s="112"/>
      <c r="F70" s="112"/>
      <c r="G70" s="113"/>
      <c r="H70" s="113"/>
      <c r="I70" s="113"/>
      <c r="J70" s="113"/>
      <c r="K70" s="113"/>
      <c r="L70" s="114">
        <f t="shared" si="9"/>
        <v>0</v>
      </c>
      <c r="M70" s="112"/>
      <c r="N70" s="112"/>
      <c r="O70" s="112"/>
      <c r="P70" s="112"/>
      <c r="Q70" s="112"/>
      <c r="R70" s="112"/>
      <c r="S70" s="115"/>
      <c r="T70" s="115"/>
      <c r="U70" s="114">
        <f t="shared" si="10"/>
        <v>0</v>
      </c>
      <c r="V70" s="112"/>
      <c r="W70" s="77">
        <f t="shared" si="11"/>
        <v>0</v>
      </c>
      <c r="X70" s="103">
        <f t="shared" si="12"/>
        <v>0</v>
      </c>
      <c r="Y70" s="72">
        <v>0</v>
      </c>
      <c r="Z70" s="72"/>
      <c r="AA70" s="72"/>
      <c r="AB70" s="72"/>
      <c r="AC70" s="72">
        <f t="shared" si="13"/>
        <v>0</v>
      </c>
    </row>
    <row r="71" spans="1:29" s="17" customFormat="1" ht="38.25" hidden="1" customHeight="1">
      <c r="A71" s="43">
        <v>63</v>
      </c>
      <c r="B71" s="116"/>
      <c r="C71" s="111" t="s">
        <v>40</v>
      </c>
      <c r="D71" s="112"/>
      <c r="E71" s="112"/>
      <c r="F71" s="112"/>
      <c r="G71" s="113"/>
      <c r="H71" s="113"/>
      <c r="I71" s="113"/>
      <c r="J71" s="113"/>
      <c r="K71" s="113"/>
      <c r="L71" s="114">
        <f t="shared" si="9"/>
        <v>0</v>
      </c>
      <c r="M71" s="112"/>
      <c r="N71" s="112"/>
      <c r="O71" s="112"/>
      <c r="P71" s="112"/>
      <c r="Q71" s="112"/>
      <c r="R71" s="112"/>
      <c r="S71" s="115"/>
      <c r="T71" s="115"/>
      <c r="U71" s="114">
        <f t="shared" si="10"/>
        <v>0</v>
      </c>
      <c r="V71" s="112"/>
      <c r="W71" s="77">
        <f t="shared" si="11"/>
        <v>0</v>
      </c>
      <c r="X71" s="103">
        <f t="shared" si="12"/>
        <v>0</v>
      </c>
      <c r="Y71" s="72">
        <v>0</v>
      </c>
      <c r="Z71" s="72"/>
      <c r="AA71" s="72"/>
      <c r="AB71" s="72"/>
      <c r="AC71" s="72">
        <f t="shared" si="13"/>
        <v>0</v>
      </c>
    </row>
    <row r="72" spans="1:29" s="17" customFormat="1" ht="38.25" hidden="1" customHeight="1">
      <c r="A72" s="43">
        <v>64</v>
      </c>
      <c r="B72" s="116"/>
      <c r="C72" s="111" t="s">
        <v>40</v>
      </c>
      <c r="D72" s="112"/>
      <c r="E72" s="112"/>
      <c r="F72" s="112"/>
      <c r="G72" s="113"/>
      <c r="H72" s="113"/>
      <c r="I72" s="113"/>
      <c r="J72" s="113"/>
      <c r="K72" s="113"/>
      <c r="L72" s="114">
        <f t="shared" si="9"/>
        <v>0</v>
      </c>
      <c r="M72" s="112"/>
      <c r="N72" s="112"/>
      <c r="O72" s="112"/>
      <c r="P72" s="112"/>
      <c r="Q72" s="112"/>
      <c r="R72" s="112"/>
      <c r="S72" s="115"/>
      <c r="T72" s="115"/>
      <c r="U72" s="114">
        <f t="shared" si="10"/>
        <v>0</v>
      </c>
      <c r="V72" s="112"/>
      <c r="W72" s="77">
        <f t="shared" si="11"/>
        <v>0</v>
      </c>
      <c r="X72" s="103">
        <f t="shared" si="12"/>
        <v>0</v>
      </c>
      <c r="Y72" s="72">
        <v>0</v>
      </c>
      <c r="Z72" s="72"/>
      <c r="AA72" s="72"/>
      <c r="AB72" s="72"/>
      <c r="AC72" s="72">
        <f t="shared" si="13"/>
        <v>0</v>
      </c>
    </row>
    <row r="73" spans="1:29" s="17" customFormat="1" ht="38.25" hidden="1" customHeight="1">
      <c r="A73" s="43">
        <v>65</v>
      </c>
      <c r="B73" s="116"/>
      <c r="C73" s="111" t="s">
        <v>40</v>
      </c>
      <c r="D73" s="112"/>
      <c r="E73" s="112"/>
      <c r="F73" s="112"/>
      <c r="G73" s="113"/>
      <c r="H73" s="113"/>
      <c r="I73" s="113"/>
      <c r="J73" s="113"/>
      <c r="K73" s="113"/>
      <c r="L73" s="114">
        <f t="shared" ref="L73:L104" si="14">SUM(G73:K73)</f>
        <v>0</v>
      </c>
      <c r="M73" s="112"/>
      <c r="N73" s="112"/>
      <c r="O73" s="112"/>
      <c r="P73" s="112"/>
      <c r="Q73" s="112"/>
      <c r="R73" s="112"/>
      <c r="S73" s="115"/>
      <c r="T73" s="115"/>
      <c r="U73" s="114">
        <f t="shared" ref="U73:U87" si="15">T73+S73</f>
        <v>0</v>
      </c>
      <c r="V73" s="112"/>
      <c r="W73" s="77">
        <f t="shared" ref="W73:W104" si="16">($D$7/$D$6*D73)+($E$7/$E$6*E73)+($F$7/$F$6*F73)+($M$7/$M$6*M73)+($N$7/$N$6*N73)+($O$7/$O$6*O73)+($P$7/$P$6*P73)+($Q$7/$Q$6*Q73)+($R$7/$R$6*R73)+($V$7/$V$6*V73)</f>
        <v>0</v>
      </c>
      <c r="X73" s="103">
        <f t="shared" ref="X73:X104" si="17">ROUND(W73,0)</f>
        <v>0</v>
      </c>
      <c r="Y73" s="72">
        <v>0</v>
      </c>
      <c r="Z73" s="72"/>
      <c r="AA73" s="72"/>
      <c r="AB73" s="72"/>
      <c r="AC73" s="72">
        <f t="shared" ref="AC73:AC104" si="18">SUM(Y73:AB73)</f>
        <v>0</v>
      </c>
    </row>
    <row r="74" spans="1:29" s="17" customFormat="1" ht="38.25" hidden="1" customHeight="1">
      <c r="A74" s="43">
        <v>66</v>
      </c>
      <c r="B74" s="119"/>
      <c r="C74" s="111" t="s">
        <v>40</v>
      </c>
      <c r="D74" s="112"/>
      <c r="E74" s="112"/>
      <c r="F74" s="112"/>
      <c r="G74" s="113"/>
      <c r="H74" s="113"/>
      <c r="I74" s="115"/>
      <c r="J74" s="113"/>
      <c r="K74" s="113"/>
      <c r="L74" s="114">
        <f t="shared" si="14"/>
        <v>0</v>
      </c>
      <c r="M74" s="112"/>
      <c r="N74" s="112"/>
      <c r="O74" s="112"/>
      <c r="P74" s="112"/>
      <c r="Q74" s="112"/>
      <c r="R74" s="112"/>
      <c r="S74" s="115"/>
      <c r="T74" s="115"/>
      <c r="U74" s="114">
        <f t="shared" si="15"/>
        <v>0</v>
      </c>
      <c r="V74" s="112"/>
      <c r="W74" s="77">
        <f t="shared" si="16"/>
        <v>0</v>
      </c>
      <c r="X74" s="103">
        <f t="shared" si="17"/>
        <v>0</v>
      </c>
      <c r="Y74" s="72">
        <v>0</v>
      </c>
      <c r="Z74" s="72"/>
      <c r="AA74" s="72"/>
      <c r="AB74" s="72"/>
      <c r="AC74" s="72">
        <f t="shared" si="18"/>
        <v>0</v>
      </c>
    </row>
    <row r="75" spans="1:29" s="17" customFormat="1" ht="38.25" hidden="1" customHeight="1">
      <c r="A75" s="43">
        <v>67</v>
      </c>
      <c r="B75" s="118"/>
      <c r="C75" s="111" t="s">
        <v>40</v>
      </c>
      <c r="D75" s="112"/>
      <c r="E75" s="112"/>
      <c r="F75" s="112"/>
      <c r="G75" s="113"/>
      <c r="H75" s="113"/>
      <c r="I75" s="115"/>
      <c r="J75" s="113"/>
      <c r="K75" s="113"/>
      <c r="L75" s="114">
        <f t="shared" si="14"/>
        <v>0</v>
      </c>
      <c r="M75" s="112"/>
      <c r="N75" s="112"/>
      <c r="O75" s="112"/>
      <c r="P75" s="112"/>
      <c r="Q75" s="112"/>
      <c r="R75" s="112"/>
      <c r="S75" s="115"/>
      <c r="T75" s="115"/>
      <c r="U75" s="114">
        <f t="shared" si="15"/>
        <v>0</v>
      </c>
      <c r="V75" s="112"/>
      <c r="W75" s="77">
        <f t="shared" si="16"/>
        <v>0</v>
      </c>
      <c r="X75" s="103">
        <f t="shared" si="17"/>
        <v>0</v>
      </c>
      <c r="Y75" s="72">
        <v>0</v>
      </c>
      <c r="Z75" s="72"/>
      <c r="AA75" s="72"/>
      <c r="AB75" s="72"/>
      <c r="AC75" s="72">
        <f t="shared" si="18"/>
        <v>0</v>
      </c>
    </row>
    <row r="76" spans="1:29" s="17" customFormat="1" ht="38.25" hidden="1" customHeight="1">
      <c r="A76" s="43">
        <v>68</v>
      </c>
      <c r="B76" s="118"/>
      <c r="C76" s="111" t="s">
        <v>40</v>
      </c>
      <c r="D76" s="112"/>
      <c r="E76" s="112"/>
      <c r="F76" s="112"/>
      <c r="G76" s="113"/>
      <c r="H76" s="113"/>
      <c r="I76" s="113"/>
      <c r="J76" s="113"/>
      <c r="K76" s="113"/>
      <c r="L76" s="114">
        <f t="shared" si="14"/>
        <v>0</v>
      </c>
      <c r="M76" s="112"/>
      <c r="N76" s="112"/>
      <c r="O76" s="112"/>
      <c r="P76" s="112"/>
      <c r="Q76" s="112"/>
      <c r="R76" s="112"/>
      <c r="S76" s="115"/>
      <c r="T76" s="115"/>
      <c r="U76" s="114">
        <f t="shared" si="15"/>
        <v>0</v>
      </c>
      <c r="V76" s="112"/>
      <c r="W76" s="77">
        <f t="shared" si="16"/>
        <v>0</v>
      </c>
      <c r="X76" s="103">
        <f t="shared" si="17"/>
        <v>0</v>
      </c>
      <c r="Y76" s="72">
        <v>0</v>
      </c>
      <c r="Z76" s="72"/>
      <c r="AA76" s="72"/>
      <c r="AB76" s="72"/>
      <c r="AC76" s="72">
        <f t="shared" si="18"/>
        <v>0</v>
      </c>
    </row>
    <row r="77" spans="1:29" s="17" customFormat="1" ht="38.25" hidden="1" customHeight="1">
      <c r="A77" s="43">
        <v>69</v>
      </c>
      <c r="B77" s="118"/>
      <c r="C77" s="111" t="s">
        <v>40</v>
      </c>
      <c r="D77" s="112"/>
      <c r="E77" s="112"/>
      <c r="F77" s="112"/>
      <c r="G77" s="113"/>
      <c r="H77" s="113"/>
      <c r="I77" s="113"/>
      <c r="J77" s="113"/>
      <c r="K77" s="113"/>
      <c r="L77" s="114">
        <f t="shared" si="14"/>
        <v>0</v>
      </c>
      <c r="M77" s="112"/>
      <c r="N77" s="112"/>
      <c r="O77" s="112"/>
      <c r="P77" s="112"/>
      <c r="Q77" s="112"/>
      <c r="R77" s="112"/>
      <c r="S77" s="115"/>
      <c r="T77" s="115"/>
      <c r="U77" s="114">
        <f t="shared" si="15"/>
        <v>0</v>
      </c>
      <c r="V77" s="112"/>
      <c r="W77" s="77">
        <f t="shared" si="16"/>
        <v>0</v>
      </c>
      <c r="X77" s="103">
        <f t="shared" si="17"/>
        <v>0</v>
      </c>
      <c r="Y77" s="72">
        <v>0</v>
      </c>
      <c r="Z77" s="72"/>
      <c r="AA77" s="72"/>
      <c r="AB77" s="72"/>
      <c r="AC77" s="72">
        <f t="shared" si="18"/>
        <v>0</v>
      </c>
    </row>
    <row r="78" spans="1:29" s="17" customFormat="1" ht="38.25" hidden="1" customHeight="1">
      <c r="A78" s="43">
        <v>70</v>
      </c>
      <c r="B78" s="118"/>
      <c r="C78" s="111" t="s">
        <v>40</v>
      </c>
      <c r="D78" s="112"/>
      <c r="E78" s="112"/>
      <c r="F78" s="112"/>
      <c r="G78" s="113"/>
      <c r="H78" s="113"/>
      <c r="I78" s="113"/>
      <c r="J78" s="113"/>
      <c r="K78" s="113"/>
      <c r="L78" s="114">
        <f t="shared" si="14"/>
        <v>0</v>
      </c>
      <c r="M78" s="112"/>
      <c r="N78" s="112"/>
      <c r="O78" s="112"/>
      <c r="P78" s="112"/>
      <c r="Q78" s="112"/>
      <c r="R78" s="112"/>
      <c r="S78" s="115"/>
      <c r="T78" s="115"/>
      <c r="U78" s="114">
        <f t="shared" si="15"/>
        <v>0</v>
      </c>
      <c r="V78" s="112"/>
      <c r="W78" s="77">
        <f t="shared" si="16"/>
        <v>0</v>
      </c>
      <c r="X78" s="103">
        <f t="shared" si="17"/>
        <v>0</v>
      </c>
      <c r="Y78" s="72">
        <v>0</v>
      </c>
      <c r="Z78" s="72"/>
      <c r="AA78" s="72"/>
      <c r="AB78" s="72"/>
      <c r="AC78" s="72">
        <f t="shared" si="18"/>
        <v>0</v>
      </c>
    </row>
    <row r="79" spans="1:29" s="17" customFormat="1" ht="38.25" hidden="1" customHeight="1">
      <c r="A79" s="43">
        <v>71</v>
      </c>
      <c r="B79" s="118"/>
      <c r="C79" s="111" t="s">
        <v>40</v>
      </c>
      <c r="D79" s="112"/>
      <c r="E79" s="112"/>
      <c r="F79" s="112"/>
      <c r="G79" s="113"/>
      <c r="H79" s="113"/>
      <c r="I79" s="115"/>
      <c r="J79" s="113"/>
      <c r="K79" s="113"/>
      <c r="L79" s="114">
        <f t="shared" si="14"/>
        <v>0</v>
      </c>
      <c r="M79" s="112"/>
      <c r="N79" s="112"/>
      <c r="O79" s="112"/>
      <c r="P79" s="112"/>
      <c r="Q79" s="112"/>
      <c r="R79" s="112"/>
      <c r="S79" s="115"/>
      <c r="T79" s="115"/>
      <c r="U79" s="114">
        <f t="shared" si="15"/>
        <v>0</v>
      </c>
      <c r="V79" s="112"/>
      <c r="W79" s="77">
        <f t="shared" si="16"/>
        <v>0</v>
      </c>
      <c r="X79" s="103">
        <f t="shared" si="17"/>
        <v>0</v>
      </c>
      <c r="Y79" s="72">
        <v>0</v>
      </c>
      <c r="Z79" s="72"/>
      <c r="AA79" s="72"/>
      <c r="AB79" s="72"/>
      <c r="AC79" s="72">
        <f t="shared" si="18"/>
        <v>0</v>
      </c>
    </row>
    <row r="80" spans="1:29" s="17" customFormat="1" ht="38.25" hidden="1" customHeight="1">
      <c r="A80" s="43">
        <v>72</v>
      </c>
      <c r="B80" s="118"/>
      <c r="C80" s="111" t="s">
        <v>40</v>
      </c>
      <c r="D80" s="112"/>
      <c r="E80" s="112"/>
      <c r="F80" s="112"/>
      <c r="G80" s="113"/>
      <c r="H80" s="113"/>
      <c r="I80" s="113"/>
      <c r="J80" s="113"/>
      <c r="K80" s="113"/>
      <c r="L80" s="114">
        <f t="shared" si="14"/>
        <v>0</v>
      </c>
      <c r="M80" s="112"/>
      <c r="N80" s="112"/>
      <c r="O80" s="112"/>
      <c r="P80" s="112"/>
      <c r="Q80" s="112"/>
      <c r="R80" s="112"/>
      <c r="S80" s="115"/>
      <c r="T80" s="115"/>
      <c r="U80" s="114">
        <f t="shared" si="15"/>
        <v>0</v>
      </c>
      <c r="V80" s="112"/>
      <c r="W80" s="77">
        <f t="shared" si="16"/>
        <v>0</v>
      </c>
      <c r="X80" s="103">
        <f t="shared" si="17"/>
        <v>0</v>
      </c>
      <c r="Y80" s="72">
        <v>0</v>
      </c>
      <c r="Z80" s="72"/>
      <c r="AA80" s="72"/>
      <c r="AB80" s="72"/>
      <c r="AC80" s="72">
        <f t="shared" si="18"/>
        <v>0</v>
      </c>
    </row>
    <row r="81" spans="1:29" s="17" customFormat="1" ht="38.25" hidden="1" customHeight="1">
      <c r="A81" s="43">
        <v>73</v>
      </c>
      <c r="B81" s="110"/>
      <c r="C81" s="111" t="s">
        <v>40</v>
      </c>
      <c r="D81" s="112"/>
      <c r="E81" s="112"/>
      <c r="F81" s="112"/>
      <c r="G81" s="113"/>
      <c r="H81" s="113"/>
      <c r="I81" s="115"/>
      <c r="J81" s="113"/>
      <c r="K81" s="113"/>
      <c r="L81" s="114">
        <f t="shared" si="14"/>
        <v>0</v>
      </c>
      <c r="M81" s="112"/>
      <c r="N81" s="112"/>
      <c r="O81" s="112"/>
      <c r="P81" s="112"/>
      <c r="Q81" s="112"/>
      <c r="R81" s="112"/>
      <c r="S81" s="115"/>
      <c r="T81" s="115"/>
      <c r="U81" s="114">
        <f t="shared" si="15"/>
        <v>0</v>
      </c>
      <c r="V81" s="112"/>
      <c r="W81" s="77">
        <f t="shared" si="16"/>
        <v>0</v>
      </c>
      <c r="X81" s="103">
        <f t="shared" si="17"/>
        <v>0</v>
      </c>
      <c r="Y81" s="72">
        <v>0</v>
      </c>
      <c r="Z81" s="72"/>
      <c r="AA81" s="72"/>
      <c r="AB81" s="72"/>
      <c r="AC81" s="72">
        <f t="shared" si="18"/>
        <v>0</v>
      </c>
    </row>
    <row r="82" spans="1:29" s="17" customFormat="1" ht="38.25" hidden="1" customHeight="1">
      <c r="A82" s="43">
        <v>74</v>
      </c>
      <c r="B82" s="116"/>
      <c r="C82" s="111" t="s">
        <v>40</v>
      </c>
      <c r="D82" s="112"/>
      <c r="E82" s="112"/>
      <c r="F82" s="112"/>
      <c r="G82" s="113"/>
      <c r="H82" s="113"/>
      <c r="I82" s="113"/>
      <c r="J82" s="113"/>
      <c r="K82" s="113"/>
      <c r="L82" s="114">
        <f t="shared" si="14"/>
        <v>0</v>
      </c>
      <c r="M82" s="112"/>
      <c r="N82" s="112"/>
      <c r="O82" s="112"/>
      <c r="P82" s="112"/>
      <c r="Q82" s="112"/>
      <c r="R82" s="112"/>
      <c r="S82" s="115"/>
      <c r="T82" s="115"/>
      <c r="U82" s="114">
        <f t="shared" si="15"/>
        <v>0</v>
      </c>
      <c r="V82" s="112"/>
      <c r="W82" s="77">
        <f t="shared" si="16"/>
        <v>0</v>
      </c>
      <c r="X82" s="103">
        <f t="shared" si="17"/>
        <v>0</v>
      </c>
      <c r="Y82" s="72">
        <v>0</v>
      </c>
      <c r="Z82" s="72"/>
      <c r="AA82" s="72"/>
      <c r="AB82" s="72"/>
      <c r="AC82" s="72">
        <f t="shared" si="18"/>
        <v>0</v>
      </c>
    </row>
    <row r="83" spans="1:29" s="17" customFormat="1" ht="38.25" hidden="1" customHeight="1">
      <c r="A83" s="43">
        <v>75</v>
      </c>
      <c r="B83" s="110"/>
      <c r="C83" s="111" t="s">
        <v>40</v>
      </c>
      <c r="D83" s="112"/>
      <c r="E83" s="112"/>
      <c r="F83" s="112"/>
      <c r="G83" s="113"/>
      <c r="H83" s="113"/>
      <c r="I83" s="115"/>
      <c r="J83" s="113"/>
      <c r="K83" s="113"/>
      <c r="L83" s="114">
        <f t="shared" si="14"/>
        <v>0</v>
      </c>
      <c r="M83" s="112"/>
      <c r="N83" s="112"/>
      <c r="O83" s="112"/>
      <c r="P83" s="112"/>
      <c r="Q83" s="112"/>
      <c r="R83" s="112"/>
      <c r="S83" s="115"/>
      <c r="T83" s="115"/>
      <c r="U83" s="114">
        <f t="shared" si="15"/>
        <v>0</v>
      </c>
      <c r="V83" s="112"/>
      <c r="W83" s="77">
        <f t="shared" si="16"/>
        <v>0</v>
      </c>
      <c r="X83" s="103">
        <f t="shared" si="17"/>
        <v>0</v>
      </c>
      <c r="Y83" s="72">
        <v>0</v>
      </c>
      <c r="Z83" s="72"/>
      <c r="AA83" s="72"/>
      <c r="AB83" s="72"/>
      <c r="AC83" s="72">
        <f t="shared" si="18"/>
        <v>0</v>
      </c>
    </row>
    <row r="84" spans="1:29" s="17" customFormat="1" ht="38.25" hidden="1" customHeight="1">
      <c r="A84" s="43">
        <v>76</v>
      </c>
      <c r="B84" s="116"/>
      <c r="C84" s="111" t="s">
        <v>40</v>
      </c>
      <c r="D84" s="112"/>
      <c r="E84" s="112"/>
      <c r="F84" s="112"/>
      <c r="G84" s="113"/>
      <c r="H84" s="113"/>
      <c r="I84" s="113"/>
      <c r="J84" s="113"/>
      <c r="K84" s="113"/>
      <c r="L84" s="114">
        <f t="shared" si="14"/>
        <v>0</v>
      </c>
      <c r="M84" s="112"/>
      <c r="N84" s="112"/>
      <c r="O84" s="112"/>
      <c r="P84" s="112"/>
      <c r="Q84" s="112"/>
      <c r="R84" s="112"/>
      <c r="S84" s="115"/>
      <c r="T84" s="115"/>
      <c r="U84" s="114">
        <f t="shared" si="15"/>
        <v>0</v>
      </c>
      <c r="V84" s="112"/>
      <c r="W84" s="77">
        <f t="shared" si="16"/>
        <v>0</v>
      </c>
      <c r="X84" s="103">
        <f t="shared" si="17"/>
        <v>0</v>
      </c>
      <c r="Y84" s="72">
        <v>0</v>
      </c>
      <c r="Z84" s="72"/>
      <c r="AA84" s="72"/>
      <c r="AB84" s="72"/>
      <c r="AC84" s="72">
        <f t="shared" si="18"/>
        <v>0</v>
      </c>
    </row>
    <row r="85" spans="1:29" s="17" customFormat="1" ht="38.25" hidden="1" customHeight="1">
      <c r="A85" s="43">
        <v>77</v>
      </c>
      <c r="B85" s="116"/>
      <c r="C85" s="111" t="s">
        <v>40</v>
      </c>
      <c r="D85" s="112"/>
      <c r="E85" s="112"/>
      <c r="F85" s="112"/>
      <c r="G85" s="113"/>
      <c r="H85" s="113"/>
      <c r="I85" s="113"/>
      <c r="J85" s="113"/>
      <c r="K85" s="113"/>
      <c r="L85" s="114">
        <f t="shared" si="14"/>
        <v>0</v>
      </c>
      <c r="M85" s="112"/>
      <c r="N85" s="112"/>
      <c r="O85" s="112"/>
      <c r="P85" s="112"/>
      <c r="Q85" s="112"/>
      <c r="R85" s="112"/>
      <c r="S85" s="115"/>
      <c r="T85" s="115"/>
      <c r="U85" s="114">
        <f t="shared" si="15"/>
        <v>0</v>
      </c>
      <c r="V85" s="112"/>
      <c r="W85" s="77">
        <f t="shared" si="16"/>
        <v>0</v>
      </c>
      <c r="X85" s="103">
        <f t="shared" si="17"/>
        <v>0</v>
      </c>
      <c r="Y85" s="72">
        <v>0</v>
      </c>
      <c r="Z85" s="72"/>
      <c r="AA85" s="72"/>
      <c r="AB85" s="72"/>
      <c r="AC85" s="72">
        <f t="shared" si="18"/>
        <v>0</v>
      </c>
    </row>
    <row r="86" spans="1:29" s="17" customFormat="1" ht="38.25" hidden="1" customHeight="1">
      <c r="A86" s="43">
        <v>78</v>
      </c>
      <c r="B86" s="116"/>
      <c r="C86" s="111" t="s">
        <v>40</v>
      </c>
      <c r="D86" s="112"/>
      <c r="E86" s="112"/>
      <c r="F86" s="112"/>
      <c r="G86" s="113"/>
      <c r="H86" s="113"/>
      <c r="I86" s="113"/>
      <c r="J86" s="113"/>
      <c r="K86" s="113"/>
      <c r="L86" s="114">
        <f t="shared" si="14"/>
        <v>0</v>
      </c>
      <c r="M86" s="112"/>
      <c r="N86" s="112"/>
      <c r="O86" s="112"/>
      <c r="P86" s="112"/>
      <c r="Q86" s="112"/>
      <c r="R86" s="112"/>
      <c r="S86" s="115"/>
      <c r="T86" s="115"/>
      <c r="U86" s="114">
        <f t="shared" si="15"/>
        <v>0</v>
      </c>
      <c r="V86" s="112"/>
      <c r="W86" s="77">
        <f t="shared" si="16"/>
        <v>0</v>
      </c>
      <c r="X86" s="103">
        <f t="shared" si="17"/>
        <v>0</v>
      </c>
      <c r="Y86" s="72">
        <v>0</v>
      </c>
      <c r="Z86" s="72"/>
      <c r="AA86" s="72"/>
      <c r="AB86" s="72"/>
      <c r="AC86" s="72">
        <f t="shared" si="18"/>
        <v>0</v>
      </c>
    </row>
    <row r="87" spans="1:29" s="17" customFormat="1" ht="38.25" hidden="1" customHeight="1">
      <c r="A87" s="43">
        <v>79</v>
      </c>
      <c r="B87" s="116"/>
      <c r="C87" s="111" t="s">
        <v>40</v>
      </c>
      <c r="D87" s="112"/>
      <c r="E87" s="112"/>
      <c r="F87" s="112"/>
      <c r="G87" s="113"/>
      <c r="H87" s="113"/>
      <c r="I87" s="113"/>
      <c r="J87" s="113"/>
      <c r="K87" s="113"/>
      <c r="L87" s="114">
        <f t="shared" si="14"/>
        <v>0</v>
      </c>
      <c r="M87" s="112"/>
      <c r="N87" s="112"/>
      <c r="O87" s="112"/>
      <c r="P87" s="112"/>
      <c r="Q87" s="112"/>
      <c r="R87" s="112"/>
      <c r="S87" s="115"/>
      <c r="T87" s="115"/>
      <c r="U87" s="114">
        <f t="shared" si="15"/>
        <v>0</v>
      </c>
      <c r="V87" s="112"/>
      <c r="W87" s="77">
        <f t="shared" si="16"/>
        <v>0</v>
      </c>
      <c r="X87" s="103">
        <f t="shared" si="17"/>
        <v>0</v>
      </c>
      <c r="Y87" s="72">
        <v>0</v>
      </c>
      <c r="Z87" s="72"/>
      <c r="AA87" s="72"/>
      <c r="AB87" s="72"/>
      <c r="AC87" s="72">
        <f t="shared" si="18"/>
        <v>0</v>
      </c>
    </row>
    <row r="88" spans="1:29" s="17" customFormat="1" ht="38.25" hidden="1" customHeight="1">
      <c r="A88" s="43">
        <v>80</v>
      </c>
      <c r="B88" s="118"/>
      <c r="C88" s="111" t="s">
        <v>40</v>
      </c>
      <c r="D88" s="112"/>
      <c r="E88" s="112"/>
      <c r="F88" s="112"/>
      <c r="G88" s="115"/>
      <c r="H88" s="115"/>
      <c r="I88" s="115"/>
      <c r="J88" s="115"/>
      <c r="K88" s="115"/>
      <c r="L88" s="114">
        <f t="shared" si="14"/>
        <v>0</v>
      </c>
      <c r="M88" s="112"/>
      <c r="N88" s="112"/>
      <c r="O88" s="112"/>
      <c r="P88" s="112"/>
      <c r="Q88" s="112"/>
      <c r="R88" s="112"/>
      <c r="S88" s="115"/>
      <c r="T88" s="115"/>
      <c r="U88" s="114">
        <f t="shared" ref="U88:U108" si="19">SUM(S88:T88)</f>
        <v>0</v>
      </c>
      <c r="V88" s="112"/>
      <c r="W88" s="77">
        <f t="shared" si="16"/>
        <v>0</v>
      </c>
      <c r="X88" s="103">
        <f t="shared" si="17"/>
        <v>0</v>
      </c>
      <c r="Y88" s="72">
        <v>0</v>
      </c>
      <c r="Z88" s="72"/>
      <c r="AA88" s="72"/>
      <c r="AB88" s="72"/>
      <c r="AC88" s="72">
        <f t="shared" si="18"/>
        <v>0</v>
      </c>
    </row>
    <row r="89" spans="1:29" s="17" customFormat="1" ht="38.25" hidden="1" customHeight="1">
      <c r="A89" s="43">
        <v>81</v>
      </c>
      <c r="B89" s="118"/>
      <c r="C89" s="111" t="s">
        <v>40</v>
      </c>
      <c r="D89" s="112"/>
      <c r="E89" s="112"/>
      <c r="F89" s="112"/>
      <c r="G89" s="115"/>
      <c r="H89" s="115"/>
      <c r="I89" s="115"/>
      <c r="J89" s="115"/>
      <c r="K89" s="115"/>
      <c r="L89" s="114">
        <f t="shared" si="14"/>
        <v>0</v>
      </c>
      <c r="M89" s="112"/>
      <c r="N89" s="112"/>
      <c r="O89" s="112"/>
      <c r="P89" s="112"/>
      <c r="Q89" s="112"/>
      <c r="R89" s="112"/>
      <c r="S89" s="115"/>
      <c r="T89" s="115"/>
      <c r="U89" s="114">
        <f t="shared" si="19"/>
        <v>0</v>
      </c>
      <c r="V89" s="112"/>
      <c r="W89" s="77">
        <f t="shared" si="16"/>
        <v>0</v>
      </c>
      <c r="X89" s="103">
        <f t="shared" si="17"/>
        <v>0</v>
      </c>
      <c r="Y89" s="72">
        <v>0</v>
      </c>
      <c r="Z89" s="72"/>
      <c r="AA89" s="72"/>
      <c r="AB89" s="72"/>
      <c r="AC89" s="72">
        <f t="shared" si="18"/>
        <v>0</v>
      </c>
    </row>
    <row r="90" spans="1:29" s="17" customFormat="1" ht="38.25" hidden="1" customHeight="1">
      <c r="A90" s="43">
        <v>82</v>
      </c>
      <c r="B90" s="110"/>
      <c r="C90" s="111" t="s">
        <v>40</v>
      </c>
      <c r="D90" s="112"/>
      <c r="E90" s="112"/>
      <c r="F90" s="112"/>
      <c r="G90" s="115"/>
      <c r="H90" s="115"/>
      <c r="I90" s="115"/>
      <c r="J90" s="115"/>
      <c r="K90" s="115"/>
      <c r="L90" s="114">
        <f t="shared" si="14"/>
        <v>0</v>
      </c>
      <c r="M90" s="112"/>
      <c r="N90" s="112"/>
      <c r="O90" s="112"/>
      <c r="P90" s="112"/>
      <c r="Q90" s="112"/>
      <c r="R90" s="112"/>
      <c r="S90" s="115"/>
      <c r="T90" s="115"/>
      <c r="U90" s="114">
        <f t="shared" si="19"/>
        <v>0</v>
      </c>
      <c r="V90" s="112"/>
      <c r="W90" s="77">
        <f t="shared" si="16"/>
        <v>0</v>
      </c>
      <c r="X90" s="103">
        <f t="shared" si="17"/>
        <v>0</v>
      </c>
      <c r="Y90" s="72">
        <v>0</v>
      </c>
      <c r="Z90" s="72"/>
      <c r="AA90" s="72"/>
      <c r="AB90" s="72"/>
      <c r="AC90" s="72">
        <f t="shared" si="18"/>
        <v>0</v>
      </c>
    </row>
    <row r="91" spans="1:29" s="17" customFormat="1" ht="38.25" hidden="1" customHeight="1">
      <c r="A91" s="43">
        <v>83</v>
      </c>
      <c r="B91" s="121"/>
      <c r="C91" s="111" t="s">
        <v>40</v>
      </c>
      <c r="D91" s="112"/>
      <c r="E91" s="112"/>
      <c r="F91" s="112"/>
      <c r="G91" s="115"/>
      <c r="H91" s="115"/>
      <c r="I91" s="115"/>
      <c r="J91" s="115"/>
      <c r="K91" s="115"/>
      <c r="L91" s="114">
        <f t="shared" si="14"/>
        <v>0</v>
      </c>
      <c r="M91" s="112"/>
      <c r="N91" s="112"/>
      <c r="O91" s="112"/>
      <c r="P91" s="112"/>
      <c r="Q91" s="112"/>
      <c r="R91" s="112"/>
      <c r="S91" s="115"/>
      <c r="T91" s="115"/>
      <c r="U91" s="114">
        <f t="shared" si="19"/>
        <v>0</v>
      </c>
      <c r="V91" s="112"/>
      <c r="W91" s="77">
        <f t="shared" si="16"/>
        <v>0</v>
      </c>
      <c r="X91" s="103">
        <f t="shared" si="17"/>
        <v>0</v>
      </c>
      <c r="Y91" s="72">
        <v>0</v>
      </c>
      <c r="Z91" s="72"/>
      <c r="AA91" s="72"/>
      <c r="AB91" s="72"/>
      <c r="AC91" s="72">
        <f t="shared" si="18"/>
        <v>0</v>
      </c>
    </row>
    <row r="92" spans="1:29" s="17" customFormat="1" ht="38.25" hidden="1" customHeight="1">
      <c r="A92" s="43">
        <v>84</v>
      </c>
      <c r="B92" s="118"/>
      <c r="C92" s="111" t="s">
        <v>40</v>
      </c>
      <c r="D92" s="112"/>
      <c r="E92" s="112"/>
      <c r="F92" s="112"/>
      <c r="G92" s="115"/>
      <c r="H92" s="115"/>
      <c r="I92" s="115"/>
      <c r="J92" s="115"/>
      <c r="K92" s="115"/>
      <c r="L92" s="114">
        <f t="shared" si="14"/>
        <v>0</v>
      </c>
      <c r="M92" s="112"/>
      <c r="N92" s="112"/>
      <c r="O92" s="112"/>
      <c r="P92" s="112"/>
      <c r="Q92" s="112"/>
      <c r="R92" s="112"/>
      <c r="S92" s="115"/>
      <c r="T92" s="115"/>
      <c r="U92" s="114">
        <f t="shared" si="19"/>
        <v>0</v>
      </c>
      <c r="V92" s="112"/>
      <c r="W92" s="77">
        <f t="shared" si="16"/>
        <v>0</v>
      </c>
      <c r="X92" s="103">
        <f t="shared" si="17"/>
        <v>0</v>
      </c>
      <c r="Y92" s="72">
        <v>0</v>
      </c>
      <c r="Z92" s="72"/>
      <c r="AA92" s="72"/>
      <c r="AB92" s="72"/>
      <c r="AC92" s="72">
        <f t="shared" si="18"/>
        <v>0</v>
      </c>
    </row>
    <row r="93" spans="1:29" s="17" customFormat="1" ht="38.25" hidden="1" customHeight="1">
      <c r="A93" s="43">
        <v>85</v>
      </c>
      <c r="B93" s="118"/>
      <c r="C93" s="111" t="s">
        <v>40</v>
      </c>
      <c r="D93" s="112"/>
      <c r="E93" s="112"/>
      <c r="F93" s="112"/>
      <c r="G93" s="115"/>
      <c r="H93" s="115"/>
      <c r="I93" s="115"/>
      <c r="J93" s="115"/>
      <c r="K93" s="115"/>
      <c r="L93" s="114">
        <f t="shared" si="14"/>
        <v>0</v>
      </c>
      <c r="M93" s="112"/>
      <c r="N93" s="112"/>
      <c r="O93" s="112"/>
      <c r="P93" s="112"/>
      <c r="Q93" s="112"/>
      <c r="R93" s="112"/>
      <c r="S93" s="115"/>
      <c r="T93" s="115"/>
      <c r="U93" s="114">
        <f t="shared" si="19"/>
        <v>0</v>
      </c>
      <c r="V93" s="112"/>
      <c r="W93" s="77">
        <f t="shared" si="16"/>
        <v>0</v>
      </c>
      <c r="X93" s="103">
        <f t="shared" si="17"/>
        <v>0</v>
      </c>
      <c r="Y93" s="72">
        <v>0</v>
      </c>
      <c r="Z93" s="72"/>
      <c r="AA93" s="72"/>
      <c r="AB93" s="72"/>
      <c r="AC93" s="72">
        <f t="shared" si="18"/>
        <v>0</v>
      </c>
    </row>
    <row r="94" spans="1:29" s="17" customFormat="1" ht="38.25" hidden="1" customHeight="1">
      <c r="A94" s="43">
        <v>86</v>
      </c>
      <c r="B94" s="118"/>
      <c r="C94" s="111" t="s">
        <v>40</v>
      </c>
      <c r="D94" s="112"/>
      <c r="E94" s="112"/>
      <c r="F94" s="112"/>
      <c r="G94" s="115"/>
      <c r="H94" s="115"/>
      <c r="I94" s="115"/>
      <c r="J94" s="115"/>
      <c r="K94" s="115"/>
      <c r="L94" s="114">
        <f t="shared" si="14"/>
        <v>0</v>
      </c>
      <c r="M94" s="112"/>
      <c r="N94" s="112"/>
      <c r="O94" s="112"/>
      <c r="P94" s="112"/>
      <c r="Q94" s="112"/>
      <c r="R94" s="112"/>
      <c r="S94" s="115"/>
      <c r="T94" s="115"/>
      <c r="U94" s="114">
        <f t="shared" si="19"/>
        <v>0</v>
      </c>
      <c r="V94" s="112"/>
      <c r="W94" s="77">
        <f t="shared" si="16"/>
        <v>0</v>
      </c>
      <c r="X94" s="103">
        <f t="shared" si="17"/>
        <v>0</v>
      </c>
      <c r="Y94" s="72">
        <v>0</v>
      </c>
      <c r="Z94" s="72"/>
      <c r="AA94" s="72"/>
      <c r="AB94" s="72"/>
      <c r="AC94" s="72">
        <f t="shared" si="18"/>
        <v>0</v>
      </c>
    </row>
    <row r="95" spans="1:29" s="17" customFormat="1" ht="38.25" hidden="1" customHeight="1">
      <c r="A95" s="43">
        <v>87</v>
      </c>
      <c r="B95" s="118"/>
      <c r="C95" s="111" t="s">
        <v>40</v>
      </c>
      <c r="D95" s="112"/>
      <c r="E95" s="112"/>
      <c r="F95" s="112"/>
      <c r="G95" s="115"/>
      <c r="H95" s="115"/>
      <c r="I95" s="115"/>
      <c r="J95" s="115"/>
      <c r="K95" s="115"/>
      <c r="L95" s="114">
        <f t="shared" si="14"/>
        <v>0</v>
      </c>
      <c r="M95" s="112"/>
      <c r="N95" s="112"/>
      <c r="O95" s="112"/>
      <c r="P95" s="112"/>
      <c r="Q95" s="112"/>
      <c r="R95" s="112"/>
      <c r="S95" s="115"/>
      <c r="T95" s="115"/>
      <c r="U95" s="114">
        <f t="shared" si="19"/>
        <v>0</v>
      </c>
      <c r="V95" s="112"/>
      <c r="W95" s="77">
        <f t="shared" si="16"/>
        <v>0</v>
      </c>
      <c r="X95" s="103">
        <f t="shared" si="17"/>
        <v>0</v>
      </c>
      <c r="Y95" s="72">
        <v>0</v>
      </c>
      <c r="Z95" s="72"/>
      <c r="AA95" s="72"/>
      <c r="AB95" s="72"/>
      <c r="AC95" s="72">
        <f t="shared" si="18"/>
        <v>0</v>
      </c>
    </row>
    <row r="96" spans="1:29" s="17" customFormat="1" ht="38.25" hidden="1" customHeight="1">
      <c r="A96" s="43">
        <v>88</v>
      </c>
      <c r="B96" s="118"/>
      <c r="C96" s="111" t="s">
        <v>40</v>
      </c>
      <c r="D96" s="112"/>
      <c r="E96" s="112"/>
      <c r="F96" s="112"/>
      <c r="G96" s="115"/>
      <c r="H96" s="115"/>
      <c r="I96" s="115"/>
      <c r="J96" s="115"/>
      <c r="K96" s="115"/>
      <c r="L96" s="114">
        <f t="shared" si="14"/>
        <v>0</v>
      </c>
      <c r="M96" s="112"/>
      <c r="N96" s="112"/>
      <c r="O96" s="112"/>
      <c r="P96" s="112"/>
      <c r="Q96" s="112"/>
      <c r="R96" s="112"/>
      <c r="S96" s="115"/>
      <c r="T96" s="115"/>
      <c r="U96" s="114">
        <f t="shared" si="19"/>
        <v>0</v>
      </c>
      <c r="V96" s="112"/>
      <c r="W96" s="77">
        <f t="shared" si="16"/>
        <v>0</v>
      </c>
      <c r="X96" s="103">
        <f t="shared" si="17"/>
        <v>0</v>
      </c>
      <c r="Y96" s="72">
        <v>0</v>
      </c>
      <c r="Z96" s="72"/>
      <c r="AA96" s="72"/>
      <c r="AB96" s="72"/>
      <c r="AC96" s="72">
        <f t="shared" si="18"/>
        <v>0</v>
      </c>
    </row>
    <row r="97" spans="1:29" s="17" customFormat="1" ht="38.25" hidden="1" customHeight="1">
      <c r="A97" s="43">
        <v>89</v>
      </c>
      <c r="B97" s="118"/>
      <c r="C97" s="111" t="s">
        <v>40</v>
      </c>
      <c r="D97" s="112"/>
      <c r="E97" s="112"/>
      <c r="F97" s="112"/>
      <c r="G97" s="115"/>
      <c r="H97" s="115"/>
      <c r="I97" s="115"/>
      <c r="J97" s="115"/>
      <c r="K97" s="115"/>
      <c r="L97" s="114">
        <f t="shared" si="14"/>
        <v>0</v>
      </c>
      <c r="M97" s="112"/>
      <c r="N97" s="112"/>
      <c r="O97" s="112"/>
      <c r="P97" s="112"/>
      <c r="Q97" s="112"/>
      <c r="R97" s="112"/>
      <c r="S97" s="115"/>
      <c r="T97" s="115"/>
      <c r="U97" s="114">
        <f t="shared" si="19"/>
        <v>0</v>
      </c>
      <c r="V97" s="112"/>
      <c r="W97" s="77">
        <f t="shared" si="16"/>
        <v>0</v>
      </c>
      <c r="X97" s="103">
        <f t="shared" si="17"/>
        <v>0</v>
      </c>
      <c r="Y97" s="72">
        <v>0</v>
      </c>
      <c r="Z97" s="72"/>
      <c r="AA97" s="72"/>
      <c r="AB97" s="72"/>
      <c r="AC97" s="72">
        <f t="shared" si="18"/>
        <v>0</v>
      </c>
    </row>
    <row r="98" spans="1:29" s="17" customFormat="1" ht="38.25" hidden="1" customHeight="1">
      <c r="A98" s="43">
        <v>90</v>
      </c>
      <c r="B98" s="118"/>
      <c r="C98" s="111" t="s">
        <v>40</v>
      </c>
      <c r="D98" s="112"/>
      <c r="E98" s="112"/>
      <c r="F98" s="112"/>
      <c r="G98" s="115"/>
      <c r="H98" s="115"/>
      <c r="I98" s="115"/>
      <c r="J98" s="115"/>
      <c r="K98" s="115"/>
      <c r="L98" s="114">
        <f t="shared" si="14"/>
        <v>0</v>
      </c>
      <c r="M98" s="112"/>
      <c r="N98" s="112"/>
      <c r="O98" s="112"/>
      <c r="P98" s="112"/>
      <c r="Q98" s="112"/>
      <c r="R98" s="112"/>
      <c r="S98" s="115"/>
      <c r="T98" s="115"/>
      <c r="U98" s="114">
        <f t="shared" si="19"/>
        <v>0</v>
      </c>
      <c r="V98" s="112"/>
      <c r="W98" s="77">
        <f t="shared" si="16"/>
        <v>0</v>
      </c>
      <c r="X98" s="103">
        <f t="shared" si="17"/>
        <v>0</v>
      </c>
      <c r="Y98" s="72">
        <v>0</v>
      </c>
      <c r="Z98" s="72"/>
      <c r="AA98" s="72"/>
      <c r="AB98" s="72"/>
      <c r="AC98" s="72">
        <f t="shared" si="18"/>
        <v>0</v>
      </c>
    </row>
    <row r="99" spans="1:29" s="17" customFormat="1" ht="38.25" hidden="1" customHeight="1">
      <c r="A99" s="43">
        <v>91</v>
      </c>
      <c r="B99" s="118"/>
      <c r="C99" s="111" t="s">
        <v>40</v>
      </c>
      <c r="D99" s="112"/>
      <c r="E99" s="112"/>
      <c r="F99" s="112"/>
      <c r="G99" s="115"/>
      <c r="H99" s="115"/>
      <c r="I99" s="115"/>
      <c r="J99" s="115"/>
      <c r="K99" s="115"/>
      <c r="L99" s="114">
        <f t="shared" si="14"/>
        <v>0</v>
      </c>
      <c r="M99" s="112"/>
      <c r="N99" s="112"/>
      <c r="O99" s="112"/>
      <c r="P99" s="112"/>
      <c r="Q99" s="112"/>
      <c r="R99" s="112"/>
      <c r="S99" s="115"/>
      <c r="T99" s="115"/>
      <c r="U99" s="114">
        <f t="shared" si="19"/>
        <v>0</v>
      </c>
      <c r="V99" s="112"/>
      <c r="W99" s="77">
        <f t="shared" si="16"/>
        <v>0</v>
      </c>
      <c r="X99" s="103">
        <f t="shared" si="17"/>
        <v>0</v>
      </c>
      <c r="Y99" s="72">
        <v>0</v>
      </c>
      <c r="Z99" s="72"/>
      <c r="AA99" s="72"/>
      <c r="AB99" s="72"/>
      <c r="AC99" s="72">
        <f t="shared" si="18"/>
        <v>0</v>
      </c>
    </row>
    <row r="100" spans="1:29" s="17" customFormat="1" ht="38.25" hidden="1" customHeight="1">
      <c r="A100" s="43">
        <v>92</v>
      </c>
      <c r="B100" s="118"/>
      <c r="C100" s="111" t="s">
        <v>40</v>
      </c>
      <c r="D100" s="112"/>
      <c r="E100" s="112"/>
      <c r="F100" s="112"/>
      <c r="G100" s="115"/>
      <c r="H100" s="115"/>
      <c r="I100" s="115"/>
      <c r="J100" s="115"/>
      <c r="K100" s="115"/>
      <c r="L100" s="114">
        <f t="shared" si="14"/>
        <v>0</v>
      </c>
      <c r="M100" s="112"/>
      <c r="N100" s="112"/>
      <c r="O100" s="112"/>
      <c r="P100" s="112"/>
      <c r="Q100" s="112"/>
      <c r="R100" s="112"/>
      <c r="S100" s="115"/>
      <c r="T100" s="115"/>
      <c r="U100" s="114">
        <f t="shared" si="19"/>
        <v>0</v>
      </c>
      <c r="V100" s="112"/>
      <c r="W100" s="77">
        <f t="shared" si="16"/>
        <v>0</v>
      </c>
      <c r="X100" s="103">
        <f t="shared" si="17"/>
        <v>0</v>
      </c>
      <c r="Y100" s="72">
        <v>0</v>
      </c>
      <c r="Z100" s="72"/>
      <c r="AA100" s="72"/>
      <c r="AB100" s="72"/>
      <c r="AC100" s="72">
        <f t="shared" si="18"/>
        <v>0</v>
      </c>
    </row>
    <row r="101" spans="1:29" s="17" customFormat="1" ht="38.25" hidden="1" customHeight="1">
      <c r="A101" s="43">
        <v>93</v>
      </c>
      <c r="B101" s="118"/>
      <c r="C101" s="111" t="s">
        <v>40</v>
      </c>
      <c r="D101" s="112"/>
      <c r="E101" s="112"/>
      <c r="F101" s="112"/>
      <c r="G101" s="115"/>
      <c r="H101" s="115"/>
      <c r="I101" s="115"/>
      <c r="J101" s="115"/>
      <c r="K101" s="115"/>
      <c r="L101" s="114">
        <f t="shared" si="14"/>
        <v>0</v>
      </c>
      <c r="M101" s="112"/>
      <c r="N101" s="112"/>
      <c r="O101" s="112"/>
      <c r="P101" s="112"/>
      <c r="Q101" s="112"/>
      <c r="R101" s="112"/>
      <c r="S101" s="115"/>
      <c r="T101" s="115"/>
      <c r="U101" s="114">
        <f t="shared" si="19"/>
        <v>0</v>
      </c>
      <c r="V101" s="112"/>
      <c r="W101" s="77">
        <f t="shared" si="16"/>
        <v>0</v>
      </c>
      <c r="X101" s="103">
        <f t="shared" si="17"/>
        <v>0</v>
      </c>
      <c r="Y101" s="72">
        <v>0</v>
      </c>
      <c r="Z101" s="72"/>
      <c r="AA101" s="72"/>
      <c r="AB101" s="72"/>
      <c r="AC101" s="72">
        <f t="shared" si="18"/>
        <v>0</v>
      </c>
    </row>
    <row r="102" spans="1:29" s="17" customFormat="1" ht="38.25" hidden="1" customHeight="1">
      <c r="A102" s="43">
        <v>94</v>
      </c>
      <c r="B102" s="118"/>
      <c r="C102" s="111" t="s">
        <v>40</v>
      </c>
      <c r="D102" s="112"/>
      <c r="E102" s="112"/>
      <c r="F102" s="112"/>
      <c r="G102" s="115"/>
      <c r="H102" s="115"/>
      <c r="I102" s="115"/>
      <c r="J102" s="115"/>
      <c r="K102" s="115"/>
      <c r="L102" s="114">
        <f t="shared" si="14"/>
        <v>0</v>
      </c>
      <c r="M102" s="112"/>
      <c r="N102" s="112"/>
      <c r="O102" s="112"/>
      <c r="P102" s="112"/>
      <c r="Q102" s="112"/>
      <c r="R102" s="112"/>
      <c r="S102" s="115"/>
      <c r="T102" s="115"/>
      <c r="U102" s="114">
        <f t="shared" si="19"/>
        <v>0</v>
      </c>
      <c r="V102" s="112"/>
      <c r="W102" s="77">
        <f t="shared" si="16"/>
        <v>0</v>
      </c>
      <c r="X102" s="103">
        <f t="shared" si="17"/>
        <v>0</v>
      </c>
      <c r="Y102" s="72">
        <v>0</v>
      </c>
      <c r="Z102" s="72"/>
      <c r="AA102" s="72"/>
      <c r="AB102" s="72"/>
      <c r="AC102" s="72">
        <f t="shared" si="18"/>
        <v>0</v>
      </c>
    </row>
    <row r="103" spans="1:29" s="17" customFormat="1" ht="38.25" hidden="1" customHeight="1">
      <c r="A103" s="43">
        <v>95</v>
      </c>
      <c r="B103" s="110"/>
      <c r="C103" s="111" t="s">
        <v>40</v>
      </c>
      <c r="D103" s="112"/>
      <c r="E103" s="112"/>
      <c r="F103" s="112"/>
      <c r="G103" s="115"/>
      <c r="H103" s="115"/>
      <c r="I103" s="115"/>
      <c r="J103" s="115"/>
      <c r="K103" s="115"/>
      <c r="L103" s="114">
        <f t="shared" si="14"/>
        <v>0</v>
      </c>
      <c r="M103" s="112"/>
      <c r="N103" s="112"/>
      <c r="O103" s="112"/>
      <c r="P103" s="112"/>
      <c r="Q103" s="112"/>
      <c r="R103" s="112"/>
      <c r="S103" s="115"/>
      <c r="T103" s="115"/>
      <c r="U103" s="114">
        <f t="shared" si="19"/>
        <v>0</v>
      </c>
      <c r="V103" s="112"/>
      <c r="W103" s="77">
        <f t="shared" si="16"/>
        <v>0</v>
      </c>
      <c r="X103" s="103">
        <f t="shared" si="17"/>
        <v>0</v>
      </c>
      <c r="Y103" s="72">
        <v>0</v>
      </c>
      <c r="Z103" s="72"/>
      <c r="AA103" s="72"/>
      <c r="AB103" s="72"/>
      <c r="AC103" s="72">
        <f t="shared" si="18"/>
        <v>0</v>
      </c>
    </row>
    <row r="104" spans="1:29" s="17" customFormat="1" ht="38.25" hidden="1" customHeight="1">
      <c r="A104" s="43">
        <v>96</v>
      </c>
      <c r="B104" s="118"/>
      <c r="C104" s="111" t="s">
        <v>40</v>
      </c>
      <c r="D104" s="112"/>
      <c r="E104" s="112"/>
      <c r="F104" s="112"/>
      <c r="G104" s="115"/>
      <c r="H104" s="115"/>
      <c r="I104" s="115"/>
      <c r="J104" s="115"/>
      <c r="K104" s="115"/>
      <c r="L104" s="114">
        <f t="shared" si="14"/>
        <v>0</v>
      </c>
      <c r="M104" s="112"/>
      <c r="N104" s="112"/>
      <c r="O104" s="112"/>
      <c r="P104" s="112"/>
      <c r="Q104" s="112"/>
      <c r="R104" s="112"/>
      <c r="S104" s="115"/>
      <c r="T104" s="115"/>
      <c r="U104" s="114">
        <f t="shared" si="19"/>
        <v>0</v>
      </c>
      <c r="V104" s="112"/>
      <c r="W104" s="77">
        <f t="shared" si="16"/>
        <v>0</v>
      </c>
      <c r="X104" s="103">
        <f t="shared" si="17"/>
        <v>0</v>
      </c>
      <c r="Y104" s="72">
        <v>0</v>
      </c>
      <c r="Z104" s="72"/>
      <c r="AA104" s="72"/>
      <c r="AB104" s="72"/>
      <c r="AC104" s="72">
        <f t="shared" si="18"/>
        <v>0</v>
      </c>
    </row>
    <row r="105" spans="1:29" s="17" customFormat="1" ht="38.25" hidden="1" customHeight="1">
      <c r="A105" s="43">
        <v>97</v>
      </c>
      <c r="B105" s="118"/>
      <c r="C105" s="111" t="s">
        <v>40</v>
      </c>
      <c r="D105" s="112"/>
      <c r="E105" s="112"/>
      <c r="F105" s="112"/>
      <c r="G105" s="115"/>
      <c r="H105" s="115"/>
      <c r="I105" s="115"/>
      <c r="J105" s="115"/>
      <c r="K105" s="115"/>
      <c r="L105" s="114">
        <f t="shared" ref="L105:L108" si="20">SUM(G105:K105)</f>
        <v>0</v>
      </c>
      <c r="M105" s="112"/>
      <c r="N105" s="112"/>
      <c r="O105" s="112"/>
      <c r="P105" s="112"/>
      <c r="Q105" s="112"/>
      <c r="R105" s="112"/>
      <c r="S105" s="115"/>
      <c r="T105" s="115"/>
      <c r="U105" s="114">
        <f t="shared" si="19"/>
        <v>0</v>
      </c>
      <c r="V105" s="112"/>
      <c r="W105" s="77">
        <f t="shared" ref="W105:W109" si="21">($D$7/$D$6*D105)+($E$7/$E$6*E105)+($F$7/$F$6*F105)+($M$7/$M$6*M105)+($N$7/$N$6*N105)+($O$7/$O$6*O105)+($P$7/$P$6*P105)+($Q$7/$Q$6*Q105)+($R$7/$R$6*R105)+($V$7/$V$6*V105)</f>
        <v>0</v>
      </c>
      <c r="X105" s="103">
        <f t="shared" ref="X105:X108" si="22">ROUND(W105,0)</f>
        <v>0</v>
      </c>
      <c r="Y105" s="72">
        <v>0</v>
      </c>
      <c r="Z105" s="72"/>
      <c r="AA105" s="72"/>
      <c r="AB105" s="72"/>
      <c r="AC105" s="72">
        <f t="shared" ref="AC105:AC109" si="23">SUM(Y105:AB105)</f>
        <v>0</v>
      </c>
    </row>
    <row r="106" spans="1:29" s="17" customFormat="1" ht="38.25" hidden="1" customHeight="1">
      <c r="A106" s="43">
        <v>98</v>
      </c>
      <c r="B106" s="118"/>
      <c r="C106" s="111" t="s">
        <v>40</v>
      </c>
      <c r="D106" s="112"/>
      <c r="E106" s="112"/>
      <c r="F106" s="112"/>
      <c r="G106" s="115"/>
      <c r="H106" s="115"/>
      <c r="I106" s="115"/>
      <c r="J106" s="115"/>
      <c r="K106" s="115"/>
      <c r="L106" s="114">
        <f t="shared" si="20"/>
        <v>0</v>
      </c>
      <c r="M106" s="112"/>
      <c r="N106" s="112"/>
      <c r="O106" s="112"/>
      <c r="P106" s="112"/>
      <c r="Q106" s="112"/>
      <c r="R106" s="112"/>
      <c r="S106" s="115"/>
      <c r="T106" s="115"/>
      <c r="U106" s="114">
        <f t="shared" si="19"/>
        <v>0</v>
      </c>
      <c r="V106" s="112"/>
      <c r="W106" s="77">
        <f t="shared" si="21"/>
        <v>0</v>
      </c>
      <c r="X106" s="103">
        <f t="shared" si="22"/>
        <v>0</v>
      </c>
      <c r="Y106" s="72">
        <v>0</v>
      </c>
      <c r="Z106" s="72"/>
      <c r="AA106" s="72"/>
      <c r="AB106" s="72"/>
      <c r="AC106" s="72">
        <f t="shared" si="23"/>
        <v>0</v>
      </c>
    </row>
    <row r="107" spans="1:29" s="17" customFormat="1" ht="38.25" hidden="1" customHeight="1">
      <c r="A107" s="43">
        <v>99</v>
      </c>
      <c r="B107" s="121"/>
      <c r="C107" s="111" t="s">
        <v>40</v>
      </c>
      <c r="D107" s="112"/>
      <c r="E107" s="112"/>
      <c r="F107" s="112"/>
      <c r="G107" s="115"/>
      <c r="H107" s="115"/>
      <c r="I107" s="115"/>
      <c r="J107" s="115"/>
      <c r="K107" s="115"/>
      <c r="L107" s="114">
        <f t="shared" si="20"/>
        <v>0</v>
      </c>
      <c r="M107" s="112"/>
      <c r="N107" s="112"/>
      <c r="O107" s="112"/>
      <c r="P107" s="112"/>
      <c r="Q107" s="112"/>
      <c r="R107" s="112"/>
      <c r="S107" s="115"/>
      <c r="T107" s="115"/>
      <c r="U107" s="114">
        <f t="shared" si="19"/>
        <v>0</v>
      </c>
      <c r="V107" s="112"/>
      <c r="W107" s="77">
        <f t="shared" si="21"/>
        <v>0</v>
      </c>
      <c r="X107" s="103">
        <f t="shared" si="22"/>
        <v>0</v>
      </c>
      <c r="Y107" s="72">
        <v>0</v>
      </c>
      <c r="Z107" s="72"/>
      <c r="AA107" s="72"/>
      <c r="AB107" s="72"/>
      <c r="AC107" s="72">
        <f t="shared" si="23"/>
        <v>0</v>
      </c>
    </row>
    <row r="108" spans="1:29" s="17" customFormat="1" ht="38.25" hidden="1" customHeight="1">
      <c r="A108" s="43">
        <v>100</v>
      </c>
      <c r="B108" s="118"/>
      <c r="C108" s="111" t="s">
        <v>40</v>
      </c>
      <c r="D108" s="112"/>
      <c r="E108" s="112"/>
      <c r="F108" s="112"/>
      <c r="G108" s="115"/>
      <c r="H108" s="115"/>
      <c r="I108" s="115"/>
      <c r="J108" s="115"/>
      <c r="K108" s="115"/>
      <c r="L108" s="114">
        <f t="shared" si="20"/>
        <v>0</v>
      </c>
      <c r="M108" s="112"/>
      <c r="N108" s="112"/>
      <c r="O108" s="112"/>
      <c r="P108" s="112"/>
      <c r="Q108" s="112"/>
      <c r="R108" s="112"/>
      <c r="S108" s="115"/>
      <c r="T108" s="115"/>
      <c r="U108" s="114">
        <f t="shared" si="19"/>
        <v>0</v>
      </c>
      <c r="V108" s="112"/>
      <c r="W108" s="77">
        <f t="shared" si="21"/>
        <v>0</v>
      </c>
      <c r="X108" s="103">
        <f t="shared" si="22"/>
        <v>0</v>
      </c>
      <c r="Y108" s="72">
        <v>0</v>
      </c>
      <c r="Z108" s="72"/>
      <c r="AA108" s="72"/>
      <c r="AB108" s="72"/>
      <c r="AC108" s="72">
        <f t="shared" si="23"/>
        <v>0</v>
      </c>
    </row>
    <row r="109" spans="1:29" s="17" customFormat="1" ht="38.25" hidden="1" customHeight="1">
      <c r="A109" s="43">
        <v>101</v>
      </c>
      <c r="B109" s="118"/>
      <c r="C109" s="111" t="s">
        <v>40</v>
      </c>
      <c r="D109" s="112"/>
      <c r="E109" s="112"/>
      <c r="F109" s="112"/>
      <c r="G109" s="115"/>
      <c r="H109" s="115"/>
      <c r="I109" s="115"/>
      <c r="J109" s="115"/>
      <c r="K109" s="115"/>
      <c r="L109" s="114">
        <f t="shared" ref="L109" si="24">SUM(G109:K109)</f>
        <v>0</v>
      </c>
      <c r="M109" s="112"/>
      <c r="N109" s="112"/>
      <c r="O109" s="112"/>
      <c r="P109" s="112"/>
      <c r="Q109" s="112"/>
      <c r="R109" s="112"/>
      <c r="S109" s="115"/>
      <c r="T109" s="115"/>
      <c r="U109" s="114">
        <f t="shared" ref="U109" si="25">SUM(S109:T109)</f>
        <v>0</v>
      </c>
      <c r="V109" s="112"/>
      <c r="W109" s="77">
        <f t="shared" si="21"/>
        <v>0</v>
      </c>
      <c r="X109" s="103">
        <f t="shared" ref="X109" si="26">ROUND(W109,0)</f>
        <v>0</v>
      </c>
      <c r="Y109" s="72">
        <v>0</v>
      </c>
      <c r="Z109" s="72"/>
      <c r="AA109" s="72"/>
      <c r="AB109" s="72"/>
      <c r="AC109" s="72">
        <f t="shared" si="23"/>
        <v>0</v>
      </c>
    </row>
    <row r="110" spans="1:29">
      <c r="A110" s="40"/>
      <c r="B110" s="15"/>
      <c r="C110" s="40"/>
      <c r="D110" s="71"/>
      <c r="E110" s="71"/>
      <c r="F110" s="71"/>
      <c r="G110" s="71"/>
      <c r="H110" s="71"/>
      <c r="I110" s="71"/>
      <c r="J110" s="71"/>
      <c r="K110" s="71"/>
      <c r="L110" s="71"/>
      <c r="M110" s="71"/>
      <c r="N110" s="71"/>
      <c r="O110" s="71"/>
      <c r="P110" s="71"/>
      <c r="Q110" s="71"/>
      <c r="R110" s="71"/>
      <c r="S110" s="71"/>
      <c r="T110" s="71"/>
      <c r="U110" s="71"/>
      <c r="V110" s="71"/>
      <c r="W110" s="40"/>
      <c r="X110" s="40"/>
      <c r="Y110" s="40"/>
      <c r="Z110" s="40"/>
      <c r="AA110" s="40"/>
      <c r="AB110" s="40"/>
      <c r="AC110" s="40"/>
    </row>
    <row r="111" spans="1:29">
      <c r="A111" s="40"/>
      <c r="B111" s="15"/>
      <c r="C111" s="40"/>
      <c r="D111" s="71"/>
      <c r="E111" s="71"/>
      <c r="F111" s="71"/>
      <c r="G111" s="71"/>
      <c r="H111" s="71"/>
      <c r="I111" s="71"/>
      <c r="J111" s="71"/>
      <c r="K111" s="71"/>
      <c r="L111" s="71"/>
      <c r="M111" s="71"/>
      <c r="N111" s="71"/>
      <c r="O111" s="71"/>
      <c r="P111" s="71"/>
      <c r="Q111" s="71"/>
      <c r="R111" s="71"/>
      <c r="S111" s="71"/>
      <c r="T111" s="71"/>
      <c r="U111" s="71"/>
      <c r="V111" s="71"/>
      <c r="W111" s="40"/>
      <c r="X111" s="40"/>
      <c r="Y111" s="40"/>
      <c r="Z111" s="40"/>
      <c r="AA111" s="40"/>
      <c r="AB111" s="40"/>
      <c r="AC111" s="40"/>
    </row>
    <row r="112" spans="1:29">
      <c r="D112" s="71"/>
      <c r="E112" s="71"/>
      <c r="F112" s="71"/>
      <c r="G112" s="71"/>
      <c r="H112" s="71"/>
      <c r="I112" s="71"/>
      <c r="J112" s="71"/>
      <c r="K112" s="71"/>
      <c r="L112" s="71"/>
      <c r="M112" s="71"/>
      <c r="N112" s="71"/>
      <c r="O112" s="71"/>
      <c r="P112" s="71"/>
      <c r="Q112" s="71"/>
      <c r="R112" s="71"/>
      <c r="S112" s="71"/>
      <c r="T112" s="71"/>
      <c r="U112" s="71"/>
      <c r="V112" s="71"/>
    </row>
    <row r="113" spans="4:22">
      <c r="D113" s="71"/>
      <c r="E113" s="71"/>
      <c r="F113" s="71"/>
      <c r="G113" s="71"/>
      <c r="H113" s="71"/>
      <c r="I113" s="71"/>
      <c r="J113" s="71"/>
      <c r="K113" s="71"/>
      <c r="L113" s="71"/>
      <c r="M113" s="71"/>
      <c r="N113" s="71"/>
      <c r="O113" s="71"/>
      <c r="P113" s="71"/>
      <c r="Q113" s="71"/>
      <c r="R113" s="71"/>
      <c r="S113" s="71"/>
      <c r="T113" s="71"/>
      <c r="U113" s="71"/>
      <c r="V113" s="71"/>
    </row>
    <row r="114" spans="4:22">
      <c r="D114" s="71"/>
      <c r="E114" s="71"/>
      <c r="F114" s="71"/>
      <c r="G114" s="71"/>
      <c r="H114" s="71"/>
      <c r="I114" s="71"/>
      <c r="J114" s="71"/>
      <c r="K114" s="71"/>
      <c r="L114" s="71"/>
      <c r="M114" s="71"/>
      <c r="N114" s="71"/>
      <c r="O114" s="71"/>
      <c r="P114" s="71"/>
      <c r="Q114" s="71"/>
      <c r="R114" s="71"/>
      <c r="S114" s="71"/>
      <c r="T114" s="71"/>
      <c r="U114" s="71"/>
      <c r="V114" s="71"/>
    </row>
    <row r="115" spans="4:22">
      <c r="D115" s="71"/>
      <c r="E115" s="71"/>
      <c r="F115" s="71"/>
      <c r="G115" s="71"/>
      <c r="H115" s="71"/>
      <c r="I115" s="71"/>
      <c r="J115" s="71"/>
      <c r="K115" s="71"/>
      <c r="L115" s="71"/>
      <c r="M115" s="71"/>
      <c r="N115" s="71"/>
      <c r="O115" s="71"/>
      <c r="P115" s="71"/>
      <c r="Q115" s="71"/>
      <c r="R115" s="71"/>
      <c r="S115" s="71"/>
      <c r="T115" s="71"/>
      <c r="U115" s="71"/>
      <c r="V115" s="71"/>
    </row>
    <row r="116" spans="4:22">
      <c r="D116" s="71"/>
      <c r="E116" s="71"/>
      <c r="F116" s="71"/>
      <c r="G116" s="71"/>
      <c r="H116" s="71"/>
      <c r="I116" s="71"/>
      <c r="J116" s="71"/>
      <c r="K116" s="71"/>
      <c r="L116" s="71"/>
      <c r="M116" s="71"/>
      <c r="N116" s="71"/>
      <c r="O116" s="71"/>
      <c r="P116" s="71"/>
      <c r="Q116" s="71"/>
      <c r="R116" s="71"/>
      <c r="S116" s="71"/>
      <c r="T116" s="71"/>
      <c r="U116" s="71"/>
      <c r="V116" s="71"/>
    </row>
    <row r="117" spans="4:22">
      <c r="D117" s="71"/>
      <c r="E117" s="71"/>
      <c r="F117" s="71"/>
      <c r="G117" s="71"/>
      <c r="H117" s="71"/>
      <c r="I117" s="71"/>
      <c r="J117" s="71"/>
      <c r="K117" s="71"/>
      <c r="L117" s="71"/>
      <c r="M117" s="71"/>
      <c r="N117" s="71"/>
      <c r="O117" s="71"/>
      <c r="P117" s="71"/>
      <c r="Q117" s="71"/>
      <c r="R117" s="71"/>
      <c r="S117" s="71"/>
      <c r="T117" s="71"/>
      <c r="U117" s="71"/>
      <c r="V117" s="71"/>
    </row>
    <row r="118" spans="4:22">
      <c r="D118" s="71"/>
      <c r="E118" s="71"/>
      <c r="F118" s="71"/>
      <c r="G118" s="71"/>
      <c r="H118" s="71"/>
      <c r="I118" s="71"/>
      <c r="J118" s="71"/>
      <c r="K118" s="71"/>
      <c r="L118" s="71"/>
      <c r="M118" s="71"/>
      <c r="N118" s="71"/>
      <c r="O118" s="71"/>
      <c r="P118" s="71"/>
      <c r="Q118" s="71"/>
      <c r="R118" s="71"/>
      <c r="S118" s="71"/>
      <c r="T118" s="71"/>
      <c r="U118" s="71"/>
      <c r="V118" s="71"/>
    </row>
    <row r="119" spans="4:22">
      <c r="D119" s="71"/>
      <c r="E119" s="71"/>
      <c r="F119" s="71"/>
      <c r="G119" s="71"/>
      <c r="H119" s="71"/>
      <c r="I119" s="71"/>
      <c r="J119" s="71"/>
      <c r="K119" s="71"/>
      <c r="L119" s="71"/>
      <c r="M119" s="71"/>
      <c r="N119" s="71"/>
      <c r="O119" s="71"/>
      <c r="P119" s="71"/>
      <c r="Q119" s="71"/>
      <c r="R119" s="71"/>
      <c r="S119" s="71"/>
      <c r="T119" s="71"/>
      <c r="U119" s="71"/>
      <c r="V119" s="71"/>
    </row>
    <row r="120" spans="4:22">
      <c r="D120" s="71"/>
      <c r="E120" s="71"/>
      <c r="F120" s="71"/>
      <c r="G120" s="71"/>
      <c r="H120" s="71"/>
      <c r="I120" s="71"/>
      <c r="J120" s="71"/>
      <c r="K120" s="71"/>
      <c r="L120" s="71"/>
      <c r="M120" s="71"/>
      <c r="N120" s="71"/>
      <c r="O120" s="71"/>
      <c r="P120" s="71"/>
      <c r="Q120" s="71"/>
      <c r="R120" s="71"/>
      <c r="S120" s="71"/>
      <c r="T120" s="71"/>
      <c r="U120" s="71"/>
      <c r="V120" s="71"/>
    </row>
    <row r="121" spans="4:22">
      <c r="D121" s="71"/>
      <c r="E121" s="71"/>
      <c r="F121" s="71"/>
      <c r="G121" s="71"/>
      <c r="H121" s="71"/>
      <c r="I121" s="71"/>
      <c r="J121" s="71"/>
      <c r="K121" s="71"/>
      <c r="L121" s="71"/>
      <c r="M121" s="71"/>
      <c r="N121" s="71"/>
      <c r="O121" s="71"/>
      <c r="P121" s="71"/>
      <c r="Q121" s="71"/>
      <c r="R121" s="71"/>
      <c r="S121" s="71"/>
      <c r="T121" s="71"/>
      <c r="U121" s="71"/>
      <c r="V121" s="71"/>
    </row>
    <row r="122" spans="4:22">
      <c r="D122" s="71"/>
      <c r="E122" s="71"/>
      <c r="F122" s="71"/>
      <c r="G122" s="71"/>
      <c r="H122" s="71"/>
      <c r="I122" s="71"/>
      <c r="J122" s="71"/>
      <c r="K122" s="71"/>
      <c r="L122" s="71"/>
      <c r="M122" s="71"/>
      <c r="N122" s="71"/>
      <c r="O122" s="71"/>
      <c r="P122" s="71"/>
      <c r="Q122" s="71"/>
      <c r="R122" s="71"/>
      <c r="S122" s="71"/>
      <c r="T122" s="71"/>
      <c r="U122" s="71"/>
      <c r="V122" s="71"/>
    </row>
    <row r="123" spans="4:22">
      <c r="D123" s="71"/>
      <c r="E123" s="71"/>
      <c r="F123" s="71"/>
      <c r="G123" s="71"/>
      <c r="H123" s="71"/>
      <c r="I123" s="71"/>
      <c r="J123" s="71"/>
      <c r="K123" s="71"/>
      <c r="L123" s="71"/>
      <c r="M123" s="71"/>
      <c r="N123" s="71"/>
      <c r="O123" s="71"/>
      <c r="P123" s="71"/>
      <c r="Q123" s="71"/>
      <c r="R123" s="71"/>
      <c r="S123" s="71"/>
      <c r="T123" s="71"/>
      <c r="U123" s="71"/>
      <c r="V123" s="71"/>
    </row>
    <row r="124" spans="4:22">
      <c r="D124" s="71"/>
      <c r="E124" s="71"/>
      <c r="F124" s="71"/>
      <c r="G124" s="71"/>
      <c r="H124" s="71"/>
      <c r="I124" s="71"/>
      <c r="J124" s="71"/>
      <c r="K124" s="71"/>
      <c r="L124" s="71"/>
      <c r="M124" s="71"/>
      <c r="N124" s="71"/>
      <c r="O124" s="71"/>
      <c r="P124" s="71"/>
      <c r="Q124" s="71"/>
      <c r="R124" s="71"/>
      <c r="S124" s="71"/>
      <c r="T124" s="71"/>
      <c r="U124" s="71"/>
      <c r="V124" s="71"/>
    </row>
    <row r="125" spans="4:22">
      <c r="D125" s="71"/>
      <c r="E125" s="71"/>
      <c r="F125" s="71"/>
      <c r="G125" s="71"/>
      <c r="H125" s="71"/>
      <c r="I125" s="71"/>
      <c r="J125" s="71"/>
      <c r="K125" s="71"/>
      <c r="L125" s="71"/>
      <c r="M125" s="71"/>
      <c r="N125" s="71"/>
      <c r="O125" s="71"/>
      <c r="P125" s="71"/>
      <c r="Q125" s="71"/>
      <c r="R125" s="71"/>
      <c r="S125" s="71"/>
      <c r="T125" s="71"/>
      <c r="U125" s="71"/>
      <c r="V125" s="71"/>
    </row>
    <row r="126" spans="4:22">
      <c r="D126" s="71"/>
      <c r="E126" s="71"/>
      <c r="F126" s="71"/>
      <c r="G126" s="71"/>
      <c r="H126" s="71"/>
      <c r="I126" s="71"/>
      <c r="J126" s="71"/>
      <c r="K126" s="71"/>
      <c r="L126" s="71"/>
      <c r="M126" s="71"/>
      <c r="N126" s="71"/>
      <c r="O126" s="71"/>
      <c r="P126" s="71"/>
      <c r="Q126" s="71"/>
      <c r="R126" s="71"/>
      <c r="S126" s="71"/>
      <c r="T126" s="71"/>
      <c r="U126" s="71"/>
      <c r="V126" s="71"/>
    </row>
    <row r="127" spans="4:22">
      <c r="D127" s="71"/>
      <c r="E127" s="71"/>
      <c r="F127" s="71"/>
      <c r="G127" s="71"/>
      <c r="H127" s="71"/>
      <c r="I127" s="71"/>
      <c r="J127" s="71"/>
      <c r="K127" s="71"/>
      <c r="L127" s="71"/>
      <c r="M127" s="71"/>
      <c r="N127" s="71"/>
      <c r="O127" s="71"/>
      <c r="P127" s="71"/>
      <c r="Q127" s="71"/>
      <c r="R127" s="71"/>
      <c r="S127" s="71"/>
      <c r="T127" s="71"/>
      <c r="U127" s="71"/>
      <c r="V127" s="71"/>
    </row>
    <row r="128" spans="4:22">
      <c r="D128" s="71"/>
      <c r="E128" s="71"/>
      <c r="F128" s="71"/>
      <c r="G128" s="71"/>
      <c r="H128" s="71"/>
      <c r="I128" s="71"/>
      <c r="J128" s="71"/>
      <c r="K128" s="71"/>
      <c r="L128" s="71"/>
      <c r="M128" s="71"/>
      <c r="N128" s="71"/>
      <c r="O128" s="71"/>
      <c r="P128" s="71"/>
      <c r="Q128" s="71"/>
      <c r="R128" s="71"/>
      <c r="S128" s="71"/>
      <c r="T128" s="71"/>
      <c r="U128" s="71"/>
      <c r="V128" s="71"/>
    </row>
    <row r="129" spans="4:22">
      <c r="D129" s="71"/>
      <c r="E129" s="71"/>
      <c r="F129" s="71"/>
      <c r="G129" s="71"/>
      <c r="H129" s="71"/>
      <c r="I129" s="71"/>
      <c r="J129" s="71"/>
      <c r="K129" s="71"/>
      <c r="L129" s="71"/>
      <c r="M129" s="71"/>
      <c r="N129" s="71"/>
      <c r="O129" s="71"/>
      <c r="P129" s="71"/>
      <c r="Q129" s="71"/>
      <c r="R129" s="71"/>
      <c r="S129" s="71"/>
      <c r="T129" s="71"/>
      <c r="U129" s="71"/>
      <c r="V129" s="71"/>
    </row>
    <row r="130" spans="4:22">
      <c r="D130" s="71"/>
      <c r="E130" s="71"/>
      <c r="F130" s="71"/>
      <c r="G130" s="71"/>
      <c r="H130" s="71"/>
      <c r="I130" s="71"/>
      <c r="J130" s="71"/>
      <c r="K130" s="71"/>
      <c r="L130" s="71"/>
      <c r="M130" s="71"/>
      <c r="N130" s="71"/>
      <c r="O130" s="71"/>
      <c r="P130" s="71"/>
      <c r="Q130" s="71"/>
      <c r="R130" s="71"/>
      <c r="S130" s="71"/>
      <c r="T130" s="71"/>
      <c r="U130" s="71"/>
      <c r="V130" s="71"/>
    </row>
    <row r="131" spans="4:22">
      <c r="D131" s="71"/>
      <c r="E131" s="71"/>
      <c r="F131" s="71"/>
      <c r="G131" s="71"/>
      <c r="H131" s="71"/>
      <c r="I131" s="71"/>
      <c r="J131" s="71"/>
      <c r="K131" s="71"/>
      <c r="L131" s="71"/>
      <c r="M131" s="71"/>
      <c r="N131" s="71"/>
      <c r="O131" s="71"/>
      <c r="P131" s="71"/>
      <c r="Q131" s="71"/>
      <c r="R131" s="71"/>
      <c r="S131" s="71"/>
      <c r="T131" s="71"/>
      <c r="U131" s="71"/>
      <c r="V131" s="71"/>
    </row>
    <row r="132" spans="4:22">
      <c r="D132" s="71"/>
      <c r="E132" s="71"/>
      <c r="F132" s="71"/>
      <c r="G132" s="71"/>
      <c r="H132" s="71"/>
      <c r="I132" s="71"/>
      <c r="J132" s="71"/>
      <c r="K132" s="71"/>
      <c r="L132" s="71"/>
      <c r="M132" s="71"/>
      <c r="N132" s="71"/>
      <c r="O132" s="71"/>
      <c r="P132" s="71"/>
      <c r="Q132" s="71"/>
      <c r="R132" s="71"/>
      <c r="S132" s="71"/>
      <c r="T132" s="71"/>
      <c r="U132" s="71"/>
      <c r="V132" s="71"/>
    </row>
    <row r="133" spans="4:22">
      <c r="D133" s="71"/>
      <c r="E133" s="71"/>
      <c r="F133" s="71"/>
      <c r="G133" s="71"/>
      <c r="H133" s="71"/>
      <c r="I133" s="71"/>
      <c r="J133" s="71"/>
      <c r="K133" s="71"/>
      <c r="L133" s="71"/>
      <c r="M133" s="71"/>
      <c r="N133" s="71"/>
      <c r="O133" s="71"/>
      <c r="P133" s="71"/>
      <c r="Q133" s="71"/>
      <c r="R133" s="71"/>
      <c r="S133" s="71"/>
      <c r="T133" s="71"/>
      <c r="U133" s="71"/>
      <c r="V133" s="71"/>
    </row>
    <row r="134" spans="4:22">
      <c r="D134" s="71"/>
      <c r="E134" s="71"/>
      <c r="F134" s="71"/>
      <c r="G134" s="71"/>
      <c r="H134" s="71"/>
      <c r="I134" s="71"/>
      <c r="J134" s="71"/>
      <c r="K134" s="71"/>
      <c r="L134" s="71"/>
      <c r="M134" s="71"/>
      <c r="N134" s="71"/>
      <c r="O134" s="71"/>
      <c r="P134" s="71"/>
      <c r="Q134" s="71"/>
      <c r="R134" s="71"/>
      <c r="S134" s="71"/>
      <c r="T134" s="71"/>
      <c r="U134" s="71"/>
      <c r="V134" s="71"/>
    </row>
    <row r="135" spans="4:22">
      <c r="D135" s="71"/>
      <c r="E135" s="71"/>
      <c r="F135" s="71"/>
      <c r="G135" s="71"/>
      <c r="H135" s="71"/>
      <c r="I135" s="71"/>
      <c r="J135" s="71"/>
      <c r="K135" s="71"/>
      <c r="L135" s="71"/>
      <c r="M135" s="71"/>
      <c r="N135" s="71"/>
      <c r="O135" s="71"/>
      <c r="P135" s="71"/>
      <c r="Q135" s="71"/>
      <c r="R135" s="71"/>
      <c r="S135" s="71"/>
      <c r="T135" s="71"/>
      <c r="U135" s="71"/>
      <c r="V135" s="71"/>
    </row>
    <row r="136" spans="4:22">
      <c r="D136" s="71"/>
      <c r="E136" s="71"/>
      <c r="F136" s="71"/>
      <c r="G136" s="71"/>
      <c r="H136" s="71"/>
      <c r="I136" s="71"/>
      <c r="J136" s="71"/>
      <c r="K136" s="71"/>
      <c r="L136" s="71"/>
      <c r="M136" s="71"/>
      <c r="N136" s="71"/>
      <c r="O136" s="71"/>
      <c r="P136" s="71"/>
      <c r="Q136" s="71"/>
      <c r="R136" s="71"/>
      <c r="S136" s="71"/>
      <c r="T136" s="71"/>
      <c r="U136" s="71"/>
      <c r="V136" s="71"/>
    </row>
  </sheetData>
  <sheetProtection selectLockedCells="1" sort="0"/>
  <sortState xmlns:xlrd2="http://schemas.microsoft.com/office/spreadsheetml/2017/richdata2" ref="B10:AU26">
    <sortCondition ref="C10:C109"/>
    <sortCondition ref="B10:B109"/>
  </sortState>
  <customSheetViews>
    <customSheetView guid="{D4FD32DD-0A5D-4D70-BA97-EA33B7747B0B}" scale="40" fitToPage="1">
      <selection activeCell="B6" sqref="B6"/>
      <pageMargins left="0" right="0" top="0" bottom="0" header="0.31496062992125984" footer="0.31496062992125984"/>
      <pageSetup paperSize="5" scale="34" fitToHeight="3" orientation="landscape" r:id="rId1"/>
    </customSheetView>
  </customSheetViews>
  <mergeCells count="8">
    <mergeCell ref="W3:W4"/>
    <mergeCell ref="C6:C8"/>
    <mergeCell ref="S3:V3"/>
    <mergeCell ref="S4:V4"/>
    <mergeCell ref="P3:R3"/>
    <mergeCell ref="G4:M4"/>
    <mergeCell ref="D3:F3"/>
    <mergeCell ref="G3:O3"/>
  </mergeCells>
  <conditionalFormatting sqref="W6">
    <cfRule type="expression" priority="172">
      <formula>IF(W7=1000,"vrai","----&gt;")</formula>
    </cfRule>
  </conditionalFormatting>
  <conditionalFormatting sqref="W7">
    <cfRule type="expression" dxfId="213" priority="168">
      <formula>IF(W7&lt;&gt;$W$5,"vrai",)</formula>
    </cfRule>
  </conditionalFormatting>
  <conditionalFormatting sqref="W8">
    <cfRule type="expression" dxfId="212" priority="158">
      <formula>IF(W8&lt;&gt;1,"vrai",)</formula>
    </cfRule>
  </conditionalFormatting>
  <conditionalFormatting sqref="L88:L109">
    <cfRule type="expression" dxfId="211" priority="106">
      <formula>IF($E88&gt;0,"vrai")</formula>
    </cfRule>
  </conditionalFormatting>
  <conditionalFormatting sqref="U88:U109">
    <cfRule type="expression" dxfId="210" priority="102">
      <formula>IF($E88&gt;0,"vrai")</formula>
    </cfRule>
  </conditionalFormatting>
  <conditionalFormatting sqref="D88:D109">
    <cfRule type="expression" dxfId="209" priority="100">
      <formula>IF($D88&gt;0,"vrai")</formula>
    </cfRule>
  </conditionalFormatting>
  <conditionalFormatting sqref="W9:W109 X25:X109">
    <cfRule type="expression" dxfId="208" priority="86">
      <formula>IF($W$9=0,"vrai")</formula>
    </cfRule>
    <cfRule type="duplicateValues" dxfId="207" priority="87"/>
  </conditionalFormatting>
  <conditionalFormatting sqref="C9:C109">
    <cfRule type="expression" dxfId="206" priority="55">
      <formula>IF(OR(C9=f,C9=m,C9=n),"vrai",)</formula>
    </cfRule>
  </conditionalFormatting>
  <conditionalFormatting sqref="B11:B12">
    <cfRule type="expression" dxfId="205" priority="49">
      <formula>IF(C11="h",TRUE,)</formula>
    </cfRule>
    <cfRule type="cellIs" dxfId="204" priority="50" operator="equal">
      <formula>"""h"""</formula>
    </cfRule>
    <cfRule type="cellIs" dxfId="203" priority="51" operator="equal">
      <formula>"""h"""</formula>
    </cfRule>
  </conditionalFormatting>
  <conditionalFormatting sqref="B9:B15">
    <cfRule type="expression" dxfId="202" priority="52">
      <formula>IF(C10="h",TRUE,)</formula>
    </cfRule>
    <cfRule type="cellIs" dxfId="201" priority="53" operator="equal">
      <formula>"""h"""</formula>
    </cfRule>
    <cfRule type="cellIs" dxfId="200" priority="54" operator="equal">
      <formula>"""h"""</formula>
    </cfRule>
  </conditionalFormatting>
  <conditionalFormatting sqref="B10:B15">
    <cfRule type="expression" dxfId="199" priority="56">
      <formula>IF(C13="h",TRUE,)</formula>
    </cfRule>
    <cfRule type="cellIs" dxfId="198" priority="57" operator="equal">
      <formula>"""h"""</formula>
    </cfRule>
    <cfRule type="cellIs" dxfId="197" priority="58" operator="equal">
      <formula>"""h"""</formula>
    </cfRule>
  </conditionalFormatting>
  <conditionalFormatting sqref="B16:B17">
    <cfRule type="expression" dxfId="196" priority="59">
      <formula>IF(C14="h",TRUE,)</formula>
    </cfRule>
    <cfRule type="cellIs" dxfId="195" priority="60" operator="equal">
      <formula>"""h"""</formula>
    </cfRule>
    <cfRule type="cellIs" dxfId="194" priority="61" operator="equal">
      <formula>"""h"""</formula>
    </cfRule>
  </conditionalFormatting>
  <conditionalFormatting sqref="B17:B18">
    <cfRule type="expression" dxfId="193" priority="62">
      <formula>IF(C16="h",TRUE,)</formula>
    </cfRule>
    <cfRule type="cellIs" dxfId="192" priority="63" operator="equal">
      <formula>"""h"""</formula>
    </cfRule>
    <cfRule type="cellIs" dxfId="191" priority="64" operator="equal">
      <formula>"""h"""</formula>
    </cfRule>
  </conditionalFormatting>
  <conditionalFormatting sqref="B58">
    <cfRule type="expression" dxfId="190" priority="46">
      <formula>IF(C59="h",TRUE,)</formula>
    </cfRule>
    <cfRule type="cellIs" dxfId="189" priority="47" operator="equal">
      <formula>"""h"""</formula>
    </cfRule>
    <cfRule type="cellIs" dxfId="188" priority="48" operator="equal">
      <formula>"""h"""</formula>
    </cfRule>
  </conditionalFormatting>
  <conditionalFormatting sqref="B62">
    <cfRule type="expression" dxfId="187" priority="43">
      <formula>IF(C62="h",TRUE,)</formula>
    </cfRule>
    <cfRule type="cellIs" dxfId="186" priority="44" operator="equal">
      <formula>"""h"""</formula>
    </cfRule>
    <cfRule type="cellIs" dxfId="185" priority="45" operator="equal">
      <formula>"""h"""</formula>
    </cfRule>
  </conditionalFormatting>
  <conditionalFormatting sqref="L9:L87">
    <cfRule type="expression" dxfId="184" priority="40">
      <formula>IF($E9&gt;0,"vrai")</formula>
    </cfRule>
  </conditionalFormatting>
  <conditionalFormatting sqref="U9:U87">
    <cfRule type="expression" dxfId="183" priority="36">
      <formula>IF($E9&gt;0,"vrai")</formula>
    </cfRule>
  </conditionalFormatting>
  <conditionalFormatting sqref="D28:D109">
    <cfRule type="expression" dxfId="182" priority="34">
      <formula>IF($D28&gt;0,"vrai")</formula>
    </cfRule>
  </conditionalFormatting>
  <conditionalFormatting sqref="X6:X7">
    <cfRule type="expression" priority="174">
      <formula>IF(#REF!=1000,"vrai","----&gt;")</formula>
    </cfRule>
  </conditionalFormatting>
  <dataValidations count="8">
    <dataValidation type="whole" allowBlank="1" showInputMessage="1" showErrorMessage="1" error="nécessite un chiffre entre 1_x000a_ et le maximun del'échelle" sqref="S59:T109 S10:T57 F9:F87 D9:D87 E9:E87" xr:uid="{00000000-0002-0000-0000-000000000000}">
      <formula1>1</formula1>
      <formula2>D$6</formula2>
    </dataValidation>
    <dataValidation type="decimal" allowBlank="1" showInputMessage="1" showErrorMessage="1" sqref="Q88:R109 V88:V109 N88:N109 P88:P109 M88:M109 F88:F109 E88:E109 D88:D109 O88:O109" xr:uid="{00000000-0002-0000-0000-000001000000}">
      <formula1>1</formula1>
      <formula2>D$6</formula2>
    </dataValidation>
    <dataValidation type="whole" allowBlank="1" showInputMessage="1" showErrorMessage="1" sqref="O9:O87" xr:uid="{00000000-0002-0000-0000-000002000000}">
      <formula1>0</formula1>
      <formula2>O$6</formula2>
    </dataValidation>
    <dataValidation type="whole" allowBlank="1" showInputMessage="1" showErrorMessage="1" error="nécessite un chiffre entre 1_x000a_ et le maximun del'échelle" sqref="M9:M87" xr:uid="{00000000-0002-0000-0000-000003000000}">
      <formula1>0</formula1>
      <formula2>M$6</formula2>
    </dataValidation>
    <dataValidation type="whole" allowBlank="1" showInputMessage="1" showErrorMessage="1" sqref="V9:V87 P9:P87 N9:N87 Q9:R87" xr:uid="{00000000-0002-0000-0000-000004000000}">
      <formula1>1</formula1>
      <formula2>N$6</formula2>
    </dataValidation>
    <dataValidation type="whole" operator="greaterThanOrEqual" allowBlank="1" showInputMessage="1" showErrorMessage="1" error="Minimum 1" sqref="V6 M6:S6 D6:F6" xr:uid="{00000000-0002-0000-0000-000005000000}">
      <formula1>1</formula1>
    </dataValidation>
    <dataValidation type="whole" operator="equal" allowBlank="1" showInputMessage="1" showErrorMessage="1" error="Doit être égal à 1000" sqref="W7" xr:uid="{00000000-0002-0000-0000-000006000000}">
      <formula1>1000</formula1>
    </dataValidation>
    <dataValidation type="list" allowBlank="1" showDropDown="1" showInputMessage="1" showErrorMessage="1" error="F ou M ou Z" prompt="F ou M ou Z" sqref="C9:C109" xr:uid="{00000000-0002-0000-0000-000007000000}">
      <formula1>$B$3:$B$4</formula1>
    </dataValidation>
  </dataValidations>
  <pageMargins left="0" right="0" top="0" bottom="0" header="0.31496062992125984" footer="0.31496062992125984"/>
  <pageSetup paperSize="5" scale="27" fitToHeight="3" orientation="landscape" cellComments="asDisplayed"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07DF0C"/>
    <pageSetUpPr fitToPage="1"/>
  </sheetPr>
  <dimension ref="A1:AH49"/>
  <sheetViews>
    <sheetView tabSelected="1" topLeftCell="A7" zoomScale="30" zoomScaleNormal="30" workbookViewId="0">
      <pane xSplit="3" topLeftCell="D1" activePane="topRight" state="frozen"/>
      <selection pane="topRight" activeCell="M44" sqref="M44"/>
    </sheetView>
  </sheetViews>
  <sheetFormatPr defaultColWidth="6.7109375" defaultRowHeight="21"/>
  <cols>
    <col min="1" max="1" width="6.5703125" style="44" customWidth="1"/>
    <col min="2" max="2" width="125.42578125" style="80" customWidth="1"/>
    <col min="3" max="3" width="8" style="44" customWidth="1"/>
    <col min="4" max="4" width="27.7109375" style="44" customWidth="1"/>
    <col min="5" max="5" width="27" style="44" customWidth="1"/>
    <col min="6" max="6" width="27.28515625" style="44" customWidth="1"/>
    <col min="7" max="12" width="9.7109375" style="44" customWidth="1"/>
    <col min="13" max="13" width="22.5703125" style="44" customWidth="1"/>
    <col min="14" max="14" width="26.42578125" style="44" customWidth="1"/>
    <col min="15" max="15" width="26.28515625" style="44" customWidth="1"/>
    <col min="16" max="16" width="29.7109375" style="44" customWidth="1"/>
    <col min="17" max="17" width="28.7109375" style="44" customWidth="1"/>
    <col min="18" max="18" width="26.28515625" style="44" customWidth="1"/>
    <col min="19" max="19" width="14.42578125" style="44" bestFit="1" customWidth="1"/>
    <col min="20" max="21" width="9.7109375" style="44" customWidth="1"/>
    <col min="22" max="22" width="24.7109375" style="44" customWidth="1"/>
    <col min="23" max="23" width="16.7109375" style="44" customWidth="1"/>
    <col min="24" max="24" width="30.28515625" style="44" hidden="1" customWidth="1"/>
    <col min="25" max="25" width="25" style="44" hidden="1" customWidth="1"/>
    <col min="26" max="26" width="16.5703125" style="44" hidden="1" customWidth="1"/>
    <col min="27" max="27" width="18" style="44" hidden="1" customWidth="1"/>
    <col min="28" max="28" width="16.7109375" style="44" hidden="1" customWidth="1"/>
    <col min="29" max="29" width="20.7109375" style="19" hidden="1" customWidth="1"/>
    <col min="30" max="30" width="9.7109375" style="44" hidden="1" customWidth="1"/>
    <col min="31" max="37" width="9.7109375" style="44" customWidth="1"/>
    <col min="38" max="16384" width="6.7109375" style="44"/>
  </cols>
  <sheetData>
    <row r="1" spans="1:34" ht="49.15" customHeight="1">
      <c r="A1" s="40"/>
      <c r="B1" s="45" t="s">
        <v>100</v>
      </c>
      <c r="C1" s="46"/>
      <c r="D1" s="47"/>
      <c r="E1" s="47"/>
      <c r="F1" s="47"/>
      <c r="G1" s="47"/>
      <c r="H1" s="47"/>
      <c r="I1" s="47"/>
      <c r="J1" s="40"/>
      <c r="K1" s="40"/>
      <c r="L1" s="40"/>
      <c r="M1" s="40"/>
      <c r="N1" s="40"/>
      <c r="O1" s="40"/>
      <c r="P1" s="40"/>
      <c r="Q1" s="40"/>
      <c r="R1" s="40"/>
      <c r="S1" s="40"/>
      <c r="T1" s="40"/>
      <c r="U1" s="40"/>
      <c r="V1" s="40"/>
      <c r="W1" s="40"/>
      <c r="X1" s="40"/>
      <c r="Y1" s="40"/>
      <c r="Z1" s="40"/>
      <c r="AA1" s="40"/>
      <c r="AB1" s="40"/>
      <c r="AC1" s="40"/>
      <c r="AD1" s="40"/>
      <c r="AE1" s="40"/>
      <c r="AF1" s="40"/>
      <c r="AG1" s="40"/>
      <c r="AH1" s="40"/>
    </row>
    <row r="2" spans="1:34" ht="34.5" customHeight="1" thickBot="1">
      <c r="A2" s="40"/>
      <c r="B2" s="104" t="s">
        <v>46</v>
      </c>
      <c r="C2" s="40"/>
      <c r="D2" s="152">
        <f>D7/D6</f>
        <v>25</v>
      </c>
      <c r="E2" s="153">
        <f>E7/E6</f>
        <v>16</v>
      </c>
      <c r="F2" s="155">
        <f>F7/F6</f>
        <v>16</v>
      </c>
      <c r="G2" s="40"/>
      <c r="H2" s="40"/>
      <c r="I2" s="40"/>
      <c r="J2" s="40"/>
      <c r="K2" s="40"/>
      <c r="L2" s="40"/>
      <c r="M2" s="155">
        <f t="shared" ref="M2:R2" si="0">M7/M6</f>
        <v>20</v>
      </c>
      <c r="N2" s="155">
        <f t="shared" si="0"/>
        <v>18</v>
      </c>
      <c r="O2" s="155">
        <f t="shared" si="0"/>
        <v>17.5</v>
      </c>
      <c r="P2" s="155">
        <f t="shared" si="0"/>
        <v>26</v>
      </c>
      <c r="Q2" s="155">
        <f t="shared" si="0"/>
        <v>24</v>
      </c>
      <c r="R2" s="155">
        <f t="shared" si="0"/>
        <v>22.5</v>
      </c>
      <c r="S2" s="40"/>
      <c r="T2" s="40"/>
      <c r="U2" s="40"/>
      <c r="V2" s="155">
        <f>V7/V6</f>
        <v>18</v>
      </c>
      <c r="W2" s="40"/>
      <c r="X2" s="40"/>
      <c r="Y2" s="40"/>
      <c r="Z2" s="40"/>
      <c r="AA2" s="40"/>
      <c r="AB2" s="40"/>
      <c r="AC2" s="40"/>
      <c r="AD2" s="40"/>
      <c r="AE2" s="40"/>
      <c r="AF2" s="40"/>
      <c r="AG2" s="40"/>
      <c r="AH2" s="40"/>
    </row>
    <row r="3" spans="1:34" ht="70.5" customHeight="1" thickTop="1" thickBot="1">
      <c r="A3" s="40"/>
      <c r="B3" s="76" t="s">
        <v>40</v>
      </c>
      <c r="C3" s="48"/>
      <c r="D3" s="175" t="s">
        <v>12</v>
      </c>
      <c r="E3" s="175"/>
      <c r="F3" s="175"/>
      <c r="G3" s="177" t="s">
        <v>13</v>
      </c>
      <c r="H3" s="177"/>
      <c r="I3" s="177"/>
      <c r="J3" s="177"/>
      <c r="K3" s="177"/>
      <c r="L3" s="177"/>
      <c r="M3" s="175"/>
      <c r="N3" s="175"/>
      <c r="O3" s="175"/>
      <c r="P3" s="175" t="s">
        <v>14</v>
      </c>
      <c r="Q3" s="175"/>
      <c r="R3" s="175"/>
      <c r="S3" s="170" t="s">
        <v>15</v>
      </c>
      <c r="T3" s="171"/>
      <c r="U3" s="171"/>
      <c r="V3" s="172"/>
      <c r="W3" s="167" t="s">
        <v>45</v>
      </c>
      <c r="X3" s="40"/>
      <c r="Z3" s="40"/>
      <c r="AA3" s="40"/>
      <c r="AB3" s="40"/>
      <c r="AC3" s="40"/>
      <c r="AD3" s="40"/>
      <c r="AE3" s="40"/>
      <c r="AF3" s="40"/>
      <c r="AG3" s="40"/>
      <c r="AH3" s="40"/>
    </row>
    <row r="4" spans="1:34" ht="82.5" customHeight="1" thickTop="1" thickBot="1">
      <c r="A4" s="40"/>
      <c r="B4" s="154" t="s">
        <v>1</v>
      </c>
      <c r="C4" s="49"/>
      <c r="D4" s="50" t="s">
        <v>3</v>
      </c>
      <c r="E4" s="163" t="s">
        <v>94</v>
      </c>
      <c r="F4" s="163" t="s">
        <v>95</v>
      </c>
      <c r="G4" s="173" t="s">
        <v>18</v>
      </c>
      <c r="H4" s="174"/>
      <c r="I4" s="174"/>
      <c r="J4" s="174"/>
      <c r="K4" s="174"/>
      <c r="L4" s="174"/>
      <c r="M4" s="176"/>
      <c r="N4" s="145" t="s">
        <v>98</v>
      </c>
      <c r="O4" s="163" t="s">
        <v>99</v>
      </c>
      <c r="P4" s="163" t="s">
        <v>97</v>
      </c>
      <c r="Q4" s="163" t="s">
        <v>96</v>
      </c>
      <c r="R4" s="50" t="s">
        <v>4</v>
      </c>
      <c r="S4" s="173" t="s">
        <v>55</v>
      </c>
      <c r="T4" s="174"/>
      <c r="U4" s="174"/>
      <c r="V4" s="174"/>
      <c r="W4" s="168"/>
      <c r="X4" s="40"/>
      <c r="Y4" s="40"/>
      <c r="Z4" s="40"/>
      <c r="AA4" s="40"/>
      <c r="AB4" s="40"/>
      <c r="AC4" s="40"/>
      <c r="AD4" s="40"/>
      <c r="AE4" s="40"/>
      <c r="AF4" s="40"/>
      <c r="AG4" s="40"/>
      <c r="AH4" s="40"/>
    </row>
    <row r="5" spans="1:34" s="41" customFormat="1" ht="149.25" customHeight="1" thickBot="1">
      <c r="B5" s="78"/>
      <c r="C5" s="49"/>
      <c r="D5" s="51" t="s">
        <v>19</v>
      </c>
      <c r="E5" s="51" t="s">
        <v>19</v>
      </c>
      <c r="F5" s="51" t="s">
        <v>19</v>
      </c>
      <c r="G5" s="52" t="s">
        <v>53</v>
      </c>
      <c r="H5" s="53" t="s">
        <v>52</v>
      </c>
      <c r="I5" s="53" t="s">
        <v>51</v>
      </c>
      <c r="J5" s="53" t="s">
        <v>50</v>
      </c>
      <c r="K5" s="53" t="s">
        <v>49</v>
      </c>
      <c r="L5" s="74" t="s">
        <v>28</v>
      </c>
      <c r="M5" s="51" t="s">
        <v>19</v>
      </c>
      <c r="N5" s="54" t="s">
        <v>19</v>
      </c>
      <c r="O5" s="55" t="s">
        <v>19</v>
      </c>
      <c r="P5" s="51" t="s">
        <v>19</v>
      </c>
      <c r="Q5" s="51" t="s">
        <v>19</v>
      </c>
      <c r="R5" s="51" t="s">
        <v>19</v>
      </c>
      <c r="S5" s="56" t="s">
        <v>47</v>
      </c>
      <c r="T5" s="57" t="s">
        <v>48</v>
      </c>
      <c r="U5" s="73" t="s">
        <v>28</v>
      </c>
      <c r="V5" s="58" t="s">
        <v>19</v>
      </c>
      <c r="W5" s="105">
        <v>1000</v>
      </c>
      <c r="X5" s="106"/>
      <c r="Y5" s="102"/>
      <c r="Z5" s="75"/>
      <c r="AA5" s="75"/>
      <c r="AB5" s="75"/>
      <c r="AC5" s="42"/>
    </row>
    <row r="6" spans="1:34" ht="36" customHeight="1">
      <c r="A6" s="40"/>
      <c r="B6" s="79" t="s">
        <v>17</v>
      </c>
      <c r="C6" s="169" t="s">
        <v>29</v>
      </c>
      <c r="D6" s="158">
        <v>6</v>
      </c>
      <c r="E6" s="158">
        <v>5</v>
      </c>
      <c r="F6" s="158">
        <v>5</v>
      </c>
      <c r="G6" s="59"/>
      <c r="H6" s="60"/>
      <c r="I6" s="60"/>
      <c r="J6" s="60"/>
      <c r="K6" s="60"/>
      <c r="L6" s="61"/>
      <c r="M6" s="62">
        <v>5</v>
      </c>
      <c r="N6" s="62">
        <v>5</v>
      </c>
      <c r="O6" s="62">
        <v>4</v>
      </c>
      <c r="P6" s="62">
        <v>5</v>
      </c>
      <c r="Q6" s="62">
        <v>5</v>
      </c>
      <c r="R6" s="156">
        <v>4</v>
      </c>
      <c r="S6" s="63"/>
      <c r="T6" s="64"/>
      <c r="U6" s="65"/>
      <c r="V6" s="157">
        <v>5</v>
      </c>
      <c r="W6" s="108"/>
      <c r="X6" s="102"/>
      <c r="Y6" s="40"/>
      <c r="Z6" s="40"/>
      <c r="AA6" s="40"/>
      <c r="AB6" s="40"/>
      <c r="AC6" s="40"/>
      <c r="AD6" s="40"/>
      <c r="AE6" s="40"/>
      <c r="AF6" s="40"/>
      <c r="AG6" s="40"/>
      <c r="AH6" s="40"/>
    </row>
    <row r="7" spans="1:34" ht="39.75" customHeight="1">
      <c r="A7" s="40"/>
      <c r="B7" s="79" t="s">
        <v>16</v>
      </c>
      <c r="C7" s="169"/>
      <c r="D7" s="160">
        <f>D8*W5</f>
        <v>150</v>
      </c>
      <c r="E7" s="160">
        <f>E8*W5</f>
        <v>80</v>
      </c>
      <c r="F7" s="160">
        <f>F8*W5</f>
        <v>80</v>
      </c>
      <c r="G7" s="67"/>
      <c r="H7" s="67"/>
      <c r="I7" s="67"/>
      <c r="J7" s="67"/>
      <c r="K7" s="67"/>
      <c r="L7" s="67"/>
      <c r="M7" s="160">
        <f>M8*W5</f>
        <v>100</v>
      </c>
      <c r="N7" s="160">
        <f>N8*W5</f>
        <v>90</v>
      </c>
      <c r="O7" s="160">
        <f>O8*W5</f>
        <v>70</v>
      </c>
      <c r="P7" s="160">
        <f>P8*W5</f>
        <v>130</v>
      </c>
      <c r="Q7" s="160">
        <f>Q8*W5</f>
        <v>120</v>
      </c>
      <c r="R7" s="160">
        <f>R8*W5</f>
        <v>90</v>
      </c>
      <c r="S7" s="68"/>
      <c r="T7" s="68"/>
      <c r="U7" s="69"/>
      <c r="V7" s="161">
        <f>V8*W5</f>
        <v>90</v>
      </c>
      <c r="W7" s="99">
        <f>V7+R7+Q7+P7+O7+N7+M7+F7+E7+D7</f>
        <v>1000</v>
      </c>
      <c r="X7" s="102"/>
      <c r="Y7" s="40"/>
      <c r="Z7" s="66"/>
      <c r="AA7" s="66"/>
      <c r="AB7" s="66"/>
      <c r="AC7" s="40"/>
      <c r="AD7" s="40"/>
      <c r="AE7" s="40"/>
      <c r="AF7" s="40"/>
      <c r="AG7" s="40"/>
      <c r="AH7" s="40"/>
    </row>
    <row r="8" spans="1:34" ht="74.25" customHeight="1" thickBot="1">
      <c r="A8" s="40"/>
      <c r="B8" s="79" t="s">
        <v>0</v>
      </c>
      <c r="C8" s="169"/>
      <c r="D8" s="159">
        <v>0.15</v>
      </c>
      <c r="E8" s="159">
        <v>0.08</v>
      </c>
      <c r="F8" s="159">
        <v>0.08</v>
      </c>
      <c r="G8" s="93"/>
      <c r="H8" s="94"/>
      <c r="I8" s="94"/>
      <c r="J8" s="94"/>
      <c r="K8" s="94"/>
      <c r="L8" s="95"/>
      <c r="M8" s="70">
        <v>0.1</v>
      </c>
      <c r="N8" s="70">
        <v>0.09</v>
      </c>
      <c r="O8" s="70">
        <v>7.0000000000000007E-2</v>
      </c>
      <c r="P8" s="70">
        <v>0.13</v>
      </c>
      <c r="Q8" s="70">
        <v>0.12</v>
      </c>
      <c r="R8" s="81">
        <v>0.09</v>
      </c>
      <c r="S8" s="96"/>
      <c r="T8" s="97"/>
      <c r="U8" s="98"/>
      <c r="V8" s="70">
        <v>0.09</v>
      </c>
      <c r="W8" s="107">
        <f>D8+E8+F8+M8+N8+O8+P8+Q8+R8+V8</f>
        <v>1</v>
      </c>
      <c r="X8" s="138" t="s">
        <v>93</v>
      </c>
      <c r="Y8" s="137" t="s">
        <v>32</v>
      </c>
      <c r="Z8" s="91" t="s">
        <v>30</v>
      </c>
      <c r="AA8" s="91" t="s">
        <v>31</v>
      </c>
      <c r="AB8" s="91" t="s">
        <v>39</v>
      </c>
      <c r="AC8" s="92" t="s">
        <v>88</v>
      </c>
      <c r="AD8" s="40"/>
      <c r="AE8" s="28"/>
      <c r="AF8" s="28"/>
      <c r="AG8" s="28"/>
      <c r="AH8" s="28"/>
    </row>
    <row r="9" spans="1:34" ht="51.75" customHeight="1">
      <c r="A9" s="43">
        <v>1</v>
      </c>
      <c r="B9" s="110" t="s">
        <v>86</v>
      </c>
      <c r="C9" s="111" t="s">
        <v>2</v>
      </c>
      <c r="D9" s="147">
        <v>3</v>
      </c>
      <c r="E9" s="147">
        <v>1</v>
      </c>
      <c r="F9" s="147">
        <v>3</v>
      </c>
      <c r="G9" s="115">
        <v>0</v>
      </c>
      <c r="H9" s="115">
        <v>1</v>
      </c>
      <c r="I9" s="115">
        <v>1</v>
      </c>
      <c r="J9" s="115">
        <v>0</v>
      </c>
      <c r="K9" s="115">
        <v>1</v>
      </c>
      <c r="L9" s="114">
        <f>SUM(G9:K9)</f>
        <v>3</v>
      </c>
      <c r="M9" s="147">
        <v>1</v>
      </c>
      <c r="N9" s="147">
        <v>1</v>
      </c>
      <c r="O9" s="147">
        <v>1</v>
      </c>
      <c r="P9" s="147">
        <v>1</v>
      </c>
      <c r="Q9" s="147">
        <v>3</v>
      </c>
      <c r="R9" s="147">
        <v>3</v>
      </c>
      <c r="S9" s="115">
        <f>'inconvénient 19'!I11</f>
        <v>4</v>
      </c>
      <c r="T9" s="115">
        <f>'inconvénient 19'!V11</f>
        <v>10</v>
      </c>
      <c r="U9" s="114">
        <f t="shared" ref="U9:U25" si="1">T9+S9</f>
        <v>14</v>
      </c>
      <c r="V9" s="147">
        <v>4</v>
      </c>
      <c r="W9" s="139">
        <f t="shared" ref="W9:W25" si="2">($D$7/$D$6*D9)+($E$7/$E$6*E9)+($F$7/$F$6*F9)+($M$7/$M$6*M9)+($N$7/$N$6*N9)+($O$7/$O$6*O9)+($P$7/$P$6*P9)+($Q$7/$Q$6*Q9)+($R$7/$R$6*R9)+($V$7/$V$6*V9)</f>
        <v>432</v>
      </c>
      <c r="X9" s="141">
        <v>440</v>
      </c>
      <c r="Y9" s="146">
        <v>21.66</v>
      </c>
      <c r="Z9" s="72"/>
      <c r="AA9" s="72"/>
      <c r="AB9" s="72"/>
      <c r="AC9" s="72">
        <f t="shared" ref="AC9:AC25" si="3">SUM(Y9:AB9)</f>
        <v>21.66</v>
      </c>
      <c r="AD9" s="43"/>
      <c r="AE9" s="82"/>
      <c r="AF9" s="82"/>
      <c r="AG9" s="82"/>
      <c r="AH9" s="82"/>
    </row>
    <row r="10" spans="1:34" s="43" customFormat="1" ht="51.75" customHeight="1">
      <c r="A10" s="43">
        <v>2</v>
      </c>
      <c r="B10" s="118" t="s">
        <v>77</v>
      </c>
      <c r="C10" s="111" t="s">
        <v>2</v>
      </c>
      <c r="D10" s="147">
        <v>3</v>
      </c>
      <c r="E10" s="147">
        <v>1</v>
      </c>
      <c r="F10" s="147">
        <v>3</v>
      </c>
      <c r="G10" s="115">
        <v>0</v>
      </c>
      <c r="H10" s="115">
        <v>0</v>
      </c>
      <c r="I10" s="115">
        <v>0</v>
      </c>
      <c r="J10" s="115">
        <v>1</v>
      </c>
      <c r="K10" s="115">
        <v>0</v>
      </c>
      <c r="L10" s="114">
        <f t="shared" ref="L10:L25" si="4">SUM(G10:K10)</f>
        <v>1</v>
      </c>
      <c r="M10" s="147">
        <v>1</v>
      </c>
      <c r="N10" s="147">
        <v>1</v>
      </c>
      <c r="O10" s="147">
        <v>1</v>
      </c>
      <c r="P10" s="147">
        <v>1</v>
      </c>
      <c r="Q10" s="147">
        <v>3</v>
      </c>
      <c r="R10" s="147">
        <v>1</v>
      </c>
      <c r="S10" s="115">
        <f>'inconvénient 19'!I12</f>
        <v>2</v>
      </c>
      <c r="T10" s="115">
        <f>'inconvénient 19'!V12</f>
        <v>0</v>
      </c>
      <c r="U10" s="114">
        <f t="shared" si="1"/>
        <v>2</v>
      </c>
      <c r="V10" s="147">
        <v>1</v>
      </c>
      <c r="W10" s="139">
        <f t="shared" si="2"/>
        <v>333</v>
      </c>
      <c r="X10" s="141">
        <v>344</v>
      </c>
      <c r="Y10" s="146">
        <v>19.690000000000001</v>
      </c>
      <c r="Z10" s="72"/>
      <c r="AA10" s="72"/>
      <c r="AB10" s="72"/>
      <c r="AC10" s="72">
        <f t="shared" si="3"/>
        <v>19.690000000000001</v>
      </c>
      <c r="AE10" s="83"/>
      <c r="AF10" s="83"/>
      <c r="AG10" s="83"/>
      <c r="AH10" s="83"/>
    </row>
    <row r="11" spans="1:34" s="43" customFormat="1" ht="51.75" customHeight="1">
      <c r="A11" s="43">
        <v>3</v>
      </c>
      <c r="B11" s="118" t="s">
        <v>104</v>
      </c>
      <c r="C11" s="111" t="s">
        <v>2</v>
      </c>
      <c r="D11" s="147">
        <v>2</v>
      </c>
      <c r="E11" s="147">
        <v>2</v>
      </c>
      <c r="F11" s="147">
        <v>2</v>
      </c>
      <c r="G11" s="115">
        <v>2</v>
      </c>
      <c r="H11" s="115">
        <v>2</v>
      </c>
      <c r="I11" s="115">
        <v>1</v>
      </c>
      <c r="J11" s="115">
        <v>1</v>
      </c>
      <c r="K11" s="115">
        <v>0</v>
      </c>
      <c r="L11" s="114">
        <f t="shared" si="4"/>
        <v>6</v>
      </c>
      <c r="M11" s="147">
        <v>2</v>
      </c>
      <c r="N11" s="147">
        <v>3</v>
      </c>
      <c r="O11" s="147">
        <v>3</v>
      </c>
      <c r="P11" s="147">
        <v>3</v>
      </c>
      <c r="Q11" s="147">
        <v>3</v>
      </c>
      <c r="R11" s="147">
        <v>1</v>
      </c>
      <c r="S11" s="115">
        <f>'inconvénient 19'!I13</f>
        <v>6</v>
      </c>
      <c r="T11" s="115">
        <f>'inconvénient 19'!V13</f>
        <v>0</v>
      </c>
      <c r="U11" s="114">
        <f t="shared" si="1"/>
        <v>6</v>
      </c>
      <c r="V11" s="147">
        <v>2</v>
      </c>
      <c r="W11" s="139">
        <f t="shared" si="2"/>
        <v>469</v>
      </c>
      <c r="X11" s="141">
        <v>536</v>
      </c>
      <c r="Y11" s="146">
        <v>24.9</v>
      </c>
      <c r="Z11" s="72"/>
      <c r="AA11" s="72"/>
      <c r="AB11" s="72"/>
      <c r="AC11" s="72">
        <f t="shared" si="3"/>
        <v>24.9</v>
      </c>
    </row>
    <row r="12" spans="1:34" s="43" customFormat="1" ht="51.75" customHeight="1">
      <c r="A12" s="43">
        <v>4</v>
      </c>
      <c r="B12" s="118" t="s">
        <v>105</v>
      </c>
      <c r="C12" s="111" t="s">
        <v>2</v>
      </c>
      <c r="D12" s="147">
        <v>4</v>
      </c>
      <c r="E12" s="147">
        <v>3</v>
      </c>
      <c r="F12" s="147">
        <v>2</v>
      </c>
      <c r="G12" s="115">
        <v>2</v>
      </c>
      <c r="H12" s="115">
        <v>2</v>
      </c>
      <c r="I12" s="115">
        <v>1</v>
      </c>
      <c r="J12" s="115">
        <v>1</v>
      </c>
      <c r="K12" s="115">
        <v>0</v>
      </c>
      <c r="L12" s="114">
        <f t="shared" ref="L12" si="5">SUM(G12:K12)</f>
        <v>6</v>
      </c>
      <c r="M12" s="147">
        <v>2</v>
      </c>
      <c r="N12" s="147">
        <v>3</v>
      </c>
      <c r="O12" s="147">
        <v>3</v>
      </c>
      <c r="P12" s="147">
        <v>3</v>
      </c>
      <c r="Q12" s="147">
        <v>4</v>
      </c>
      <c r="R12" s="147">
        <v>1</v>
      </c>
      <c r="S12" s="115">
        <v>6</v>
      </c>
      <c r="T12" s="115">
        <v>0</v>
      </c>
      <c r="U12" s="114">
        <f t="shared" ref="U12" si="6">T12+S12</f>
        <v>6</v>
      </c>
      <c r="V12" s="147">
        <v>2</v>
      </c>
      <c r="W12" s="139">
        <f t="shared" ref="W12" si="7">($D$7/$D$6*D12)+($E$7/$E$6*E12)+($F$7/$F$6*F12)+($M$7/$M$6*M12)+($N$7/$N$6*N12)+($O$7/$O$6*O12)+($P$7/$P$6*P12)+($Q$7/$Q$6*Q12)+($R$7/$R$6*R12)+($V$7/$V$6*V12)</f>
        <v>559</v>
      </c>
      <c r="X12" s="141">
        <v>536</v>
      </c>
      <c r="Y12" s="146">
        <v>24.9</v>
      </c>
      <c r="Z12" s="72"/>
      <c r="AA12" s="72"/>
      <c r="AB12" s="72"/>
      <c r="AC12" s="72">
        <f t="shared" ref="AC12" si="8">SUM(Y12:AB12)</f>
        <v>24.9</v>
      </c>
    </row>
    <row r="13" spans="1:34" s="43" customFormat="1" ht="51.6" customHeight="1">
      <c r="A13" s="43">
        <v>5</v>
      </c>
      <c r="B13" s="118" t="s">
        <v>106</v>
      </c>
      <c r="C13" s="111" t="s">
        <v>2</v>
      </c>
      <c r="D13" s="147">
        <v>4</v>
      </c>
      <c r="E13" s="147">
        <v>5</v>
      </c>
      <c r="F13" s="147">
        <v>2</v>
      </c>
      <c r="G13" s="115">
        <v>2</v>
      </c>
      <c r="H13" s="115">
        <v>3</v>
      </c>
      <c r="I13" s="115">
        <v>2</v>
      </c>
      <c r="J13" s="115">
        <v>2</v>
      </c>
      <c r="K13" s="115">
        <v>0</v>
      </c>
      <c r="L13" s="114">
        <f t="shared" ref="L13" si="9">SUM(G13:K13)</f>
        <v>9</v>
      </c>
      <c r="M13" s="147">
        <v>3</v>
      </c>
      <c r="N13" s="147">
        <v>4</v>
      </c>
      <c r="O13" s="147">
        <v>3</v>
      </c>
      <c r="P13" s="147">
        <v>4</v>
      </c>
      <c r="Q13" s="147">
        <v>4</v>
      </c>
      <c r="R13" s="147">
        <v>1</v>
      </c>
      <c r="S13" s="115">
        <v>6</v>
      </c>
      <c r="T13" s="115">
        <f>'inconvénient 19'!V15</f>
        <v>0</v>
      </c>
      <c r="U13" s="114">
        <f t="shared" ref="U13" si="10">T13+S13</f>
        <v>6</v>
      </c>
      <c r="V13" s="147">
        <v>2</v>
      </c>
      <c r="W13" s="139">
        <f t="shared" ref="W13" si="11">($D$7/$D$6*D13)+($E$7/$E$6*E13)+($F$7/$F$6*F13)+($M$7/$M$6*M13)+($N$7/$N$6*N13)+($O$7/$O$6*O13)+($P$7/$P$6*P13)+($Q$7/$Q$6*Q13)+($R$7/$R$6*R13)+($V$7/$V$6*V13)</f>
        <v>655</v>
      </c>
      <c r="X13" s="141">
        <v>536</v>
      </c>
      <c r="Y13" s="146">
        <v>24.9</v>
      </c>
      <c r="Z13" s="72"/>
      <c r="AA13" s="72"/>
      <c r="AB13" s="72"/>
      <c r="AC13" s="72">
        <f t="shared" ref="AC13" si="12">SUM(Y13:AB13)</f>
        <v>24.9</v>
      </c>
    </row>
    <row r="14" spans="1:34" s="43" customFormat="1" ht="51.75" hidden="1" customHeight="1">
      <c r="A14" s="43">
        <v>5</v>
      </c>
      <c r="B14" s="110" t="s">
        <v>72</v>
      </c>
      <c r="C14" s="111" t="s">
        <v>2</v>
      </c>
      <c r="D14" s="147">
        <v>6</v>
      </c>
      <c r="E14" s="147">
        <v>5</v>
      </c>
      <c r="F14" s="147">
        <v>1</v>
      </c>
      <c r="G14" s="115">
        <v>3</v>
      </c>
      <c r="H14" s="115">
        <v>3</v>
      </c>
      <c r="I14" s="115">
        <v>2</v>
      </c>
      <c r="J14" s="115">
        <v>3</v>
      </c>
      <c r="K14" s="115">
        <v>1</v>
      </c>
      <c r="L14" s="114">
        <f>SUM(G14:K14)</f>
        <v>12</v>
      </c>
      <c r="M14" s="147">
        <v>4</v>
      </c>
      <c r="N14" s="147">
        <v>5</v>
      </c>
      <c r="O14" s="147">
        <v>4</v>
      </c>
      <c r="P14" s="147">
        <v>5</v>
      </c>
      <c r="Q14" s="147">
        <v>4</v>
      </c>
      <c r="R14" s="147">
        <v>1</v>
      </c>
      <c r="S14" s="115">
        <f>'inconvénient 19'!I14</f>
        <v>8</v>
      </c>
      <c r="T14" s="115">
        <f>'inconvénient 19'!V14</f>
        <v>2</v>
      </c>
      <c r="U14" s="114">
        <f t="shared" si="1"/>
        <v>10</v>
      </c>
      <c r="V14" s="147">
        <v>3</v>
      </c>
      <c r="W14" s="139">
        <f t="shared" si="2"/>
        <v>788.5</v>
      </c>
      <c r="X14" s="141">
        <v>823</v>
      </c>
      <c r="Y14" s="146">
        <v>51.74</v>
      </c>
      <c r="Z14" s="72"/>
      <c r="AA14" s="72"/>
      <c r="AB14" s="72"/>
      <c r="AC14" s="72">
        <f t="shared" si="3"/>
        <v>51.74</v>
      </c>
    </row>
    <row r="15" spans="1:34" s="43" customFormat="1" ht="51.75" customHeight="1">
      <c r="A15" s="43">
        <v>6</v>
      </c>
      <c r="B15" s="110" t="s">
        <v>90</v>
      </c>
      <c r="C15" s="111" t="s">
        <v>2</v>
      </c>
      <c r="D15" s="147">
        <v>6</v>
      </c>
      <c r="E15" s="147">
        <v>5</v>
      </c>
      <c r="F15" s="147">
        <v>1</v>
      </c>
      <c r="G15" s="115">
        <v>3</v>
      </c>
      <c r="H15" s="115">
        <v>1</v>
      </c>
      <c r="I15" s="115">
        <v>0</v>
      </c>
      <c r="J15" s="115">
        <v>2</v>
      </c>
      <c r="K15" s="115">
        <v>1</v>
      </c>
      <c r="L15" s="114">
        <f t="shared" si="4"/>
        <v>7</v>
      </c>
      <c r="M15" s="147">
        <v>3</v>
      </c>
      <c r="N15" s="147">
        <v>4</v>
      </c>
      <c r="O15" s="147">
        <v>2</v>
      </c>
      <c r="P15" s="147">
        <v>5</v>
      </c>
      <c r="Q15" s="147">
        <v>4</v>
      </c>
      <c r="R15" s="147">
        <v>1</v>
      </c>
      <c r="S15" s="115">
        <f>'inconvénient 19'!I15</f>
        <v>5</v>
      </c>
      <c r="T15" s="115">
        <f>'inconvénient 19'!V15</f>
        <v>0</v>
      </c>
      <c r="U15" s="114">
        <f t="shared" si="1"/>
        <v>5</v>
      </c>
      <c r="V15" s="147">
        <v>2</v>
      </c>
      <c r="W15" s="139">
        <f t="shared" si="2"/>
        <v>697.5</v>
      </c>
      <c r="X15" s="141">
        <v>728</v>
      </c>
      <c r="Y15" s="146">
        <v>40.11</v>
      </c>
      <c r="Z15" s="72"/>
      <c r="AA15" s="72"/>
      <c r="AB15" s="72"/>
      <c r="AC15" s="72">
        <f t="shared" si="3"/>
        <v>40.11</v>
      </c>
      <c r="AD15" s="43" t="s">
        <v>20</v>
      </c>
    </row>
    <row r="16" spans="1:34" s="43" customFormat="1" ht="51.75" customHeight="1">
      <c r="A16" s="43">
        <v>7</v>
      </c>
      <c r="B16" s="110" t="s">
        <v>91</v>
      </c>
      <c r="C16" s="111" t="s">
        <v>2</v>
      </c>
      <c r="D16" s="147">
        <v>6</v>
      </c>
      <c r="E16" s="147">
        <v>5</v>
      </c>
      <c r="F16" s="147">
        <v>1</v>
      </c>
      <c r="G16" s="115">
        <v>3</v>
      </c>
      <c r="H16" s="115">
        <v>0</v>
      </c>
      <c r="I16" s="115">
        <v>2</v>
      </c>
      <c r="J16" s="115">
        <v>2</v>
      </c>
      <c r="K16" s="115">
        <v>0</v>
      </c>
      <c r="L16" s="114">
        <f t="shared" si="4"/>
        <v>7</v>
      </c>
      <c r="M16" s="147">
        <v>3</v>
      </c>
      <c r="N16" s="147">
        <v>5</v>
      </c>
      <c r="O16" s="147">
        <v>2</v>
      </c>
      <c r="P16" s="147">
        <v>5</v>
      </c>
      <c r="Q16" s="147">
        <v>4</v>
      </c>
      <c r="R16" s="147">
        <v>1</v>
      </c>
      <c r="S16" s="115">
        <f>'inconvénient 19'!I16</f>
        <v>7</v>
      </c>
      <c r="T16" s="115">
        <f>'inconvénient 19'!V16</f>
        <v>0</v>
      </c>
      <c r="U16" s="114">
        <f t="shared" si="1"/>
        <v>7</v>
      </c>
      <c r="V16" s="147">
        <v>2</v>
      </c>
      <c r="W16" s="139">
        <f t="shared" si="2"/>
        <v>715.5</v>
      </c>
      <c r="X16" s="141">
        <v>728</v>
      </c>
      <c r="Y16" s="146">
        <v>40.11</v>
      </c>
      <c r="Z16" s="72"/>
      <c r="AA16" s="72"/>
      <c r="AB16" s="72"/>
      <c r="AC16" s="72">
        <f t="shared" si="3"/>
        <v>40.11</v>
      </c>
    </row>
    <row r="17" spans="1:29" s="43" customFormat="1" ht="51.75" customHeight="1">
      <c r="A17" s="43">
        <v>8</v>
      </c>
      <c r="B17" s="110" t="s">
        <v>71</v>
      </c>
      <c r="C17" s="111" t="s">
        <v>2</v>
      </c>
      <c r="D17" s="147">
        <v>5</v>
      </c>
      <c r="E17" s="147">
        <v>1</v>
      </c>
      <c r="F17" s="147">
        <v>5</v>
      </c>
      <c r="G17" s="115">
        <v>0</v>
      </c>
      <c r="H17" s="115">
        <v>2</v>
      </c>
      <c r="I17" s="115">
        <v>2</v>
      </c>
      <c r="J17" s="115">
        <v>0</v>
      </c>
      <c r="K17" s="115">
        <v>2</v>
      </c>
      <c r="L17" s="114">
        <f t="shared" si="4"/>
        <v>6</v>
      </c>
      <c r="M17" s="147">
        <v>2</v>
      </c>
      <c r="N17" s="147">
        <v>3</v>
      </c>
      <c r="O17" s="147">
        <v>1</v>
      </c>
      <c r="P17" s="147">
        <v>2</v>
      </c>
      <c r="Q17" s="147">
        <v>3</v>
      </c>
      <c r="R17" s="147">
        <v>3</v>
      </c>
      <c r="S17" s="115">
        <f>'inconvénient 19'!I17</f>
        <v>5</v>
      </c>
      <c r="T17" s="115">
        <f>'inconvénient 19'!V17</f>
        <v>14</v>
      </c>
      <c r="U17" s="114">
        <f t="shared" si="1"/>
        <v>19</v>
      </c>
      <c r="V17" s="147">
        <v>5</v>
      </c>
      <c r="W17" s="139">
        <f t="shared" si="2"/>
        <v>614</v>
      </c>
      <c r="X17" s="141">
        <v>632</v>
      </c>
      <c r="Y17" s="146">
        <v>32.880000000000003</v>
      </c>
      <c r="Z17" s="72"/>
      <c r="AA17" s="72"/>
      <c r="AB17" s="72"/>
      <c r="AC17" s="72">
        <f t="shared" si="3"/>
        <v>32.880000000000003</v>
      </c>
    </row>
    <row r="18" spans="1:29" s="43" customFormat="1" ht="51.75" customHeight="1">
      <c r="A18" s="43">
        <v>9</v>
      </c>
      <c r="B18" s="110" t="s">
        <v>82</v>
      </c>
      <c r="C18" s="111" t="s">
        <v>2</v>
      </c>
      <c r="D18" s="147">
        <v>2</v>
      </c>
      <c r="E18" s="147">
        <v>1</v>
      </c>
      <c r="F18" s="147">
        <v>3</v>
      </c>
      <c r="G18" s="115">
        <v>0</v>
      </c>
      <c r="H18" s="115">
        <v>2</v>
      </c>
      <c r="I18" s="115">
        <v>1</v>
      </c>
      <c r="J18" s="115">
        <v>1</v>
      </c>
      <c r="K18" s="115">
        <v>0</v>
      </c>
      <c r="L18" s="114">
        <f t="shared" si="4"/>
        <v>4</v>
      </c>
      <c r="M18" s="147">
        <v>2</v>
      </c>
      <c r="N18" s="147">
        <v>2</v>
      </c>
      <c r="O18" s="147">
        <v>1</v>
      </c>
      <c r="P18" s="147">
        <v>2</v>
      </c>
      <c r="Q18" s="147">
        <v>4</v>
      </c>
      <c r="R18" s="147">
        <v>1</v>
      </c>
      <c r="S18" s="115">
        <f>'inconvénient 19'!I18</f>
        <v>4</v>
      </c>
      <c r="T18" s="115">
        <f>'inconvénient 19'!V18</f>
        <v>0</v>
      </c>
      <c r="U18" s="114">
        <f t="shared" si="1"/>
        <v>4</v>
      </c>
      <c r="V18" s="147">
        <v>1</v>
      </c>
      <c r="W18" s="139">
        <f t="shared" si="2"/>
        <v>396</v>
      </c>
      <c r="X18" s="141">
        <v>344</v>
      </c>
      <c r="Y18" s="146">
        <v>19.690000000000001</v>
      </c>
      <c r="Z18" s="72"/>
      <c r="AA18" s="72"/>
      <c r="AB18" s="72"/>
      <c r="AC18" s="72">
        <f t="shared" si="3"/>
        <v>19.690000000000001</v>
      </c>
    </row>
    <row r="19" spans="1:29" s="43" customFormat="1" ht="51.75" customHeight="1">
      <c r="A19" s="43">
        <v>10</v>
      </c>
      <c r="B19" s="110" t="s">
        <v>78</v>
      </c>
      <c r="C19" s="111" t="s">
        <v>2</v>
      </c>
      <c r="D19" s="147">
        <v>5</v>
      </c>
      <c r="E19" s="147">
        <v>2</v>
      </c>
      <c r="F19" s="147">
        <v>2</v>
      </c>
      <c r="G19" s="115">
        <v>2</v>
      </c>
      <c r="H19" s="115">
        <v>0</v>
      </c>
      <c r="I19" s="115">
        <v>0</v>
      </c>
      <c r="J19" s="115">
        <v>2</v>
      </c>
      <c r="K19" s="115">
        <v>0</v>
      </c>
      <c r="L19" s="114">
        <f t="shared" si="4"/>
        <v>4</v>
      </c>
      <c r="M19" s="147">
        <v>2</v>
      </c>
      <c r="N19" s="147">
        <v>2</v>
      </c>
      <c r="O19" s="147">
        <v>1</v>
      </c>
      <c r="P19" s="147">
        <v>2</v>
      </c>
      <c r="Q19" s="147">
        <v>3</v>
      </c>
      <c r="R19" s="147">
        <v>1</v>
      </c>
      <c r="S19" s="115">
        <f>'inconvénient 19'!I19</f>
        <v>3</v>
      </c>
      <c r="T19" s="115">
        <f>'inconvénient 19'!V19</f>
        <v>0</v>
      </c>
      <c r="U19" s="114">
        <f t="shared" si="1"/>
        <v>3</v>
      </c>
      <c r="V19" s="147">
        <v>1</v>
      </c>
      <c r="W19" s="139">
        <f t="shared" si="2"/>
        <v>447</v>
      </c>
      <c r="X19" s="141">
        <v>440</v>
      </c>
      <c r="Y19" s="148">
        <v>21.66</v>
      </c>
      <c r="Z19" s="72"/>
      <c r="AA19" s="72"/>
      <c r="AB19" s="72"/>
      <c r="AC19" s="72">
        <f t="shared" si="3"/>
        <v>21.66</v>
      </c>
    </row>
    <row r="20" spans="1:29" s="43" customFormat="1" ht="51.75" customHeight="1">
      <c r="A20" s="43">
        <v>11</v>
      </c>
      <c r="B20" s="118" t="s">
        <v>76</v>
      </c>
      <c r="C20" s="111" t="s">
        <v>2</v>
      </c>
      <c r="D20" s="147">
        <v>5</v>
      </c>
      <c r="E20" s="147">
        <v>2</v>
      </c>
      <c r="F20" s="147">
        <v>2</v>
      </c>
      <c r="G20" s="115">
        <v>2</v>
      </c>
      <c r="H20" s="115">
        <v>0</v>
      </c>
      <c r="I20" s="115">
        <v>0</v>
      </c>
      <c r="J20" s="115">
        <v>2</v>
      </c>
      <c r="K20" s="115">
        <v>0</v>
      </c>
      <c r="L20" s="114">
        <f t="shared" si="4"/>
        <v>4</v>
      </c>
      <c r="M20" s="147">
        <v>2</v>
      </c>
      <c r="N20" s="147">
        <v>2</v>
      </c>
      <c r="O20" s="147">
        <v>1</v>
      </c>
      <c r="P20" s="147">
        <v>2</v>
      </c>
      <c r="Q20" s="147">
        <v>3</v>
      </c>
      <c r="R20" s="147">
        <v>1</v>
      </c>
      <c r="S20" s="115">
        <f>'inconvénient 19'!I20</f>
        <v>3</v>
      </c>
      <c r="T20" s="115">
        <f>'inconvénient 19'!V20</f>
        <v>0</v>
      </c>
      <c r="U20" s="114">
        <f t="shared" si="1"/>
        <v>3</v>
      </c>
      <c r="V20" s="147">
        <v>1</v>
      </c>
      <c r="W20" s="139">
        <f t="shared" si="2"/>
        <v>447</v>
      </c>
      <c r="X20" s="141">
        <v>440</v>
      </c>
      <c r="Y20" s="146">
        <v>21.66</v>
      </c>
      <c r="Z20" s="72"/>
      <c r="AA20" s="72"/>
      <c r="AB20" s="72"/>
      <c r="AC20" s="72">
        <f t="shared" si="3"/>
        <v>21.66</v>
      </c>
    </row>
    <row r="21" spans="1:29" s="43" customFormat="1" ht="51.75" customHeight="1">
      <c r="A21" s="43">
        <v>12</v>
      </c>
      <c r="B21" s="110" t="s">
        <v>89</v>
      </c>
      <c r="C21" s="111" t="s">
        <v>2</v>
      </c>
      <c r="D21" s="147">
        <v>4</v>
      </c>
      <c r="E21" s="147">
        <v>1</v>
      </c>
      <c r="F21" s="147">
        <v>2</v>
      </c>
      <c r="G21" s="115">
        <v>1</v>
      </c>
      <c r="H21" s="115">
        <v>0</v>
      </c>
      <c r="I21" s="115">
        <v>0</v>
      </c>
      <c r="J21" s="115">
        <v>1</v>
      </c>
      <c r="K21" s="115">
        <v>0</v>
      </c>
      <c r="L21" s="114">
        <f t="shared" si="4"/>
        <v>2</v>
      </c>
      <c r="M21" s="147">
        <v>1</v>
      </c>
      <c r="N21" s="147">
        <v>3</v>
      </c>
      <c r="O21" s="147">
        <v>1</v>
      </c>
      <c r="P21" s="147">
        <v>2</v>
      </c>
      <c r="Q21" s="147">
        <v>3</v>
      </c>
      <c r="R21" s="147">
        <v>1</v>
      </c>
      <c r="S21" s="115">
        <f>'inconvénient 19'!I21</f>
        <v>3</v>
      </c>
      <c r="T21" s="115">
        <f>'inconvénient 19'!V21</f>
        <v>0</v>
      </c>
      <c r="U21" s="114">
        <f t="shared" si="1"/>
        <v>3</v>
      </c>
      <c r="V21" s="147">
        <v>1</v>
      </c>
      <c r="W21" s="139">
        <f t="shared" si="2"/>
        <v>404</v>
      </c>
      <c r="X21" s="141">
        <v>440</v>
      </c>
      <c r="Y21" s="146">
        <v>21.66</v>
      </c>
      <c r="Z21" s="72"/>
      <c r="AA21" s="72"/>
      <c r="AB21" s="72"/>
      <c r="AC21" s="72">
        <f t="shared" si="3"/>
        <v>21.66</v>
      </c>
    </row>
    <row r="22" spans="1:29" s="43" customFormat="1" ht="51.75" customHeight="1">
      <c r="A22" s="43">
        <v>13</v>
      </c>
      <c r="B22" s="165" t="s">
        <v>84</v>
      </c>
      <c r="C22" s="111" t="s">
        <v>2</v>
      </c>
      <c r="D22" s="147">
        <v>4</v>
      </c>
      <c r="E22" s="147">
        <v>1</v>
      </c>
      <c r="F22" s="147">
        <v>3</v>
      </c>
      <c r="G22" s="115">
        <v>0</v>
      </c>
      <c r="H22" s="115">
        <v>0</v>
      </c>
      <c r="I22" s="115">
        <v>0</v>
      </c>
      <c r="J22" s="115">
        <v>1</v>
      </c>
      <c r="K22" s="115">
        <v>0</v>
      </c>
      <c r="L22" s="114">
        <f t="shared" si="4"/>
        <v>1</v>
      </c>
      <c r="M22" s="147">
        <v>1</v>
      </c>
      <c r="N22" s="147">
        <v>1</v>
      </c>
      <c r="O22" s="147">
        <v>1</v>
      </c>
      <c r="P22" s="147">
        <v>2</v>
      </c>
      <c r="Q22" s="147">
        <v>3</v>
      </c>
      <c r="R22" s="147">
        <v>1</v>
      </c>
      <c r="S22" s="115">
        <f>'inconvénient 19'!I22</f>
        <v>1</v>
      </c>
      <c r="T22" s="115">
        <f>'inconvénient 19'!V22</f>
        <v>0</v>
      </c>
      <c r="U22" s="114">
        <f t="shared" si="1"/>
        <v>1</v>
      </c>
      <c r="V22" s="147">
        <v>1</v>
      </c>
      <c r="W22" s="139">
        <f t="shared" si="2"/>
        <v>384</v>
      </c>
      <c r="X22" s="141">
        <v>440</v>
      </c>
      <c r="Y22" s="146">
        <v>21.66</v>
      </c>
      <c r="Z22" s="72"/>
      <c r="AA22" s="72"/>
      <c r="AB22" s="72"/>
      <c r="AC22" s="72">
        <f t="shared" si="3"/>
        <v>21.66</v>
      </c>
    </row>
    <row r="23" spans="1:29" s="43" customFormat="1" ht="51.75" customHeight="1">
      <c r="A23" s="43">
        <v>14</v>
      </c>
      <c r="B23" s="110" t="s">
        <v>81</v>
      </c>
      <c r="C23" s="111" t="s">
        <v>1</v>
      </c>
      <c r="D23" s="147">
        <v>1</v>
      </c>
      <c r="E23" s="147">
        <v>3</v>
      </c>
      <c r="F23" s="147">
        <v>3</v>
      </c>
      <c r="G23" s="115">
        <v>0</v>
      </c>
      <c r="H23" s="115">
        <v>1</v>
      </c>
      <c r="I23" s="115">
        <v>1</v>
      </c>
      <c r="J23" s="115">
        <v>0</v>
      </c>
      <c r="K23" s="115">
        <v>2</v>
      </c>
      <c r="L23" s="114">
        <f t="shared" si="4"/>
        <v>4</v>
      </c>
      <c r="M23" s="147">
        <v>2</v>
      </c>
      <c r="N23" s="147">
        <v>1</v>
      </c>
      <c r="O23" s="147">
        <v>1</v>
      </c>
      <c r="P23" s="147">
        <v>2</v>
      </c>
      <c r="Q23" s="147">
        <v>2</v>
      </c>
      <c r="R23" s="147">
        <v>4</v>
      </c>
      <c r="S23" s="115">
        <f>'inconvénient 19'!I23</f>
        <v>2</v>
      </c>
      <c r="T23" s="115">
        <f>'inconvénient 19'!V23</f>
        <v>12</v>
      </c>
      <c r="U23" s="114">
        <f t="shared" si="1"/>
        <v>14</v>
      </c>
      <c r="V23" s="147">
        <v>4</v>
      </c>
      <c r="W23" s="139">
        <f t="shared" si="2"/>
        <v>458.5</v>
      </c>
      <c r="X23" s="141">
        <v>536</v>
      </c>
      <c r="Y23" s="146">
        <v>24.9</v>
      </c>
      <c r="Z23" s="72"/>
      <c r="AA23" s="72"/>
      <c r="AB23" s="72"/>
      <c r="AC23" s="72">
        <f t="shared" si="3"/>
        <v>24.9</v>
      </c>
    </row>
    <row r="24" spans="1:29" s="43" customFormat="1" ht="51.75" customHeight="1">
      <c r="A24" s="43">
        <v>15</v>
      </c>
      <c r="B24" s="118" t="s">
        <v>74</v>
      </c>
      <c r="C24" s="111" t="s">
        <v>1</v>
      </c>
      <c r="D24" s="147">
        <v>6</v>
      </c>
      <c r="E24" s="147">
        <v>5</v>
      </c>
      <c r="F24" s="147">
        <v>1</v>
      </c>
      <c r="G24" s="115">
        <v>3</v>
      </c>
      <c r="H24" s="115">
        <v>0</v>
      </c>
      <c r="I24" s="115">
        <v>1</v>
      </c>
      <c r="J24" s="115">
        <v>3</v>
      </c>
      <c r="K24" s="115">
        <v>0</v>
      </c>
      <c r="L24" s="114">
        <f t="shared" si="4"/>
        <v>7</v>
      </c>
      <c r="M24" s="147">
        <v>3</v>
      </c>
      <c r="N24" s="147">
        <v>5</v>
      </c>
      <c r="O24" s="147">
        <v>4</v>
      </c>
      <c r="P24" s="147">
        <v>5</v>
      </c>
      <c r="Q24" s="147">
        <v>4</v>
      </c>
      <c r="R24" s="147">
        <v>1</v>
      </c>
      <c r="S24" s="115">
        <f>'inconvénient 19'!I24</f>
        <v>4</v>
      </c>
      <c r="T24" s="115">
        <f>'inconvénient 19'!V24</f>
        <v>0</v>
      </c>
      <c r="U24" s="114">
        <f t="shared" si="1"/>
        <v>4</v>
      </c>
      <c r="V24" s="147">
        <v>1</v>
      </c>
      <c r="W24" s="139">
        <f t="shared" si="2"/>
        <v>732.5</v>
      </c>
      <c r="X24" s="141">
        <v>728</v>
      </c>
      <c r="Y24" s="146">
        <v>40.11</v>
      </c>
      <c r="Z24" s="72"/>
      <c r="AA24" s="72"/>
      <c r="AB24" s="72"/>
      <c r="AC24" s="72">
        <f t="shared" si="3"/>
        <v>40.11</v>
      </c>
    </row>
    <row r="25" spans="1:29" s="43" customFormat="1" ht="51.75" customHeight="1">
      <c r="A25" s="43">
        <v>16</v>
      </c>
      <c r="B25" s="118" t="s">
        <v>101</v>
      </c>
      <c r="C25" s="111" t="s">
        <v>40</v>
      </c>
      <c r="D25" s="147">
        <v>5</v>
      </c>
      <c r="E25" s="147">
        <v>2</v>
      </c>
      <c r="F25" s="147">
        <v>3</v>
      </c>
      <c r="G25" s="166">
        <v>1</v>
      </c>
      <c r="H25" s="166">
        <v>2</v>
      </c>
      <c r="I25" s="166">
        <v>1</v>
      </c>
      <c r="J25" s="166">
        <v>0</v>
      </c>
      <c r="K25" s="166">
        <v>1</v>
      </c>
      <c r="L25" s="164">
        <f t="shared" si="4"/>
        <v>5</v>
      </c>
      <c r="M25" s="147">
        <v>2</v>
      </c>
      <c r="N25" s="147">
        <v>3</v>
      </c>
      <c r="O25" s="147">
        <v>2</v>
      </c>
      <c r="P25" s="147">
        <v>2</v>
      </c>
      <c r="Q25" s="147">
        <v>3</v>
      </c>
      <c r="R25" s="147">
        <v>3</v>
      </c>
      <c r="S25" s="166">
        <f>'inconvénient 19'!I107</f>
        <v>5</v>
      </c>
      <c r="T25" s="166">
        <f>'inconvénient 19'!V107</f>
        <v>14</v>
      </c>
      <c r="U25" s="164">
        <f t="shared" si="1"/>
        <v>19</v>
      </c>
      <c r="V25" s="147">
        <v>5</v>
      </c>
      <c r="W25" s="139">
        <f t="shared" si="2"/>
        <v>615.5</v>
      </c>
      <c r="X25" s="141">
        <v>728</v>
      </c>
      <c r="Y25" s="146">
        <v>40.11</v>
      </c>
      <c r="Z25" s="72"/>
      <c r="AA25" s="72"/>
      <c r="AB25" s="72"/>
      <c r="AC25" s="72">
        <f t="shared" si="3"/>
        <v>40.11</v>
      </c>
    </row>
    <row r="26" spans="1:29">
      <c r="D26" s="71"/>
      <c r="E26" s="71"/>
      <c r="F26" s="71"/>
      <c r="G26" s="71"/>
      <c r="H26" s="71"/>
      <c r="I26" s="71"/>
      <c r="J26" s="71"/>
      <c r="K26" s="71"/>
      <c r="L26" s="71"/>
      <c r="M26" s="71"/>
      <c r="N26" s="71"/>
      <c r="O26" s="71"/>
      <c r="P26" s="71"/>
      <c r="Q26" s="71"/>
      <c r="R26" s="71"/>
      <c r="S26" s="71"/>
      <c r="T26" s="71"/>
      <c r="U26" s="71"/>
      <c r="V26" s="71"/>
    </row>
    <row r="27" spans="1:29">
      <c r="D27" s="71"/>
      <c r="E27" s="71"/>
      <c r="F27" s="71"/>
      <c r="G27" s="71"/>
      <c r="H27" s="71"/>
      <c r="I27" s="71"/>
      <c r="J27" s="71"/>
      <c r="K27" s="71"/>
      <c r="L27" s="71"/>
      <c r="M27" s="71"/>
      <c r="N27" s="71"/>
      <c r="O27" s="71"/>
      <c r="P27" s="71"/>
      <c r="Q27" s="71"/>
      <c r="R27" s="71"/>
      <c r="S27" s="71"/>
      <c r="T27" s="71"/>
      <c r="U27" s="71"/>
      <c r="V27" s="71"/>
    </row>
    <row r="28" spans="1:29">
      <c r="D28" s="71"/>
      <c r="E28" s="71"/>
      <c r="F28" s="71"/>
      <c r="G28" s="71"/>
      <c r="H28" s="71"/>
      <c r="I28" s="71"/>
      <c r="J28" s="71"/>
      <c r="K28" s="71"/>
      <c r="L28" s="71"/>
      <c r="M28" s="71"/>
      <c r="N28" s="71"/>
      <c r="O28" s="71"/>
      <c r="P28" s="71"/>
      <c r="Q28" s="71"/>
      <c r="R28" s="71"/>
      <c r="S28" s="71"/>
      <c r="T28" s="71"/>
      <c r="U28" s="71"/>
      <c r="V28" s="71"/>
    </row>
    <row r="29" spans="1:29">
      <c r="D29" s="71"/>
      <c r="E29" s="71"/>
      <c r="F29" s="71"/>
      <c r="G29" s="71"/>
      <c r="H29" s="71"/>
      <c r="I29" s="71"/>
      <c r="J29" s="71"/>
      <c r="K29" s="71"/>
      <c r="L29" s="71"/>
      <c r="M29" s="71"/>
      <c r="N29" s="71"/>
      <c r="O29" s="71"/>
      <c r="P29" s="71"/>
      <c r="Q29" s="71"/>
      <c r="R29" s="71"/>
      <c r="S29" s="71"/>
      <c r="T29" s="71"/>
      <c r="U29" s="71"/>
      <c r="V29" s="71"/>
    </row>
    <row r="30" spans="1:29">
      <c r="D30" s="71"/>
      <c r="E30" s="71"/>
      <c r="F30" s="71"/>
      <c r="G30" s="71"/>
      <c r="H30" s="71"/>
      <c r="I30" s="71"/>
      <c r="J30" s="71"/>
      <c r="K30" s="71"/>
      <c r="L30" s="71"/>
      <c r="M30" s="71"/>
      <c r="N30" s="71"/>
      <c r="O30" s="71"/>
      <c r="P30" s="71"/>
      <c r="Q30" s="71"/>
      <c r="R30" s="71"/>
      <c r="S30" s="71"/>
      <c r="T30" s="71"/>
      <c r="U30" s="71"/>
      <c r="V30" s="71"/>
    </row>
    <row r="31" spans="1:29">
      <c r="D31" s="71"/>
      <c r="E31" s="71"/>
      <c r="F31" s="71"/>
      <c r="G31" s="71"/>
      <c r="H31" s="71"/>
      <c r="I31" s="71"/>
      <c r="J31" s="71"/>
      <c r="K31" s="71"/>
      <c r="L31" s="71"/>
      <c r="M31" s="71"/>
      <c r="N31" s="71"/>
      <c r="O31" s="71"/>
      <c r="P31" s="71"/>
      <c r="Q31" s="71"/>
      <c r="R31" s="71"/>
      <c r="S31" s="71"/>
      <c r="T31" s="71"/>
      <c r="U31" s="71"/>
      <c r="V31" s="71"/>
    </row>
    <row r="32" spans="1:29">
      <c r="D32" s="71"/>
      <c r="E32" s="71"/>
      <c r="F32" s="71"/>
      <c r="G32" s="71"/>
      <c r="H32" s="71"/>
      <c r="I32" s="71"/>
      <c r="J32" s="71"/>
      <c r="K32" s="71"/>
      <c r="L32" s="71"/>
      <c r="M32" s="71"/>
      <c r="N32" s="71"/>
      <c r="O32" s="71"/>
      <c r="P32" s="71"/>
      <c r="Q32" s="71"/>
      <c r="R32" s="71"/>
      <c r="S32" s="71"/>
      <c r="T32" s="71"/>
      <c r="U32" s="71"/>
      <c r="V32" s="71"/>
    </row>
    <row r="33" spans="4:22">
      <c r="D33" s="71"/>
      <c r="E33" s="71"/>
      <c r="F33" s="71"/>
      <c r="G33" s="71"/>
      <c r="H33" s="71"/>
      <c r="I33" s="71"/>
      <c r="J33" s="71"/>
      <c r="K33" s="71"/>
      <c r="L33" s="71"/>
      <c r="M33" s="71"/>
      <c r="N33" s="71"/>
      <c r="O33" s="71"/>
      <c r="P33" s="71"/>
      <c r="Q33" s="71"/>
      <c r="R33" s="71"/>
      <c r="S33" s="71"/>
      <c r="T33" s="71"/>
      <c r="U33" s="71"/>
      <c r="V33" s="71"/>
    </row>
    <row r="34" spans="4:22">
      <c r="D34" s="71"/>
      <c r="E34" s="71"/>
      <c r="F34" s="71"/>
      <c r="G34" s="71"/>
      <c r="H34" s="71"/>
      <c r="I34" s="71"/>
      <c r="J34" s="71"/>
      <c r="K34" s="71"/>
      <c r="L34" s="71"/>
      <c r="M34" s="71"/>
      <c r="N34" s="71"/>
      <c r="O34" s="71"/>
      <c r="P34" s="71"/>
      <c r="Q34" s="71"/>
      <c r="R34" s="71"/>
      <c r="S34" s="71"/>
      <c r="T34" s="71"/>
      <c r="U34" s="71"/>
      <c r="V34" s="71"/>
    </row>
    <row r="35" spans="4:22">
      <c r="D35" s="71"/>
      <c r="E35" s="71"/>
      <c r="F35" s="71"/>
      <c r="G35" s="71"/>
      <c r="H35" s="71"/>
      <c r="I35" s="71"/>
      <c r="J35" s="71"/>
      <c r="K35" s="71"/>
      <c r="L35" s="71"/>
      <c r="M35" s="71"/>
      <c r="N35" s="71"/>
      <c r="O35" s="71"/>
      <c r="P35" s="71"/>
      <c r="Q35" s="71"/>
      <c r="R35" s="71"/>
      <c r="S35" s="71"/>
      <c r="T35" s="71"/>
      <c r="U35" s="71"/>
      <c r="V35" s="71"/>
    </row>
    <row r="36" spans="4:22">
      <c r="D36" s="71"/>
      <c r="E36" s="71"/>
      <c r="F36" s="71"/>
      <c r="G36" s="71"/>
      <c r="H36" s="71"/>
      <c r="I36" s="71"/>
      <c r="J36" s="71"/>
      <c r="K36" s="71"/>
      <c r="L36" s="71"/>
      <c r="M36" s="71"/>
      <c r="N36" s="71"/>
      <c r="O36" s="71"/>
      <c r="P36" s="71"/>
      <c r="Q36" s="71"/>
      <c r="R36" s="71"/>
      <c r="S36" s="71"/>
      <c r="T36" s="71"/>
      <c r="U36" s="71"/>
      <c r="V36" s="71"/>
    </row>
    <row r="37" spans="4:22">
      <c r="D37" s="71"/>
      <c r="E37" s="71"/>
      <c r="F37" s="71"/>
      <c r="G37" s="71"/>
      <c r="H37" s="71"/>
      <c r="I37" s="71"/>
      <c r="J37" s="71"/>
      <c r="K37" s="71"/>
      <c r="L37" s="71"/>
      <c r="M37" s="71"/>
      <c r="N37" s="71"/>
      <c r="O37" s="71"/>
      <c r="P37" s="71"/>
      <c r="Q37" s="71"/>
      <c r="R37" s="71"/>
      <c r="S37" s="71"/>
      <c r="T37" s="71"/>
      <c r="U37" s="71"/>
      <c r="V37" s="71"/>
    </row>
    <row r="38" spans="4:22">
      <c r="D38" s="71"/>
      <c r="E38" s="71"/>
      <c r="F38" s="71"/>
      <c r="G38" s="71"/>
      <c r="H38" s="71"/>
      <c r="I38" s="71"/>
      <c r="J38" s="71"/>
      <c r="K38" s="71"/>
      <c r="L38" s="71"/>
      <c r="M38" s="71"/>
      <c r="N38" s="71"/>
      <c r="O38" s="71"/>
      <c r="P38" s="71"/>
      <c r="Q38" s="71"/>
      <c r="R38" s="71"/>
      <c r="S38" s="71"/>
      <c r="T38" s="71"/>
      <c r="U38" s="71"/>
      <c r="V38" s="71"/>
    </row>
    <row r="39" spans="4:22">
      <c r="D39" s="71"/>
      <c r="E39" s="71"/>
      <c r="F39" s="71"/>
      <c r="G39" s="71"/>
      <c r="H39" s="71"/>
      <c r="I39" s="71"/>
      <c r="J39" s="71"/>
      <c r="K39" s="71"/>
      <c r="L39" s="71"/>
      <c r="M39" s="71"/>
      <c r="N39" s="71"/>
      <c r="O39" s="71"/>
      <c r="P39" s="71"/>
      <c r="Q39" s="71"/>
      <c r="R39" s="71"/>
      <c r="S39" s="71"/>
      <c r="T39" s="71"/>
      <c r="U39" s="71"/>
      <c r="V39" s="71"/>
    </row>
    <row r="40" spans="4:22">
      <c r="D40" s="71"/>
      <c r="E40" s="71"/>
      <c r="F40" s="71"/>
      <c r="G40" s="71"/>
      <c r="H40" s="71"/>
      <c r="I40" s="71"/>
      <c r="J40" s="71"/>
      <c r="K40" s="71"/>
      <c r="L40" s="71"/>
      <c r="M40" s="71"/>
      <c r="N40" s="71"/>
      <c r="O40" s="71"/>
      <c r="P40" s="71"/>
      <c r="Q40" s="71"/>
      <c r="R40" s="71"/>
      <c r="S40" s="71"/>
      <c r="T40" s="71"/>
      <c r="U40" s="71"/>
      <c r="V40" s="71"/>
    </row>
    <row r="41" spans="4:22">
      <c r="D41" s="71"/>
      <c r="E41" s="71"/>
      <c r="F41" s="71"/>
      <c r="G41" s="71"/>
      <c r="H41" s="71"/>
      <c r="I41" s="71"/>
      <c r="J41" s="71"/>
      <c r="K41" s="71"/>
      <c r="L41" s="71"/>
      <c r="M41" s="71"/>
      <c r="N41" s="71"/>
      <c r="O41" s="71"/>
      <c r="P41" s="71"/>
      <c r="Q41" s="71"/>
      <c r="R41" s="71"/>
      <c r="S41" s="71"/>
      <c r="T41" s="71"/>
      <c r="U41" s="71"/>
      <c r="V41" s="71"/>
    </row>
    <row r="42" spans="4:22">
      <c r="D42" s="71"/>
      <c r="E42" s="71"/>
      <c r="F42" s="71"/>
      <c r="G42" s="71"/>
      <c r="H42" s="71"/>
      <c r="I42" s="71"/>
      <c r="J42" s="71"/>
      <c r="K42" s="71"/>
      <c r="L42" s="71"/>
      <c r="M42" s="71"/>
      <c r="N42" s="71"/>
      <c r="O42" s="71"/>
      <c r="P42" s="71"/>
      <c r="Q42" s="71"/>
      <c r="R42" s="71"/>
      <c r="S42" s="71"/>
      <c r="T42" s="71"/>
      <c r="U42" s="71"/>
      <c r="V42" s="71"/>
    </row>
    <row r="43" spans="4:22">
      <c r="D43" s="71"/>
      <c r="E43" s="71"/>
      <c r="F43" s="71"/>
      <c r="G43" s="71"/>
      <c r="H43" s="71"/>
      <c r="I43" s="71"/>
      <c r="J43" s="71"/>
      <c r="K43" s="71"/>
      <c r="L43" s="71"/>
      <c r="M43" s="71"/>
      <c r="N43" s="71"/>
      <c r="O43" s="71"/>
      <c r="P43" s="71"/>
      <c r="Q43" s="71"/>
      <c r="R43" s="71"/>
      <c r="S43" s="71"/>
      <c r="T43" s="71"/>
      <c r="U43" s="71"/>
      <c r="V43" s="71"/>
    </row>
    <row r="44" spans="4:22">
      <c r="D44" s="71"/>
      <c r="E44" s="71"/>
      <c r="F44" s="71"/>
      <c r="G44" s="71"/>
      <c r="H44" s="71"/>
      <c r="I44" s="71"/>
      <c r="J44" s="71"/>
      <c r="K44" s="71"/>
      <c r="L44" s="71"/>
      <c r="M44" s="71"/>
      <c r="N44" s="71"/>
      <c r="O44" s="71"/>
      <c r="P44" s="71"/>
      <c r="Q44" s="71"/>
      <c r="R44" s="71"/>
      <c r="S44" s="71"/>
      <c r="T44" s="71"/>
      <c r="U44" s="71"/>
      <c r="V44" s="71"/>
    </row>
    <row r="45" spans="4:22">
      <c r="D45" s="71"/>
      <c r="E45" s="71"/>
      <c r="F45" s="71"/>
      <c r="G45" s="71"/>
      <c r="H45" s="71"/>
      <c r="I45" s="71"/>
      <c r="J45" s="71"/>
      <c r="K45" s="71"/>
      <c r="L45" s="71"/>
      <c r="M45" s="71"/>
      <c r="N45" s="71"/>
      <c r="O45" s="71"/>
      <c r="P45" s="71"/>
      <c r="Q45" s="71"/>
      <c r="R45" s="71"/>
      <c r="S45" s="71"/>
      <c r="T45" s="71"/>
      <c r="U45" s="71"/>
      <c r="V45" s="71"/>
    </row>
    <row r="46" spans="4:22">
      <c r="D46" s="71"/>
      <c r="E46" s="71"/>
      <c r="F46" s="71"/>
      <c r="G46" s="71"/>
      <c r="H46" s="71"/>
      <c r="I46" s="71"/>
      <c r="J46" s="71"/>
      <c r="K46" s="71"/>
      <c r="L46" s="71"/>
      <c r="M46" s="71"/>
      <c r="N46" s="71"/>
      <c r="O46" s="71"/>
      <c r="P46" s="71"/>
      <c r="Q46" s="71"/>
      <c r="R46" s="71"/>
      <c r="S46" s="71"/>
      <c r="T46" s="71"/>
      <c r="U46" s="71"/>
      <c r="V46" s="71"/>
    </row>
    <row r="47" spans="4:22">
      <c r="D47" s="71"/>
      <c r="E47" s="71"/>
      <c r="F47" s="71"/>
      <c r="G47" s="71"/>
      <c r="H47" s="71"/>
      <c r="I47" s="71"/>
      <c r="J47" s="71"/>
      <c r="K47" s="71"/>
      <c r="L47" s="71"/>
      <c r="M47" s="71"/>
      <c r="N47" s="71"/>
      <c r="O47" s="71"/>
      <c r="P47" s="71"/>
      <c r="Q47" s="71"/>
      <c r="R47" s="71"/>
      <c r="S47" s="71"/>
      <c r="T47" s="71"/>
      <c r="U47" s="71"/>
      <c r="V47" s="71"/>
    </row>
    <row r="48" spans="4:22">
      <c r="D48" s="71"/>
      <c r="E48" s="71"/>
      <c r="F48" s="71"/>
      <c r="G48" s="71"/>
      <c r="H48" s="71"/>
      <c r="I48" s="71"/>
      <c r="J48" s="71"/>
      <c r="K48" s="71"/>
      <c r="L48" s="71"/>
      <c r="M48" s="71"/>
      <c r="N48" s="71"/>
      <c r="O48" s="71"/>
      <c r="P48" s="71"/>
      <c r="Q48" s="71"/>
      <c r="R48" s="71"/>
      <c r="S48" s="71"/>
      <c r="T48" s="71"/>
      <c r="U48" s="71"/>
      <c r="V48" s="71"/>
    </row>
    <row r="49" spans="4:22">
      <c r="D49" s="71"/>
      <c r="E49" s="71"/>
      <c r="F49" s="71"/>
      <c r="G49" s="71"/>
      <c r="H49" s="71"/>
      <c r="I49" s="71"/>
      <c r="J49" s="71"/>
      <c r="K49" s="71"/>
      <c r="L49" s="71"/>
      <c r="M49" s="71"/>
      <c r="N49" s="71"/>
      <c r="O49" s="71"/>
      <c r="P49" s="71"/>
      <c r="Q49" s="71"/>
      <c r="R49" s="71"/>
      <c r="S49" s="71"/>
      <c r="T49" s="71"/>
      <c r="U49" s="71"/>
      <c r="V49" s="71"/>
    </row>
  </sheetData>
  <sheetProtection selectLockedCells="1" sort="0"/>
  <mergeCells count="8">
    <mergeCell ref="W3:W4"/>
    <mergeCell ref="G4:M4"/>
    <mergeCell ref="S4:V4"/>
    <mergeCell ref="C6:C8"/>
    <mergeCell ref="D3:F3"/>
    <mergeCell ref="G3:O3"/>
    <mergeCell ref="P3:R3"/>
    <mergeCell ref="S3:V3"/>
  </mergeCells>
  <conditionalFormatting sqref="W6">
    <cfRule type="expression" priority="63">
      <formula>IF(W7=1000,"vrai","----&gt;")</formula>
    </cfRule>
  </conditionalFormatting>
  <conditionalFormatting sqref="W7">
    <cfRule type="expression" dxfId="181" priority="62">
      <formula>IF(W7&lt;&gt;$W$5,"vrai",)</formula>
    </cfRule>
  </conditionalFormatting>
  <conditionalFormatting sqref="W8">
    <cfRule type="expression" dxfId="180" priority="61">
      <formula>IF(W8&lt;&gt;1,"vrai",)</formula>
    </cfRule>
  </conditionalFormatting>
  <conditionalFormatting sqref="L9:L11 U9:U11 U14:U25 L14:L25">
    <cfRule type="expression" dxfId="179" priority="60">
      <formula>IF($E9&gt;0,"vrai")</formula>
    </cfRule>
  </conditionalFormatting>
  <conditionalFormatting sqref="C9:C11 C14:C25">
    <cfRule type="expression" dxfId="178" priority="46">
      <formula>IF(OR(C9=f,C9=m,C9=n),"vrai",)</formula>
    </cfRule>
  </conditionalFormatting>
  <conditionalFormatting sqref="B10:B11">
    <cfRule type="expression" dxfId="177" priority="40">
      <formula>IF(C10="h",TRUE,)</formula>
    </cfRule>
    <cfRule type="cellIs" dxfId="176" priority="41" operator="equal">
      <formula>"""h"""</formula>
    </cfRule>
    <cfRule type="cellIs" dxfId="175" priority="42" operator="equal">
      <formula>"""h"""</formula>
    </cfRule>
  </conditionalFormatting>
  <conditionalFormatting sqref="B10 B14:B16">
    <cfRule type="expression" dxfId="174" priority="43">
      <formula>IF(C11="h",TRUE,)</formula>
    </cfRule>
    <cfRule type="cellIs" dxfId="173" priority="44" operator="equal">
      <formula>"""h"""</formula>
    </cfRule>
    <cfRule type="cellIs" dxfId="172" priority="45" operator="equal">
      <formula>"""h"""</formula>
    </cfRule>
  </conditionalFormatting>
  <conditionalFormatting sqref="B14:B16">
    <cfRule type="expression" dxfId="171" priority="47">
      <formula>IF(C17="h",TRUE,)</formula>
    </cfRule>
    <cfRule type="cellIs" dxfId="170" priority="48" operator="equal">
      <formula>"""h"""</formula>
    </cfRule>
    <cfRule type="cellIs" dxfId="169" priority="49" operator="equal">
      <formula>"""h"""</formula>
    </cfRule>
  </conditionalFormatting>
  <conditionalFormatting sqref="B17:B18">
    <cfRule type="expression" dxfId="168" priority="50">
      <formula>IF(C15="h",TRUE,)</formula>
    </cfRule>
    <cfRule type="cellIs" dxfId="167" priority="51" operator="equal">
      <formula>"""h"""</formula>
    </cfRule>
    <cfRule type="cellIs" dxfId="166" priority="52" operator="equal">
      <formula>"""h"""</formula>
    </cfRule>
  </conditionalFormatting>
  <conditionalFormatting sqref="B18:B19">
    <cfRule type="expression" dxfId="165" priority="53">
      <formula>IF(C17="h",TRUE,)</formula>
    </cfRule>
    <cfRule type="cellIs" dxfId="164" priority="54" operator="equal">
      <formula>"""h"""</formula>
    </cfRule>
    <cfRule type="cellIs" dxfId="163" priority="55" operator="equal">
      <formula>"""h"""</formula>
    </cfRule>
  </conditionalFormatting>
  <conditionalFormatting sqref="X6:X7">
    <cfRule type="expression" priority="64">
      <formula>IF(#REF!=1000,"vrai","----&gt;")</formula>
    </cfRule>
  </conditionalFormatting>
  <conditionalFormatting sqref="B9">
    <cfRule type="expression" dxfId="162" priority="1725">
      <formula>IF(#REF!="h",TRUE,)</formula>
    </cfRule>
    <cfRule type="cellIs" dxfId="161" priority="1726" operator="equal">
      <formula>"""h"""</formula>
    </cfRule>
    <cfRule type="cellIs" dxfId="160" priority="1727" operator="equal">
      <formula>"""h"""</formula>
    </cfRule>
  </conditionalFormatting>
  <conditionalFormatting sqref="W9:W11 W14:W25">
    <cfRule type="expression" dxfId="159" priority="1730">
      <formula>IF($W$9=0,"vrai")</formula>
    </cfRule>
    <cfRule type="duplicateValues" dxfId="158" priority="1731"/>
  </conditionalFormatting>
  <conditionalFormatting sqref="B11:B12">
    <cfRule type="expression" dxfId="157" priority="1738">
      <formula>IF(C14="h",TRUE,)</formula>
    </cfRule>
    <cfRule type="cellIs" dxfId="156" priority="1739" operator="equal">
      <formula>"""h"""</formula>
    </cfRule>
    <cfRule type="cellIs" dxfId="155" priority="1740" operator="equal">
      <formula>"""h"""</formula>
    </cfRule>
  </conditionalFormatting>
  <conditionalFormatting sqref="B10:B12">
    <cfRule type="expression" dxfId="154" priority="1741">
      <formula>IF(C15="h",TRUE,)</formula>
    </cfRule>
    <cfRule type="cellIs" dxfId="153" priority="1742" operator="equal">
      <formula>"""h"""</formula>
    </cfRule>
    <cfRule type="cellIs" dxfId="152" priority="1743" operator="equal">
      <formula>"""h"""</formula>
    </cfRule>
  </conditionalFormatting>
  <conditionalFormatting sqref="L12 U12">
    <cfRule type="expression" dxfId="151" priority="18">
      <formula>IF($E12&gt;0,"vrai")</formula>
    </cfRule>
  </conditionalFormatting>
  <conditionalFormatting sqref="C12">
    <cfRule type="expression" dxfId="150" priority="17">
      <formula>IF(OR(C12=f,C12=m,C12=n),"vrai",)</formula>
    </cfRule>
  </conditionalFormatting>
  <conditionalFormatting sqref="B12">
    <cfRule type="expression" dxfId="149" priority="14">
      <formula>IF(C12="h",TRUE,)</formula>
    </cfRule>
    <cfRule type="cellIs" dxfId="148" priority="15" operator="equal">
      <formula>"""h"""</formula>
    </cfRule>
    <cfRule type="cellIs" dxfId="147" priority="16" operator="equal">
      <formula>"""h"""</formula>
    </cfRule>
  </conditionalFormatting>
  <conditionalFormatting sqref="B13">
    <cfRule type="expression" dxfId="146" priority="8">
      <formula>IF(C16="h",TRUE,)</formula>
    </cfRule>
    <cfRule type="cellIs" dxfId="145" priority="9" operator="equal">
      <formula>"""h"""</formula>
    </cfRule>
    <cfRule type="cellIs" dxfId="144" priority="10" operator="equal">
      <formula>"""h"""</formula>
    </cfRule>
  </conditionalFormatting>
  <conditionalFormatting sqref="B13">
    <cfRule type="expression" dxfId="143" priority="11">
      <formula>IF(C18="h",TRUE,)</formula>
    </cfRule>
    <cfRule type="cellIs" dxfId="142" priority="12" operator="equal">
      <formula>"""h"""</formula>
    </cfRule>
    <cfRule type="cellIs" dxfId="141" priority="13" operator="equal">
      <formula>"""h"""</formula>
    </cfRule>
  </conditionalFormatting>
  <conditionalFormatting sqref="L13 U13">
    <cfRule type="expression" dxfId="140" priority="5">
      <formula>IF($E13&gt;0,"vrai")</formula>
    </cfRule>
  </conditionalFormatting>
  <conditionalFormatting sqref="C13">
    <cfRule type="expression" dxfId="139" priority="4">
      <formula>IF(OR(C13=f,C13=m,C13=n),"vrai",)</formula>
    </cfRule>
  </conditionalFormatting>
  <conditionalFormatting sqref="B13">
    <cfRule type="expression" dxfId="138" priority="1">
      <formula>IF(C13="h",TRUE,)</formula>
    </cfRule>
    <cfRule type="cellIs" dxfId="137" priority="2" operator="equal">
      <formula>"""h"""</formula>
    </cfRule>
    <cfRule type="cellIs" dxfId="136" priority="3" operator="equal">
      <formula>"""h"""</formula>
    </cfRule>
  </conditionalFormatting>
  <conditionalFormatting sqref="W13">
    <cfRule type="expression" dxfId="135" priority="6">
      <formula>IF($W$9=0,"vrai")</formula>
    </cfRule>
    <cfRule type="duplicateValues" dxfId="134" priority="7"/>
  </conditionalFormatting>
  <conditionalFormatting sqref="W12">
    <cfRule type="expression" dxfId="133" priority="1749">
      <formula>IF($W$9=0,"vrai")</formula>
    </cfRule>
    <cfRule type="duplicateValues" dxfId="132" priority="1750"/>
  </conditionalFormatting>
  <dataValidations xWindow="397" yWindow="923" count="7">
    <dataValidation type="whole" operator="equal" allowBlank="1" showInputMessage="1" showErrorMessage="1" error="Doit être égal à 1000" sqref="W7" xr:uid="{00000000-0002-0000-0100-000000000000}">
      <formula1>1000</formula1>
    </dataValidation>
    <dataValidation type="whole" operator="greaterThanOrEqual" allowBlank="1" showInputMessage="1" showErrorMessage="1" error="Minimum 1" sqref="V6 M6:S6 D6:F6" xr:uid="{00000000-0002-0000-0100-000001000000}">
      <formula1>1</formula1>
    </dataValidation>
    <dataValidation type="whole" allowBlank="1" showInputMessage="1" showErrorMessage="1" error="nécessite un chiffre entre 1_x000a_ et le maximun del'échelle" sqref="D9:F25" xr:uid="{00000000-0002-0000-0100-000002000000}">
      <formula1>1</formula1>
      <formula2>D$6</formula2>
    </dataValidation>
    <dataValidation type="list" allowBlank="1" showDropDown="1" showInputMessage="1" showErrorMessage="1" error="F ou M ou Z" prompt="F ou M ou Z" sqref="C9:C25" xr:uid="{00000000-0002-0000-0100-000003000000}">
      <formula1>$B$3:$B$4</formula1>
    </dataValidation>
    <dataValidation type="whole" allowBlank="1" showInputMessage="1" showErrorMessage="1" sqref="V9:V25 P9:R25 N9:N25" xr:uid="{00000000-0002-0000-0100-000004000000}">
      <formula1>1</formula1>
      <formula2>N$6</formula2>
    </dataValidation>
    <dataValidation type="whole" allowBlank="1" showInputMessage="1" showErrorMessage="1" error="nécessite un chiffre entre 1_x000a_ et le maximun del'échelle" sqref="M9:M25" xr:uid="{00000000-0002-0000-0100-000005000000}">
      <formula1>0</formula1>
      <formula2>M$6</formula2>
    </dataValidation>
    <dataValidation type="whole" allowBlank="1" showInputMessage="1" showErrorMessage="1" sqref="O9:O25" xr:uid="{00000000-0002-0000-0100-000006000000}">
      <formula1>0</formula1>
      <formula2>O$6</formula2>
    </dataValidation>
  </dataValidations>
  <pageMargins left="0" right="0" top="0" bottom="0" header="0.31496062992125984" footer="0.31496062992125984"/>
  <pageSetup paperSize="5" scale="33" fitToHeight="3" orientation="landscape" cellComments="asDisplayed"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108"/>
  <sheetViews>
    <sheetView zoomScale="70" zoomScaleNormal="70" workbookViewId="0">
      <selection activeCell="S23" sqref="S23"/>
    </sheetView>
  </sheetViews>
  <sheetFormatPr defaultColWidth="11.42578125" defaultRowHeight="21"/>
  <cols>
    <col min="1" max="1" width="6.5703125" style="40" customWidth="1"/>
    <col min="2" max="2" width="69.28515625" style="40" customWidth="1"/>
    <col min="3" max="3" width="7.5703125" style="40" customWidth="1"/>
    <col min="4" max="7" width="5.7109375" style="40" customWidth="1"/>
    <col min="8" max="8" width="7.28515625" style="40" customWidth="1"/>
    <col min="9" max="9" width="7.28515625" style="44" customWidth="1"/>
    <col min="10" max="10" width="5.7109375" style="40" customWidth="1"/>
    <col min="11" max="11" width="63" style="40" customWidth="1"/>
    <col min="12" max="12" width="9.28515625" style="40" customWidth="1"/>
    <col min="13" max="13" width="7.7109375" style="40" customWidth="1"/>
    <col min="14" max="21" width="6.7109375" style="40" customWidth="1"/>
    <col min="22" max="22" width="8.28515625" style="44" customWidth="1"/>
    <col min="23" max="16384" width="11.42578125" style="40"/>
  </cols>
  <sheetData>
    <row r="1" spans="1:22" ht="26.25">
      <c r="B1" s="26" t="s">
        <v>35</v>
      </c>
      <c r="C1" s="26"/>
      <c r="D1" s="26"/>
      <c r="E1" s="26"/>
      <c r="F1" s="26"/>
      <c r="G1" s="26"/>
      <c r="H1" s="26"/>
      <c r="J1" s="26"/>
    </row>
    <row r="2" spans="1:22" ht="15.75" customHeight="1">
      <c r="B2" s="26"/>
      <c r="C2" s="26"/>
      <c r="D2" s="26"/>
      <c r="E2" s="26"/>
      <c r="F2" s="26"/>
      <c r="G2" s="26"/>
      <c r="H2" s="26"/>
      <c r="J2" s="26"/>
    </row>
    <row r="3" spans="1:22" ht="26.25">
      <c r="B3" s="124" t="s">
        <v>36</v>
      </c>
      <c r="C3" s="28"/>
      <c r="D3" s="28"/>
      <c r="E3" s="28"/>
      <c r="F3" s="28"/>
      <c r="G3" s="26"/>
      <c r="H3" s="26"/>
      <c r="J3" s="26"/>
      <c r="K3" s="28"/>
      <c r="L3" s="28"/>
      <c r="M3" s="28"/>
      <c r="N3" s="28"/>
    </row>
    <row r="4" spans="1:22" ht="15.75" customHeight="1">
      <c r="B4" s="123" t="s">
        <v>56</v>
      </c>
      <c r="C4" s="28"/>
      <c r="D4" s="28"/>
      <c r="E4" s="28"/>
      <c r="F4" s="28"/>
      <c r="G4" s="26"/>
      <c r="H4" s="26"/>
      <c r="J4" s="26"/>
      <c r="K4" s="28"/>
      <c r="L4" s="28"/>
      <c r="M4" s="28"/>
      <c r="N4" s="28"/>
    </row>
    <row r="5" spans="1:22" ht="15.75" customHeight="1">
      <c r="B5" s="85" t="s">
        <v>57</v>
      </c>
      <c r="C5" s="28"/>
      <c r="D5" s="28"/>
      <c r="E5" s="28"/>
      <c r="F5" s="28"/>
      <c r="G5" s="26"/>
      <c r="H5" s="26"/>
      <c r="J5" s="26"/>
      <c r="K5" s="28"/>
      <c r="L5" s="28"/>
      <c r="M5" s="28"/>
      <c r="N5" s="28"/>
    </row>
    <row r="6" spans="1:22" ht="15.75" customHeight="1">
      <c r="B6" s="85" t="s">
        <v>58</v>
      </c>
      <c r="C6" s="28"/>
      <c r="D6" s="28"/>
      <c r="E6" s="28"/>
      <c r="F6" s="28"/>
      <c r="G6" s="26"/>
      <c r="H6" s="26"/>
      <c r="J6" s="26"/>
      <c r="K6" s="28"/>
      <c r="L6" s="28"/>
      <c r="M6" s="28"/>
      <c r="N6" s="28"/>
    </row>
    <row r="7" spans="1:22" ht="15.75" customHeight="1">
      <c r="B7" s="85" t="s">
        <v>59</v>
      </c>
      <c r="C7" s="28"/>
      <c r="D7" s="28"/>
      <c r="E7" s="28"/>
      <c r="F7" s="28"/>
      <c r="G7" s="26"/>
      <c r="H7" s="26"/>
      <c r="J7" s="26"/>
      <c r="K7" s="28"/>
      <c r="L7" s="28"/>
      <c r="M7" s="28"/>
      <c r="N7" s="28"/>
    </row>
    <row r="8" spans="1:22" ht="15.75" customHeight="1">
      <c r="B8" s="122"/>
      <c r="C8" s="28"/>
      <c r="D8" s="28"/>
      <c r="E8" s="28"/>
      <c r="F8" s="28"/>
      <c r="G8" s="26"/>
      <c r="H8" s="26"/>
      <c r="J8" s="26"/>
      <c r="K8" s="28"/>
      <c r="L8" s="28"/>
      <c r="M8" s="28"/>
      <c r="N8" s="28"/>
    </row>
    <row r="9" spans="1:22" ht="13.5" customHeight="1">
      <c r="B9" s="26"/>
      <c r="C9" s="26"/>
      <c r="D9" s="26"/>
      <c r="E9" s="26"/>
      <c r="F9" s="26"/>
      <c r="G9" s="26"/>
      <c r="H9" s="26"/>
      <c r="J9" s="87"/>
    </row>
    <row r="10" spans="1:22" ht="255" customHeight="1">
      <c r="B10" s="100" t="s">
        <v>43</v>
      </c>
      <c r="C10" s="109" t="s">
        <v>54</v>
      </c>
      <c r="D10" s="125" t="s">
        <v>60</v>
      </c>
      <c r="E10" s="125" t="s">
        <v>61</v>
      </c>
      <c r="F10" s="125" t="s">
        <v>62</v>
      </c>
      <c r="G10" s="125" t="s">
        <v>63</v>
      </c>
      <c r="H10" s="86"/>
      <c r="I10" s="126" t="s">
        <v>41</v>
      </c>
      <c r="J10" s="88"/>
      <c r="K10" s="101" t="s">
        <v>44</v>
      </c>
      <c r="L10" s="109" t="s">
        <v>54</v>
      </c>
      <c r="M10" s="125" t="s">
        <v>64</v>
      </c>
      <c r="N10" s="125" t="s">
        <v>80</v>
      </c>
      <c r="O10" s="125" t="s">
        <v>65</v>
      </c>
      <c r="P10" s="125" t="s">
        <v>67</v>
      </c>
      <c r="Q10" s="125" t="s">
        <v>68</v>
      </c>
      <c r="R10" s="125" t="s">
        <v>70</v>
      </c>
      <c r="S10" s="125" t="s">
        <v>66</v>
      </c>
      <c r="T10" s="125" t="s">
        <v>69</v>
      </c>
      <c r="U10" s="125"/>
      <c r="V10" s="128" t="s">
        <v>42</v>
      </c>
    </row>
    <row r="11" spans="1:22" ht="21.75" customHeight="1">
      <c r="A11" s="40">
        <v>1</v>
      </c>
      <c r="B11" s="133" t="s">
        <v>83</v>
      </c>
      <c r="C11" s="149" t="s">
        <v>2</v>
      </c>
      <c r="D11" s="150">
        <v>1</v>
      </c>
      <c r="E11" s="150">
        <v>1</v>
      </c>
      <c r="F11" s="150">
        <v>1</v>
      </c>
      <c r="G11" s="150">
        <v>1</v>
      </c>
      <c r="H11" s="136"/>
      <c r="I11" s="127">
        <f>SUM(D11:H11)</f>
        <v>4</v>
      </c>
      <c r="J11" s="26"/>
      <c r="K11" s="133" t="s">
        <v>83</v>
      </c>
      <c r="L11" s="149" t="s">
        <v>2</v>
      </c>
      <c r="M11" s="151">
        <v>2</v>
      </c>
      <c r="N11" s="151">
        <v>1</v>
      </c>
      <c r="O11" s="151">
        <v>3</v>
      </c>
      <c r="P11" s="151">
        <v>1</v>
      </c>
      <c r="Q11" s="151">
        <v>0</v>
      </c>
      <c r="R11" s="151">
        <v>1</v>
      </c>
      <c r="S11" s="151">
        <v>2</v>
      </c>
      <c r="T11" s="151">
        <v>0</v>
      </c>
      <c r="U11" s="134"/>
      <c r="V11" s="127">
        <f>SUM(M11:U11)</f>
        <v>10</v>
      </c>
    </row>
    <row r="12" spans="1:22" ht="21.75" customHeight="1">
      <c r="A12" s="40">
        <v>3</v>
      </c>
      <c r="B12" s="132" t="s">
        <v>77</v>
      </c>
      <c r="C12" s="149" t="s">
        <v>2</v>
      </c>
      <c r="D12" s="150">
        <v>0</v>
      </c>
      <c r="E12" s="150">
        <v>1</v>
      </c>
      <c r="F12" s="150">
        <v>1</v>
      </c>
      <c r="G12" s="150">
        <v>0</v>
      </c>
      <c r="H12" s="136"/>
      <c r="I12" s="127">
        <f>SUM(D12:H12)</f>
        <v>2</v>
      </c>
      <c r="J12" s="26"/>
      <c r="K12" s="132" t="s">
        <v>77</v>
      </c>
      <c r="L12" s="149" t="s">
        <v>2</v>
      </c>
      <c r="M12" s="151">
        <v>0</v>
      </c>
      <c r="N12" s="151">
        <v>0</v>
      </c>
      <c r="O12" s="151">
        <v>0</v>
      </c>
      <c r="P12" s="151">
        <v>0</v>
      </c>
      <c r="Q12" s="151">
        <v>0</v>
      </c>
      <c r="R12" s="151">
        <v>0</v>
      </c>
      <c r="S12" s="151">
        <v>0</v>
      </c>
      <c r="T12" s="151">
        <v>0</v>
      </c>
      <c r="U12" s="134"/>
      <c r="V12" s="127">
        <f>SUM(M12:U12)</f>
        <v>0</v>
      </c>
    </row>
    <row r="13" spans="1:22" ht="21.75" customHeight="1">
      <c r="A13" s="40">
        <v>4</v>
      </c>
      <c r="B13" s="132" t="s">
        <v>85</v>
      </c>
      <c r="C13" s="149" t="s">
        <v>2</v>
      </c>
      <c r="D13" s="150">
        <v>1</v>
      </c>
      <c r="E13" s="150">
        <v>2</v>
      </c>
      <c r="F13" s="150">
        <v>1</v>
      </c>
      <c r="G13" s="150">
        <v>2</v>
      </c>
      <c r="H13" s="136"/>
      <c r="I13" s="127">
        <f t="shared" ref="I13:I75" si="0">SUM(D13:H13)</f>
        <v>6</v>
      </c>
      <c r="J13" s="26"/>
      <c r="K13" s="132" t="s">
        <v>79</v>
      </c>
      <c r="L13" s="149" t="s">
        <v>2</v>
      </c>
      <c r="M13" s="151">
        <v>0</v>
      </c>
      <c r="N13" s="151">
        <v>0</v>
      </c>
      <c r="O13" s="151">
        <v>0</v>
      </c>
      <c r="P13" s="151">
        <v>0</v>
      </c>
      <c r="Q13" s="151">
        <v>0</v>
      </c>
      <c r="R13" s="151">
        <v>0</v>
      </c>
      <c r="S13" s="151">
        <v>0</v>
      </c>
      <c r="T13" s="151">
        <v>0</v>
      </c>
      <c r="U13" s="134"/>
      <c r="V13" s="127">
        <f t="shared" ref="V13:V76" si="1">SUM(M13:U13)</f>
        <v>0</v>
      </c>
    </row>
    <row r="14" spans="1:22" ht="21.75" customHeight="1">
      <c r="A14" s="40">
        <v>5</v>
      </c>
      <c r="B14" s="133" t="s">
        <v>72</v>
      </c>
      <c r="C14" s="149" t="s">
        <v>2</v>
      </c>
      <c r="D14" s="150">
        <v>0</v>
      </c>
      <c r="E14" s="150">
        <v>3</v>
      </c>
      <c r="F14" s="150">
        <v>2</v>
      </c>
      <c r="G14" s="150">
        <v>3</v>
      </c>
      <c r="H14" s="136"/>
      <c r="I14" s="127">
        <f t="shared" si="0"/>
        <v>8</v>
      </c>
      <c r="J14" s="26"/>
      <c r="K14" s="133" t="s">
        <v>72</v>
      </c>
      <c r="L14" s="149" t="s">
        <v>2</v>
      </c>
      <c r="M14" s="151">
        <v>0</v>
      </c>
      <c r="N14" s="151">
        <v>0</v>
      </c>
      <c r="O14" s="151">
        <v>0</v>
      </c>
      <c r="P14" s="151">
        <v>0</v>
      </c>
      <c r="Q14" s="151">
        <v>2</v>
      </c>
      <c r="R14" s="151">
        <v>0</v>
      </c>
      <c r="S14" s="151">
        <v>0</v>
      </c>
      <c r="T14" s="151">
        <v>0</v>
      </c>
      <c r="U14" s="134"/>
      <c r="V14" s="127">
        <f t="shared" si="1"/>
        <v>2</v>
      </c>
    </row>
    <row r="15" spans="1:22" ht="21.75" customHeight="1">
      <c r="A15" s="40">
        <v>6</v>
      </c>
      <c r="B15" s="133" t="s">
        <v>90</v>
      </c>
      <c r="C15" s="149" t="s">
        <v>2</v>
      </c>
      <c r="D15" s="150">
        <v>0</v>
      </c>
      <c r="E15" s="150">
        <v>3</v>
      </c>
      <c r="F15" s="150">
        <v>1</v>
      </c>
      <c r="G15" s="150">
        <v>1</v>
      </c>
      <c r="H15" s="136"/>
      <c r="I15" s="127">
        <f t="shared" si="0"/>
        <v>5</v>
      </c>
      <c r="J15" s="26"/>
      <c r="K15" s="133" t="s">
        <v>90</v>
      </c>
      <c r="L15" s="149" t="s">
        <v>2</v>
      </c>
      <c r="M15" s="151">
        <v>0</v>
      </c>
      <c r="N15" s="151">
        <v>0</v>
      </c>
      <c r="O15" s="151">
        <v>0</v>
      </c>
      <c r="P15" s="151">
        <v>0</v>
      </c>
      <c r="Q15" s="151">
        <v>0</v>
      </c>
      <c r="R15" s="151">
        <v>0</v>
      </c>
      <c r="S15" s="151">
        <v>0</v>
      </c>
      <c r="T15" s="151">
        <v>0</v>
      </c>
      <c r="U15" s="134"/>
      <c r="V15" s="127">
        <f t="shared" si="1"/>
        <v>0</v>
      </c>
    </row>
    <row r="16" spans="1:22" ht="21.75" customHeight="1">
      <c r="A16" s="40">
        <v>7</v>
      </c>
      <c r="B16" s="133" t="s">
        <v>91</v>
      </c>
      <c r="C16" s="149" t="s">
        <v>2</v>
      </c>
      <c r="D16" s="150">
        <v>0</v>
      </c>
      <c r="E16" s="150">
        <v>3</v>
      </c>
      <c r="F16" s="150">
        <v>1</v>
      </c>
      <c r="G16" s="150">
        <v>3</v>
      </c>
      <c r="H16" s="136"/>
      <c r="I16" s="127">
        <f t="shared" si="0"/>
        <v>7</v>
      </c>
      <c r="J16" s="26"/>
      <c r="K16" s="133" t="s">
        <v>73</v>
      </c>
      <c r="L16" s="149" t="s">
        <v>2</v>
      </c>
      <c r="M16" s="151">
        <v>0</v>
      </c>
      <c r="N16" s="151">
        <v>0</v>
      </c>
      <c r="O16" s="151">
        <v>0</v>
      </c>
      <c r="P16" s="151">
        <v>0</v>
      </c>
      <c r="Q16" s="151">
        <v>0</v>
      </c>
      <c r="R16" s="151">
        <v>0</v>
      </c>
      <c r="S16" s="151">
        <v>0</v>
      </c>
      <c r="T16" s="151">
        <v>0</v>
      </c>
      <c r="U16" s="134"/>
      <c r="V16" s="127">
        <f t="shared" si="1"/>
        <v>0</v>
      </c>
    </row>
    <row r="17" spans="1:22" ht="21.75" customHeight="1">
      <c r="A17" s="40">
        <v>8</v>
      </c>
      <c r="B17" s="133" t="s">
        <v>71</v>
      </c>
      <c r="C17" s="149" t="s">
        <v>2</v>
      </c>
      <c r="D17" s="150">
        <v>1</v>
      </c>
      <c r="E17" s="150">
        <v>1</v>
      </c>
      <c r="F17" s="150">
        <v>2</v>
      </c>
      <c r="G17" s="150">
        <v>1</v>
      </c>
      <c r="H17" s="25"/>
      <c r="I17" s="127">
        <f t="shared" si="0"/>
        <v>5</v>
      </c>
      <c r="K17" s="133" t="s">
        <v>71</v>
      </c>
      <c r="L17" s="149" t="s">
        <v>2</v>
      </c>
      <c r="M17" s="151">
        <v>2</v>
      </c>
      <c r="N17" s="151">
        <v>1</v>
      </c>
      <c r="O17" s="151">
        <v>3</v>
      </c>
      <c r="P17" s="151">
        <v>3</v>
      </c>
      <c r="Q17" s="151">
        <v>0</v>
      </c>
      <c r="R17" s="151">
        <v>2</v>
      </c>
      <c r="S17" s="151">
        <v>3</v>
      </c>
      <c r="T17" s="151">
        <v>0</v>
      </c>
      <c r="U17" s="134"/>
      <c r="V17" s="127">
        <f t="shared" si="1"/>
        <v>14</v>
      </c>
    </row>
    <row r="18" spans="1:22">
      <c r="A18" s="40">
        <v>9</v>
      </c>
      <c r="B18" s="133" t="s">
        <v>82</v>
      </c>
      <c r="C18" s="149" t="s">
        <v>2</v>
      </c>
      <c r="D18" s="150">
        <v>0</v>
      </c>
      <c r="E18" s="150">
        <v>2</v>
      </c>
      <c r="F18" s="150">
        <v>1</v>
      </c>
      <c r="G18" s="150">
        <v>1</v>
      </c>
      <c r="H18" s="25"/>
      <c r="I18" s="127">
        <f t="shared" si="0"/>
        <v>4</v>
      </c>
      <c r="K18" s="133" t="s">
        <v>82</v>
      </c>
      <c r="L18" s="149" t="s">
        <v>2</v>
      </c>
      <c r="M18" s="151">
        <v>0</v>
      </c>
      <c r="N18" s="151">
        <v>0</v>
      </c>
      <c r="O18" s="151">
        <v>0</v>
      </c>
      <c r="P18" s="151">
        <v>0</v>
      </c>
      <c r="Q18" s="151">
        <v>0</v>
      </c>
      <c r="R18" s="151">
        <v>0</v>
      </c>
      <c r="S18" s="151">
        <v>0</v>
      </c>
      <c r="T18" s="151">
        <v>0</v>
      </c>
      <c r="U18" s="134"/>
      <c r="V18" s="127">
        <f t="shared" si="1"/>
        <v>0</v>
      </c>
    </row>
    <row r="19" spans="1:22">
      <c r="A19" s="40">
        <v>10</v>
      </c>
      <c r="B19" s="133" t="s">
        <v>78</v>
      </c>
      <c r="C19" s="149" t="s">
        <v>2</v>
      </c>
      <c r="D19" s="150">
        <v>0</v>
      </c>
      <c r="E19" s="150">
        <v>2</v>
      </c>
      <c r="F19" s="150">
        <v>1</v>
      </c>
      <c r="G19" s="150">
        <v>0</v>
      </c>
      <c r="H19" s="25"/>
      <c r="I19" s="127">
        <f t="shared" si="0"/>
        <v>3</v>
      </c>
      <c r="K19" s="133" t="s">
        <v>78</v>
      </c>
      <c r="L19" s="149" t="s">
        <v>2</v>
      </c>
      <c r="M19" s="151">
        <v>0</v>
      </c>
      <c r="N19" s="151">
        <v>0</v>
      </c>
      <c r="O19" s="151">
        <v>0</v>
      </c>
      <c r="P19" s="151">
        <v>0</v>
      </c>
      <c r="Q19" s="151">
        <v>0</v>
      </c>
      <c r="R19" s="151">
        <v>0</v>
      </c>
      <c r="S19" s="151">
        <v>0</v>
      </c>
      <c r="T19" s="151">
        <v>0</v>
      </c>
      <c r="U19" s="134"/>
      <c r="V19" s="127">
        <f t="shared" si="1"/>
        <v>0</v>
      </c>
    </row>
    <row r="20" spans="1:22" ht="21.75" customHeight="1">
      <c r="A20" s="40">
        <v>11</v>
      </c>
      <c r="B20" s="132" t="s">
        <v>76</v>
      </c>
      <c r="C20" s="149" t="s">
        <v>2</v>
      </c>
      <c r="D20" s="150">
        <v>0</v>
      </c>
      <c r="E20" s="150">
        <v>2</v>
      </c>
      <c r="F20" s="150">
        <v>1</v>
      </c>
      <c r="G20" s="150">
        <v>0</v>
      </c>
      <c r="H20" s="25"/>
      <c r="I20" s="127">
        <f t="shared" si="0"/>
        <v>3</v>
      </c>
      <c r="K20" s="132" t="s">
        <v>76</v>
      </c>
      <c r="L20" s="149" t="s">
        <v>2</v>
      </c>
      <c r="M20" s="151">
        <v>0</v>
      </c>
      <c r="N20" s="151">
        <v>0</v>
      </c>
      <c r="O20" s="151">
        <v>0</v>
      </c>
      <c r="P20" s="151">
        <v>0</v>
      </c>
      <c r="Q20" s="151">
        <v>0</v>
      </c>
      <c r="R20" s="151">
        <v>0</v>
      </c>
      <c r="S20" s="151">
        <v>0</v>
      </c>
      <c r="T20" s="151">
        <v>0</v>
      </c>
      <c r="U20" s="134"/>
      <c r="V20" s="127">
        <f t="shared" si="1"/>
        <v>0</v>
      </c>
    </row>
    <row r="21" spans="1:22" ht="21.75" customHeight="1">
      <c r="A21" s="40">
        <v>12</v>
      </c>
      <c r="B21" s="132" t="s">
        <v>92</v>
      </c>
      <c r="C21" s="149" t="s">
        <v>2</v>
      </c>
      <c r="D21" s="150">
        <v>0</v>
      </c>
      <c r="E21" s="150">
        <v>1</v>
      </c>
      <c r="F21" s="150">
        <v>1</v>
      </c>
      <c r="G21" s="150">
        <v>1</v>
      </c>
      <c r="H21" s="135"/>
      <c r="I21" s="127">
        <f t="shared" si="0"/>
        <v>3</v>
      </c>
      <c r="J21" s="87"/>
      <c r="K21" s="132" t="s">
        <v>92</v>
      </c>
      <c r="L21" s="149" t="s">
        <v>2</v>
      </c>
      <c r="M21" s="151">
        <v>0</v>
      </c>
      <c r="N21" s="151">
        <v>0</v>
      </c>
      <c r="O21" s="151">
        <v>0</v>
      </c>
      <c r="P21" s="151">
        <v>0</v>
      </c>
      <c r="Q21" s="151">
        <v>0</v>
      </c>
      <c r="R21" s="151">
        <v>0</v>
      </c>
      <c r="S21" s="151">
        <v>0</v>
      </c>
      <c r="T21" s="151">
        <v>0</v>
      </c>
      <c r="U21" s="134"/>
      <c r="V21" s="127">
        <f t="shared" si="1"/>
        <v>0</v>
      </c>
    </row>
    <row r="22" spans="1:22" ht="21.75" customHeight="1">
      <c r="A22" s="40">
        <v>13</v>
      </c>
      <c r="B22" s="132" t="s">
        <v>84</v>
      </c>
      <c r="C22" s="149" t="s">
        <v>2</v>
      </c>
      <c r="D22" s="150">
        <v>0</v>
      </c>
      <c r="E22" s="150">
        <v>0</v>
      </c>
      <c r="F22" s="150">
        <v>1</v>
      </c>
      <c r="G22" s="150">
        <v>0</v>
      </c>
      <c r="H22" s="25"/>
      <c r="I22" s="127">
        <f t="shared" si="0"/>
        <v>1</v>
      </c>
      <c r="K22" s="132" t="s">
        <v>75</v>
      </c>
      <c r="L22" s="149" t="s">
        <v>2</v>
      </c>
      <c r="M22" s="151">
        <v>0</v>
      </c>
      <c r="N22" s="151">
        <v>0</v>
      </c>
      <c r="O22" s="151">
        <v>0</v>
      </c>
      <c r="P22" s="151">
        <v>0</v>
      </c>
      <c r="Q22" s="151">
        <v>0</v>
      </c>
      <c r="R22" s="151">
        <v>0</v>
      </c>
      <c r="S22" s="151">
        <v>0</v>
      </c>
      <c r="T22" s="151">
        <v>0</v>
      </c>
      <c r="U22" s="134"/>
      <c r="V22" s="127">
        <f t="shared" si="1"/>
        <v>0</v>
      </c>
    </row>
    <row r="23" spans="1:22" ht="21.75" customHeight="1">
      <c r="A23" s="40">
        <v>14</v>
      </c>
      <c r="B23" s="133" t="s">
        <v>81</v>
      </c>
      <c r="C23" s="162" t="s">
        <v>1</v>
      </c>
      <c r="D23" s="151">
        <v>1</v>
      </c>
      <c r="E23" s="151">
        <v>0</v>
      </c>
      <c r="F23" s="151">
        <v>1</v>
      </c>
      <c r="G23" s="151">
        <v>0</v>
      </c>
      <c r="H23" s="25"/>
      <c r="I23" s="127">
        <f t="shared" si="0"/>
        <v>2</v>
      </c>
      <c r="K23" s="133" t="s">
        <v>81</v>
      </c>
      <c r="L23" s="162" t="s">
        <v>1</v>
      </c>
      <c r="M23" s="151">
        <v>1</v>
      </c>
      <c r="N23" s="151">
        <v>2</v>
      </c>
      <c r="O23" s="151">
        <v>1</v>
      </c>
      <c r="P23" s="151">
        <v>0</v>
      </c>
      <c r="Q23" s="151">
        <v>3</v>
      </c>
      <c r="R23" s="151">
        <v>3</v>
      </c>
      <c r="S23" s="151">
        <v>0</v>
      </c>
      <c r="T23" s="151">
        <v>2</v>
      </c>
      <c r="U23" s="134"/>
      <c r="V23" s="127">
        <f t="shared" si="1"/>
        <v>12</v>
      </c>
    </row>
    <row r="24" spans="1:22" ht="21.75" customHeight="1">
      <c r="A24" s="40">
        <v>15</v>
      </c>
      <c r="B24" s="132" t="s">
        <v>74</v>
      </c>
      <c r="C24" s="162" t="s">
        <v>1</v>
      </c>
      <c r="D24" s="151">
        <v>0</v>
      </c>
      <c r="E24" s="151">
        <v>3</v>
      </c>
      <c r="F24" s="151">
        <v>1</v>
      </c>
      <c r="G24" s="151">
        <v>0</v>
      </c>
      <c r="H24" s="25"/>
      <c r="I24" s="127">
        <f t="shared" si="0"/>
        <v>4</v>
      </c>
      <c r="K24" s="132" t="s">
        <v>74</v>
      </c>
      <c r="L24" s="162" t="s">
        <v>1</v>
      </c>
      <c r="M24" s="151">
        <v>0</v>
      </c>
      <c r="N24" s="151">
        <v>0</v>
      </c>
      <c r="O24" s="151">
        <v>0</v>
      </c>
      <c r="P24" s="151">
        <v>0</v>
      </c>
      <c r="Q24" s="151">
        <v>0</v>
      </c>
      <c r="R24" s="151">
        <v>0</v>
      </c>
      <c r="S24" s="151">
        <v>0</v>
      </c>
      <c r="T24" s="151">
        <v>0</v>
      </c>
      <c r="U24" s="134"/>
      <c r="V24" s="127">
        <f t="shared" si="1"/>
        <v>0</v>
      </c>
    </row>
    <row r="25" spans="1:22" ht="17.25" hidden="1" customHeight="1">
      <c r="A25" s="40">
        <v>18</v>
      </c>
      <c r="B25" s="129"/>
      <c r="C25" s="130"/>
      <c r="D25" s="27"/>
      <c r="E25" s="27"/>
      <c r="F25" s="27"/>
      <c r="G25" s="27"/>
      <c r="H25" s="27"/>
      <c r="I25" s="127">
        <f t="shared" si="0"/>
        <v>0</v>
      </c>
      <c r="K25" s="129"/>
      <c r="L25" s="130"/>
      <c r="M25" s="27"/>
      <c r="N25" s="27"/>
      <c r="O25" s="27"/>
      <c r="P25" s="27"/>
      <c r="Q25" s="27"/>
      <c r="R25" s="27"/>
      <c r="S25" s="27"/>
      <c r="T25" s="27"/>
      <c r="U25" s="27"/>
      <c r="V25" s="127">
        <f t="shared" si="1"/>
        <v>0</v>
      </c>
    </row>
    <row r="26" spans="1:22" ht="17.25" hidden="1" customHeight="1">
      <c r="A26" s="40">
        <v>19</v>
      </c>
      <c r="B26" s="131"/>
      <c r="C26" s="130"/>
      <c r="D26" s="27"/>
      <c r="E26" s="27"/>
      <c r="F26" s="27"/>
      <c r="G26" s="27"/>
      <c r="H26" s="27"/>
      <c r="I26" s="127">
        <f t="shared" si="0"/>
        <v>0</v>
      </c>
      <c r="K26" s="131"/>
      <c r="L26" s="130"/>
      <c r="M26" s="27"/>
      <c r="N26" s="27"/>
      <c r="O26" s="27"/>
      <c r="P26" s="27"/>
      <c r="Q26" s="27"/>
      <c r="R26" s="27"/>
      <c r="S26" s="27"/>
      <c r="T26" s="27"/>
      <c r="U26" s="27"/>
      <c r="V26" s="127">
        <f t="shared" si="1"/>
        <v>0</v>
      </c>
    </row>
    <row r="27" spans="1:22" ht="17.25" hidden="1" customHeight="1">
      <c r="A27" s="40">
        <v>20</v>
      </c>
      <c r="B27" s="131"/>
      <c r="C27" s="130"/>
      <c r="D27" s="27"/>
      <c r="E27" s="27"/>
      <c r="F27" s="27"/>
      <c r="G27" s="27"/>
      <c r="H27" s="27"/>
      <c r="I27" s="127">
        <f t="shared" si="0"/>
        <v>0</v>
      </c>
      <c r="K27" s="131"/>
      <c r="L27" s="130"/>
      <c r="M27" s="27"/>
      <c r="N27" s="27"/>
      <c r="O27" s="27"/>
      <c r="P27" s="27"/>
      <c r="Q27" s="27"/>
      <c r="R27" s="27"/>
      <c r="S27" s="27"/>
      <c r="T27" s="27"/>
      <c r="U27" s="27"/>
      <c r="V27" s="127">
        <f t="shared" si="1"/>
        <v>0</v>
      </c>
    </row>
    <row r="28" spans="1:22" ht="17.25" hidden="1" customHeight="1">
      <c r="A28" s="40">
        <v>21</v>
      </c>
      <c r="B28" s="131"/>
      <c r="C28" s="130"/>
      <c r="D28" s="27"/>
      <c r="E28" s="27"/>
      <c r="F28" s="27"/>
      <c r="G28" s="27"/>
      <c r="H28" s="27"/>
      <c r="I28" s="127">
        <f t="shared" si="0"/>
        <v>0</v>
      </c>
      <c r="K28" s="131"/>
      <c r="L28" s="130"/>
      <c r="M28" s="27"/>
      <c r="N28" s="27"/>
      <c r="O28" s="27"/>
      <c r="P28" s="27"/>
      <c r="Q28" s="27"/>
      <c r="R28" s="27"/>
      <c r="S28" s="27"/>
      <c r="T28" s="27"/>
      <c r="U28" s="27"/>
      <c r="V28" s="127">
        <f t="shared" si="1"/>
        <v>0</v>
      </c>
    </row>
    <row r="29" spans="1:22" ht="17.25" hidden="1" customHeight="1">
      <c r="A29" s="40">
        <v>22</v>
      </c>
      <c r="B29" s="89"/>
      <c r="C29" s="89"/>
      <c r="D29" s="27"/>
      <c r="E29" s="27"/>
      <c r="F29" s="27"/>
      <c r="G29" s="27"/>
      <c r="H29" s="27"/>
      <c r="I29" s="127">
        <f t="shared" si="0"/>
        <v>0</v>
      </c>
      <c r="K29" s="90"/>
      <c r="L29" s="90"/>
      <c r="M29" s="27"/>
      <c r="N29" s="27"/>
      <c r="O29" s="27"/>
      <c r="P29" s="27"/>
      <c r="Q29" s="27"/>
      <c r="R29" s="27"/>
      <c r="S29" s="27"/>
      <c r="T29" s="27"/>
      <c r="U29" s="27"/>
      <c r="V29" s="127">
        <f t="shared" si="1"/>
        <v>0</v>
      </c>
    </row>
    <row r="30" spans="1:22" ht="17.25" hidden="1" customHeight="1">
      <c r="A30" s="40">
        <v>23</v>
      </c>
      <c r="B30" s="89"/>
      <c r="C30" s="89"/>
      <c r="D30" s="27"/>
      <c r="E30" s="27"/>
      <c r="F30" s="27"/>
      <c r="G30" s="27"/>
      <c r="H30" s="27"/>
      <c r="I30" s="127">
        <f t="shared" si="0"/>
        <v>0</v>
      </c>
      <c r="K30" s="90"/>
      <c r="L30" s="90"/>
      <c r="M30" s="27"/>
      <c r="N30" s="27"/>
      <c r="O30" s="27"/>
      <c r="P30" s="27"/>
      <c r="Q30" s="27"/>
      <c r="R30" s="27"/>
      <c r="S30" s="27"/>
      <c r="T30" s="27"/>
      <c r="U30" s="27"/>
      <c r="V30" s="127">
        <f t="shared" si="1"/>
        <v>0</v>
      </c>
    </row>
    <row r="31" spans="1:22" ht="17.25" hidden="1" customHeight="1">
      <c r="A31" s="40">
        <v>24</v>
      </c>
      <c r="B31" s="89"/>
      <c r="C31" s="89"/>
      <c r="D31" s="27"/>
      <c r="E31" s="27"/>
      <c r="F31" s="27"/>
      <c r="G31" s="27"/>
      <c r="H31" s="27"/>
      <c r="I31" s="127">
        <f t="shared" si="0"/>
        <v>0</v>
      </c>
      <c r="K31" s="90"/>
      <c r="L31" s="90"/>
      <c r="M31" s="27"/>
      <c r="N31" s="27"/>
      <c r="O31" s="27"/>
      <c r="P31" s="27"/>
      <c r="Q31" s="27"/>
      <c r="R31" s="27"/>
      <c r="S31" s="27"/>
      <c r="T31" s="27"/>
      <c r="U31" s="27"/>
      <c r="V31" s="127">
        <f t="shared" si="1"/>
        <v>0</v>
      </c>
    </row>
    <row r="32" spans="1:22" ht="17.25" hidden="1" customHeight="1">
      <c r="A32" s="40">
        <v>25</v>
      </c>
      <c r="B32" s="89"/>
      <c r="C32" s="89"/>
      <c r="D32" s="27"/>
      <c r="E32" s="27"/>
      <c r="F32" s="27"/>
      <c r="G32" s="27"/>
      <c r="H32" s="27"/>
      <c r="I32" s="127">
        <f t="shared" si="0"/>
        <v>0</v>
      </c>
      <c r="K32" s="90"/>
      <c r="L32" s="90"/>
      <c r="M32" s="27"/>
      <c r="N32" s="27"/>
      <c r="O32" s="27"/>
      <c r="P32" s="27"/>
      <c r="Q32" s="27"/>
      <c r="R32" s="27"/>
      <c r="S32" s="27"/>
      <c r="T32" s="27"/>
      <c r="U32" s="27"/>
      <c r="V32" s="127">
        <f t="shared" si="1"/>
        <v>0</v>
      </c>
    </row>
    <row r="33" spans="1:22" ht="17.25" hidden="1" customHeight="1">
      <c r="A33" s="40">
        <v>26</v>
      </c>
      <c r="B33" s="89"/>
      <c r="C33" s="89"/>
      <c r="D33" s="27"/>
      <c r="E33" s="27"/>
      <c r="F33" s="27"/>
      <c r="G33" s="27"/>
      <c r="H33" s="27"/>
      <c r="I33" s="127">
        <f t="shared" si="0"/>
        <v>0</v>
      </c>
      <c r="K33" s="90"/>
      <c r="L33" s="90"/>
      <c r="M33" s="27"/>
      <c r="N33" s="27"/>
      <c r="O33" s="27"/>
      <c r="P33" s="27"/>
      <c r="Q33" s="27"/>
      <c r="R33" s="27"/>
      <c r="S33" s="27"/>
      <c r="T33" s="27"/>
      <c r="U33" s="27"/>
      <c r="V33" s="127">
        <f t="shared" si="1"/>
        <v>0</v>
      </c>
    </row>
    <row r="34" spans="1:22" ht="17.25" hidden="1" customHeight="1">
      <c r="A34" s="40">
        <v>27</v>
      </c>
      <c r="B34" s="89"/>
      <c r="C34" s="89"/>
      <c r="D34" s="27"/>
      <c r="E34" s="27"/>
      <c r="F34" s="27"/>
      <c r="G34" s="27"/>
      <c r="H34" s="27"/>
      <c r="I34" s="127">
        <f t="shared" si="0"/>
        <v>0</v>
      </c>
      <c r="K34" s="90"/>
      <c r="L34" s="90"/>
      <c r="M34" s="27"/>
      <c r="N34" s="27"/>
      <c r="O34" s="27"/>
      <c r="P34" s="27"/>
      <c r="Q34" s="27"/>
      <c r="R34" s="27"/>
      <c r="S34" s="27"/>
      <c r="T34" s="27"/>
      <c r="U34" s="27"/>
      <c r="V34" s="127">
        <f t="shared" si="1"/>
        <v>0</v>
      </c>
    </row>
    <row r="35" spans="1:22" ht="17.25" hidden="1" customHeight="1">
      <c r="A35" s="40">
        <v>28</v>
      </c>
      <c r="B35" s="89"/>
      <c r="C35" s="89"/>
      <c r="D35" s="27"/>
      <c r="E35" s="27"/>
      <c r="F35" s="27"/>
      <c r="G35" s="27"/>
      <c r="H35" s="27"/>
      <c r="I35" s="127">
        <f t="shared" si="0"/>
        <v>0</v>
      </c>
      <c r="K35" s="90"/>
      <c r="L35" s="90"/>
      <c r="M35" s="27"/>
      <c r="N35" s="27"/>
      <c r="O35" s="27"/>
      <c r="P35" s="27"/>
      <c r="Q35" s="27"/>
      <c r="R35" s="27"/>
      <c r="S35" s="27"/>
      <c r="T35" s="27"/>
      <c r="U35" s="27"/>
      <c r="V35" s="127">
        <f t="shared" si="1"/>
        <v>0</v>
      </c>
    </row>
    <row r="36" spans="1:22" ht="17.25" hidden="1" customHeight="1">
      <c r="A36" s="40">
        <v>29</v>
      </c>
      <c r="B36" s="89"/>
      <c r="C36" s="89"/>
      <c r="D36" s="27"/>
      <c r="E36" s="27"/>
      <c r="F36" s="27"/>
      <c r="G36" s="27"/>
      <c r="H36" s="27"/>
      <c r="I36" s="127">
        <f t="shared" si="0"/>
        <v>0</v>
      </c>
      <c r="K36" s="90"/>
      <c r="L36" s="90"/>
      <c r="M36" s="27"/>
      <c r="N36" s="27"/>
      <c r="O36" s="27"/>
      <c r="P36" s="27"/>
      <c r="Q36" s="27"/>
      <c r="R36" s="27"/>
      <c r="S36" s="27"/>
      <c r="T36" s="27"/>
      <c r="U36" s="27"/>
      <c r="V36" s="127">
        <f t="shared" si="1"/>
        <v>0</v>
      </c>
    </row>
    <row r="37" spans="1:22" ht="17.25" hidden="1" customHeight="1">
      <c r="A37" s="40">
        <v>30</v>
      </c>
      <c r="B37" s="89"/>
      <c r="C37" s="89"/>
      <c r="D37" s="27"/>
      <c r="E37" s="27"/>
      <c r="F37" s="27"/>
      <c r="G37" s="27"/>
      <c r="H37" s="27"/>
      <c r="I37" s="127">
        <f t="shared" si="0"/>
        <v>0</v>
      </c>
      <c r="K37" s="90"/>
      <c r="L37" s="90"/>
      <c r="M37" s="27"/>
      <c r="N37" s="27"/>
      <c r="O37" s="27"/>
      <c r="P37" s="27"/>
      <c r="Q37" s="27"/>
      <c r="R37" s="27"/>
      <c r="S37" s="27"/>
      <c r="T37" s="27"/>
      <c r="U37" s="27"/>
      <c r="V37" s="127">
        <f t="shared" si="1"/>
        <v>0</v>
      </c>
    </row>
    <row r="38" spans="1:22" ht="17.25" hidden="1" customHeight="1">
      <c r="A38" s="40">
        <v>31</v>
      </c>
      <c r="B38" s="89"/>
      <c r="C38" s="89"/>
      <c r="D38" s="27"/>
      <c r="E38" s="27"/>
      <c r="F38" s="27"/>
      <c r="G38" s="27"/>
      <c r="H38" s="27"/>
      <c r="I38" s="127">
        <f t="shared" si="0"/>
        <v>0</v>
      </c>
      <c r="K38" s="90"/>
      <c r="L38" s="90"/>
      <c r="M38" s="27"/>
      <c r="N38" s="27"/>
      <c r="O38" s="27"/>
      <c r="P38" s="27"/>
      <c r="Q38" s="27"/>
      <c r="R38" s="27"/>
      <c r="S38" s="27"/>
      <c r="T38" s="27"/>
      <c r="U38" s="27"/>
      <c r="V38" s="127">
        <f t="shared" si="1"/>
        <v>0</v>
      </c>
    </row>
    <row r="39" spans="1:22" ht="17.25" hidden="1" customHeight="1">
      <c r="A39" s="40">
        <v>32</v>
      </c>
      <c r="B39" s="89"/>
      <c r="C39" s="89"/>
      <c r="D39" s="27"/>
      <c r="E39" s="27"/>
      <c r="F39" s="27"/>
      <c r="G39" s="27"/>
      <c r="H39" s="27"/>
      <c r="I39" s="127">
        <f t="shared" si="0"/>
        <v>0</v>
      </c>
      <c r="K39" s="90"/>
      <c r="L39" s="90"/>
      <c r="M39" s="27"/>
      <c r="N39" s="27"/>
      <c r="O39" s="27"/>
      <c r="P39" s="27"/>
      <c r="Q39" s="27"/>
      <c r="R39" s="27"/>
      <c r="S39" s="27"/>
      <c r="T39" s="27"/>
      <c r="U39" s="27"/>
      <c r="V39" s="127">
        <f t="shared" si="1"/>
        <v>0</v>
      </c>
    </row>
    <row r="40" spans="1:22" ht="17.25" hidden="1" customHeight="1">
      <c r="A40" s="40">
        <v>33</v>
      </c>
      <c r="B40" s="89"/>
      <c r="C40" s="89"/>
      <c r="D40" s="27"/>
      <c r="E40" s="27"/>
      <c r="F40" s="27"/>
      <c r="G40" s="27"/>
      <c r="H40" s="27"/>
      <c r="I40" s="127">
        <f t="shared" si="0"/>
        <v>0</v>
      </c>
      <c r="K40" s="90"/>
      <c r="L40" s="90"/>
      <c r="M40" s="27"/>
      <c r="N40" s="27"/>
      <c r="O40" s="27"/>
      <c r="P40" s="27"/>
      <c r="Q40" s="27"/>
      <c r="R40" s="27"/>
      <c r="S40" s="27"/>
      <c r="T40" s="27"/>
      <c r="U40" s="27"/>
      <c r="V40" s="127">
        <f t="shared" si="1"/>
        <v>0</v>
      </c>
    </row>
    <row r="41" spans="1:22" ht="17.25" hidden="1" customHeight="1">
      <c r="A41" s="40">
        <v>34</v>
      </c>
      <c r="B41" s="89"/>
      <c r="C41" s="89"/>
      <c r="D41" s="27"/>
      <c r="E41" s="27"/>
      <c r="F41" s="27"/>
      <c r="G41" s="27"/>
      <c r="H41" s="27"/>
      <c r="I41" s="127">
        <f t="shared" si="0"/>
        <v>0</v>
      </c>
      <c r="K41" s="90"/>
      <c r="L41" s="90"/>
      <c r="M41" s="27"/>
      <c r="N41" s="27"/>
      <c r="O41" s="27"/>
      <c r="P41" s="27"/>
      <c r="Q41" s="27"/>
      <c r="R41" s="27"/>
      <c r="S41" s="27"/>
      <c r="T41" s="27"/>
      <c r="U41" s="27"/>
      <c r="V41" s="127">
        <f t="shared" si="1"/>
        <v>0</v>
      </c>
    </row>
    <row r="42" spans="1:22" ht="17.25" hidden="1" customHeight="1">
      <c r="A42" s="40">
        <v>35</v>
      </c>
      <c r="B42" s="89"/>
      <c r="C42" s="89"/>
      <c r="D42" s="27"/>
      <c r="E42" s="27"/>
      <c r="F42" s="27"/>
      <c r="G42" s="27"/>
      <c r="H42" s="27"/>
      <c r="I42" s="127">
        <f t="shared" si="0"/>
        <v>0</v>
      </c>
      <c r="K42" s="90"/>
      <c r="L42" s="90"/>
      <c r="M42" s="27"/>
      <c r="N42" s="27"/>
      <c r="O42" s="27"/>
      <c r="P42" s="27"/>
      <c r="Q42" s="27"/>
      <c r="R42" s="27"/>
      <c r="S42" s="27"/>
      <c r="T42" s="27"/>
      <c r="U42" s="27"/>
      <c r="V42" s="127">
        <f t="shared" si="1"/>
        <v>0</v>
      </c>
    </row>
    <row r="43" spans="1:22" ht="17.25" hidden="1" customHeight="1">
      <c r="A43" s="40">
        <v>36</v>
      </c>
      <c r="B43" s="89"/>
      <c r="C43" s="89"/>
      <c r="D43" s="27"/>
      <c r="E43" s="27"/>
      <c r="F43" s="27"/>
      <c r="G43" s="27"/>
      <c r="H43" s="27"/>
      <c r="I43" s="127">
        <f t="shared" si="0"/>
        <v>0</v>
      </c>
      <c r="K43" s="90"/>
      <c r="L43" s="90"/>
      <c r="M43" s="27"/>
      <c r="N43" s="27"/>
      <c r="O43" s="27"/>
      <c r="P43" s="27"/>
      <c r="Q43" s="27"/>
      <c r="R43" s="27"/>
      <c r="S43" s="27"/>
      <c r="T43" s="27"/>
      <c r="U43" s="27"/>
      <c r="V43" s="127">
        <f t="shared" si="1"/>
        <v>0</v>
      </c>
    </row>
    <row r="44" spans="1:22" ht="17.25" hidden="1" customHeight="1">
      <c r="A44" s="40">
        <v>37</v>
      </c>
      <c r="B44" s="89"/>
      <c r="C44" s="89"/>
      <c r="D44" s="27"/>
      <c r="E44" s="27"/>
      <c r="F44" s="27"/>
      <c r="G44" s="27"/>
      <c r="H44" s="27"/>
      <c r="I44" s="127">
        <f t="shared" si="0"/>
        <v>0</v>
      </c>
      <c r="K44" s="90"/>
      <c r="L44" s="90"/>
      <c r="M44" s="27"/>
      <c r="N44" s="27"/>
      <c r="O44" s="27"/>
      <c r="P44" s="27"/>
      <c r="Q44" s="27"/>
      <c r="R44" s="27"/>
      <c r="S44" s="27"/>
      <c r="T44" s="27"/>
      <c r="U44" s="27"/>
      <c r="V44" s="127">
        <f t="shared" si="1"/>
        <v>0</v>
      </c>
    </row>
    <row r="45" spans="1:22" ht="17.25" hidden="1" customHeight="1">
      <c r="A45" s="40">
        <v>38</v>
      </c>
      <c r="B45" s="89"/>
      <c r="C45" s="89"/>
      <c r="D45" s="27"/>
      <c r="E45" s="27"/>
      <c r="F45" s="27"/>
      <c r="G45" s="27"/>
      <c r="H45" s="27"/>
      <c r="I45" s="127">
        <f t="shared" si="0"/>
        <v>0</v>
      </c>
      <c r="K45" s="90"/>
      <c r="L45" s="90"/>
      <c r="M45" s="27"/>
      <c r="N45" s="27"/>
      <c r="O45" s="27"/>
      <c r="P45" s="27"/>
      <c r="Q45" s="27"/>
      <c r="R45" s="27"/>
      <c r="S45" s="27"/>
      <c r="T45" s="27"/>
      <c r="U45" s="27"/>
      <c r="V45" s="127">
        <f t="shared" si="1"/>
        <v>0</v>
      </c>
    </row>
    <row r="46" spans="1:22" ht="17.25" hidden="1" customHeight="1">
      <c r="A46" s="40">
        <v>39</v>
      </c>
      <c r="B46" s="89"/>
      <c r="C46" s="89"/>
      <c r="D46" s="27"/>
      <c r="E46" s="27"/>
      <c r="F46" s="27"/>
      <c r="G46" s="27"/>
      <c r="H46" s="27"/>
      <c r="I46" s="127">
        <f t="shared" si="0"/>
        <v>0</v>
      </c>
      <c r="K46" s="90"/>
      <c r="L46" s="90"/>
      <c r="M46" s="27"/>
      <c r="N46" s="27"/>
      <c r="O46" s="27"/>
      <c r="P46" s="27"/>
      <c r="Q46" s="27"/>
      <c r="R46" s="27"/>
      <c r="S46" s="27"/>
      <c r="T46" s="27"/>
      <c r="U46" s="27"/>
      <c r="V46" s="127">
        <f t="shared" si="1"/>
        <v>0</v>
      </c>
    </row>
    <row r="47" spans="1:22" ht="17.25" hidden="1" customHeight="1">
      <c r="A47" s="40">
        <v>40</v>
      </c>
      <c r="B47" s="89"/>
      <c r="C47" s="89"/>
      <c r="D47" s="27"/>
      <c r="E47" s="27"/>
      <c r="F47" s="27"/>
      <c r="G47" s="27"/>
      <c r="H47" s="27"/>
      <c r="I47" s="127">
        <f t="shared" si="0"/>
        <v>0</v>
      </c>
      <c r="K47" s="90"/>
      <c r="L47" s="90"/>
      <c r="M47" s="27"/>
      <c r="N47" s="27"/>
      <c r="O47" s="27"/>
      <c r="P47" s="27"/>
      <c r="Q47" s="27"/>
      <c r="R47" s="27"/>
      <c r="S47" s="27"/>
      <c r="T47" s="27"/>
      <c r="U47" s="27"/>
      <c r="V47" s="127">
        <f t="shared" si="1"/>
        <v>0</v>
      </c>
    </row>
    <row r="48" spans="1:22" ht="17.25" hidden="1" customHeight="1">
      <c r="A48" s="40">
        <v>41</v>
      </c>
      <c r="B48" s="89"/>
      <c r="C48" s="89"/>
      <c r="D48" s="27"/>
      <c r="E48" s="27"/>
      <c r="F48" s="27"/>
      <c r="G48" s="27"/>
      <c r="H48" s="27"/>
      <c r="I48" s="127">
        <f t="shared" si="0"/>
        <v>0</v>
      </c>
      <c r="K48" s="90"/>
      <c r="L48" s="90"/>
      <c r="M48" s="27"/>
      <c r="N48" s="27"/>
      <c r="O48" s="27"/>
      <c r="P48" s="27"/>
      <c r="Q48" s="27"/>
      <c r="R48" s="27"/>
      <c r="S48" s="27"/>
      <c r="T48" s="27"/>
      <c r="U48" s="27"/>
      <c r="V48" s="127">
        <f t="shared" si="1"/>
        <v>0</v>
      </c>
    </row>
    <row r="49" spans="1:22" ht="17.25" hidden="1" customHeight="1">
      <c r="A49" s="40">
        <v>42</v>
      </c>
      <c r="B49" s="89"/>
      <c r="C49" s="89"/>
      <c r="D49" s="27"/>
      <c r="E49" s="27"/>
      <c r="F49" s="27"/>
      <c r="G49" s="27"/>
      <c r="H49" s="27"/>
      <c r="I49" s="127">
        <f t="shared" si="0"/>
        <v>0</v>
      </c>
      <c r="K49" s="90"/>
      <c r="L49" s="90"/>
      <c r="M49" s="27"/>
      <c r="N49" s="27"/>
      <c r="O49" s="27"/>
      <c r="P49" s="27"/>
      <c r="Q49" s="27"/>
      <c r="R49" s="27"/>
      <c r="S49" s="27"/>
      <c r="T49" s="27"/>
      <c r="U49" s="27"/>
      <c r="V49" s="127">
        <f t="shared" si="1"/>
        <v>0</v>
      </c>
    </row>
    <row r="50" spans="1:22" ht="17.25" hidden="1" customHeight="1">
      <c r="A50" s="40">
        <v>43</v>
      </c>
      <c r="B50" s="89"/>
      <c r="C50" s="89"/>
      <c r="D50" s="27"/>
      <c r="E50" s="27"/>
      <c r="F50" s="27"/>
      <c r="G50" s="27"/>
      <c r="H50" s="27"/>
      <c r="I50" s="127">
        <f t="shared" si="0"/>
        <v>0</v>
      </c>
      <c r="K50" s="90"/>
      <c r="L50" s="90"/>
      <c r="M50" s="27"/>
      <c r="N50" s="27"/>
      <c r="O50" s="27"/>
      <c r="P50" s="27"/>
      <c r="Q50" s="27"/>
      <c r="R50" s="27"/>
      <c r="S50" s="27"/>
      <c r="T50" s="27"/>
      <c r="U50" s="27"/>
      <c r="V50" s="127">
        <f t="shared" si="1"/>
        <v>0</v>
      </c>
    </row>
    <row r="51" spans="1:22" ht="17.25" hidden="1" customHeight="1">
      <c r="A51" s="40">
        <v>44</v>
      </c>
      <c r="B51" s="89"/>
      <c r="C51" s="89"/>
      <c r="D51" s="27"/>
      <c r="E51" s="27"/>
      <c r="F51" s="27"/>
      <c r="G51" s="27"/>
      <c r="H51" s="27"/>
      <c r="I51" s="127">
        <f t="shared" si="0"/>
        <v>0</v>
      </c>
      <c r="K51" s="90"/>
      <c r="L51" s="90"/>
      <c r="M51" s="27"/>
      <c r="N51" s="27"/>
      <c r="O51" s="27"/>
      <c r="P51" s="27"/>
      <c r="Q51" s="27"/>
      <c r="R51" s="27"/>
      <c r="S51" s="27"/>
      <c r="T51" s="27"/>
      <c r="U51" s="27"/>
      <c r="V51" s="127">
        <f t="shared" si="1"/>
        <v>0</v>
      </c>
    </row>
    <row r="52" spans="1:22" hidden="1">
      <c r="A52" s="40">
        <v>45</v>
      </c>
      <c r="B52" s="89"/>
      <c r="C52" s="89"/>
      <c r="D52" s="27"/>
      <c r="E52" s="27"/>
      <c r="F52" s="27"/>
      <c r="G52" s="27"/>
      <c r="H52" s="27"/>
      <c r="I52" s="127">
        <f t="shared" si="0"/>
        <v>0</v>
      </c>
      <c r="K52" s="90"/>
      <c r="L52" s="90"/>
      <c r="M52" s="27"/>
      <c r="N52" s="27"/>
      <c r="O52" s="27"/>
      <c r="P52" s="27"/>
      <c r="Q52" s="27"/>
      <c r="R52" s="27"/>
      <c r="S52" s="27"/>
      <c r="T52" s="27"/>
      <c r="U52" s="27"/>
      <c r="V52" s="127">
        <f t="shared" si="1"/>
        <v>0</v>
      </c>
    </row>
    <row r="53" spans="1:22" hidden="1">
      <c r="A53" s="40">
        <v>46</v>
      </c>
      <c r="B53" s="89"/>
      <c r="C53" s="89"/>
      <c r="D53" s="27"/>
      <c r="E53" s="27"/>
      <c r="F53" s="27"/>
      <c r="G53" s="27"/>
      <c r="H53" s="27"/>
      <c r="I53" s="127">
        <f t="shared" si="0"/>
        <v>0</v>
      </c>
      <c r="K53" s="90"/>
      <c r="L53" s="90"/>
      <c r="M53" s="27"/>
      <c r="N53" s="27"/>
      <c r="O53" s="27"/>
      <c r="P53" s="27"/>
      <c r="Q53" s="27"/>
      <c r="R53" s="27"/>
      <c r="S53" s="27"/>
      <c r="T53" s="27"/>
      <c r="U53" s="27"/>
      <c r="V53" s="127">
        <f t="shared" si="1"/>
        <v>0</v>
      </c>
    </row>
    <row r="54" spans="1:22" hidden="1">
      <c r="A54" s="40">
        <v>47</v>
      </c>
      <c r="B54" s="89"/>
      <c r="C54" s="89"/>
      <c r="D54" s="27"/>
      <c r="E54" s="27"/>
      <c r="F54" s="27"/>
      <c r="G54" s="27"/>
      <c r="H54" s="27"/>
      <c r="I54" s="127">
        <f t="shared" si="0"/>
        <v>0</v>
      </c>
      <c r="K54" s="90"/>
      <c r="L54" s="90"/>
      <c r="M54" s="27"/>
      <c r="N54" s="27"/>
      <c r="O54" s="27"/>
      <c r="P54" s="27"/>
      <c r="Q54" s="27"/>
      <c r="R54" s="27"/>
      <c r="S54" s="27"/>
      <c r="T54" s="27"/>
      <c r="U54" s="27"/>
      <c r="V54" s="127">
        <f t="shared" si="1"/>
        <v>0</v>
      </c>
    </row>
    <row r="55" spans="1:22" hidden="1">
      <c r="A55" s="40">
        <v>48</v>
      </c>
      <c r="B55" s="89"/>
      <c r="C55" s="89"/>
      <c r="D55" s="27"/>
      <c r="E55" s="27"/>
      <c r="F55" s="27"/>
      <c r="G55" s="27"/>
      <c r="H55" s="27"/>
      <c r="I55" s="127">
        <f t="shared" si="0"/>
        <v>0</v>
      </c>
      <c r="K55" s="90"/>
      <c r="L55" s="90"/>
      <c r="M55" s="27"/>
      <c r="N55" s="27"/>
      <c r="O55" s="27"/>
      <c r="P55" s="27"/>
      <c r="Q55" s="27"/>
      <c r="R55" s="27"/>
      <c r="S55" s="27"/>
      <c r="T55" s="27"/>
      <c r="U55" s="27"/>
      <c r="V55" s="127">
        <f t="shared" si="1"/>
        <v>0</v>
      </c>
    </row>
    <row r="56" spans="1:22" hidden="1">
      <c r="A56" s="40">
        <v>49</v>
      </c>
      <c r="B56" s="89"/>
      <c r="C56" s="89"/>
      <c r="D56" s="27"/>
      <c r="E56" s="27"/>
      <c r="F56" s="27"/>
      <c r="G56" s="27"/>
      <c r="H56" s="27"/>
      <c r="I56" s="127">
        <f t="shared" si="0"/>
        <v>0</v>
      </c>
      <c r="K56" s="90"/>
      <c r="L56" s="90"/>
      <c r="M56" s="27"/>
      <c r="N56" s="27"/>
      <c r="O56" s="27"/>
      <c r="P56" s="27"/>
      <c r="Q56" s="27"/>
      <c r="R56" s="27"/>
      <c r="S56" s="27"/>
      <c r="T56" s="27"/>
      <c r="U56" s="27"/>
      <c r="V56" s="127">
        <f t="shared" si="1"/>
        <v>0</v>
      </c>
    </row>
    <row r="57" spans="1:22" hidden="1">
      <c r="A57" s="40">
        <v>50</v>
      </c>
      <c r="B57" s="89"/>
      <c r="C57" s="89"/>
      <c r="D57" s="27"/>
      <c r="E57" s="27"/>
      <c r="F57" s="27"/>
      <c r="G57" s="27"/>
      <c r="H57" s="27"/>
      <c r="I57" s="127">
        <f t="shared" si="0"/>
        <v>0</v>
      </c>
      <c r="K57" s="90"/>
      <c r="L57" s="90"/>
      <c r="M57" s="27"/>
      <c r="N57" s="27"/>
      <c r="O57" s="27"/>
      <c r="P57" s="27"/>
      <c r="Q57" s="27"/>
      <c r="R57" s="27"/>
      <c r="S57" s="27"/>
      <c r="T57" s="27"/>
      <c r="U57" s="27"/>
      <c r="V57" s="127">
        <f t="shared" si="1"/>
        <v>0</v>
      </c>
    </row>
    <row r="58" spans="1:22" hidden="1">
      <c r="A58" s="40">
        <v>51</v>
      </c>
      <c r="B58" s="89"/>
      <c r="C58" s="89"/>
      <c r="D58" s="27"/>
      <c r="E58" s="27"/>
      <c r="F58" s="27"/>
      <c r="G58" s="27"/>
      <c r="H58" s="27"/>
      <c r="I58" s="127">
        <f t="shared" si="0"/>
        <v>0</v>
      </c>
      <c r="K58" s="90"/>
      <c r="L58" s="90"/>
      <c r="M58" s="27"/>
      <c r="N58" s="27"/>
      <c r="O58" s="27"/>
      <c r="P58" s="27"/>
      <c r="Q58" s="27"/>
      <c r="R58" s="27"/>
      <c r="S58" s="27"/>
      <c r="T58" s="27"/>
      <c r="U58" s="27"/>
      <c r="V58" s="127">
        <f t="shared" si="1"/>
        <v>0</v>
      </c>
    </row>
    <row r="59" spans="1:22" hidden="1">
      <c r="A59" s="40">
        <v>52</v>
      </c>
      <c r="B59" s="89"/>
      <c r="C59" s="89"/>
      <c r="D59" s="27"/>
      <c r="E59" s="27"/>
      <c r="F59" s="27"/>
      <c r="G59" s="27"/>
      <c r="H59" s="27"/>
      <c r="I59" s="127">
        <f t="shared" si="0"/>
        <v>0</v>
      </c>
      <c r="K59" s="90"/>
      <c r="L59" s="90"/>
      <c r="M59" s="27"/>
      <c r="N59" s="27"/>
      <c r="O59" s="27"/>
      <c r="P59" s="27"/>
      <c r="Q59" s="27"/>
      <c r="R59" s="27"/>
      <c r="S59" s="27"/>
      <c r="T59" s="27"/>
      <c r="U59" s="27"/>
      <c r="V59" s="127">
        <f t="shared" si="1"/>
        <v>0</v>
      </c>
    </row>
    <row r="60" spans="1:22" hidden="1">
      <c r="A60" s="40">
        <v>53</v>
      </c>
      <c r="B60" s="89"/>
      <c r="C60" s="89"/>
      <c r="D60" s="27"/>
      <c r="E60" s="27"/>
      <c r="F60" s="27"/>
      <c r="G60" s="27"/>
      <c r="H60" s="27"/>
      <c r="I60" s="127">
        <f t="shared" si="0"/>
        <v>0</v>
      </c>
      <c r="K60" s="90"/>
      <c r="L60" s="90"/>
      <c r="M60" s="27"/>
      <c r="N60" s="27"/>
      <c r="O60" s="27"/>
      <c r="P60" s="27"/>
      <c r="Q60" s="27"/>
      <c r="R60" s="27"/>
      <c r="S60" s="27"/>
      <c r="T60" s="27"/>
      <c r="U60" s="27"/>
      <c r="V60" s="127">
        <f t="shared" si="1"/>
        <v>0</v>
      </c>
    </row>
    <row r="61" spans="1:22" hidden="1">
      <c r="A61" s="40">
        <v>54</v>
      </c>
      <c r="B61" s="89"/>
      <c r="C61" s="89"/>
      <c r="D61" s="27"/>
      <c r="E61" s="27"/>
      <c r="F61" s="27"/>
      <c r="G61" s="27"/>
      <c r="H61" s="27"/>
      <c r="I61" s="127">
        <f t="shared" si="0"/>
        <v>0</v>
      </c>
      <c r="K61" s="90"/>
      <c r="L61" s="90"/>
      <c r="M61" s="27"/>
      <c r="N61" s="27"/>
      <c r="O61" s="27"/>
      <c r="P61" s="27"/>
      <c r="Q61" s="27"/>
      <c r="R61" s="27"/>
      <c r="S61" s="27"/>
      <c r="T61" s="27"/>
      <c r="U61" s="27"/>
      <c r="V61" s="127">
        <f t="shared" si="1"/>
        <v>0</v>
      </c>
    </row>
    <row r="62" spans="1:22" hidden="1">
      <c r="A62" s="40">
        <v>55</v>
      </c>
      <c r="B62" s="89"/>
      <c r="C62" s="89"/>
      <c r="D62" s="27"/>
      <c r="E62" s="27"/>
      <c r="F62" s="27"/>
      <c r="G62" s="27"/>
      <c r="H62" s="27"/>
      <c r="I62" s="127">
        <f t="shared" si="0"/>
        <v>0</v>
      </c>
      <c r="K62" s="90"/>
      <c r="L62" s="90"/>
      <c r="M62" s="27"/>
      <c r="N62" s="27"/>
      <c r="O62" s="27"/>
      <c r="P62" s="27"/>
      <c r="Q62" s="27"/>
      <c r="R62" s="27"/>
      <c r="S62" s="27"/>
      <c r="T62" s="27"/>
      <c r="U62" s="27"/>
      <c r="V62" s="127">
        <f t="shared" si="1"/>
        <v>0</v>
      </c>
    </row>
    <row r="63" spans="1:22" hidden="1">
      <c r="A63" s="40">
        <v>56</v>
      </c>
      <c r="B63" s="89"/>
      <c r="C63" s="89"/>
      <c r="D63" s="27"/>
      <c r="E63" s="27"/>
      <c r="F63" s="27"/>
      <c r="G63" s="27"/>
      <c r="H63" s="27"/>
      <c r="I63" s="127">
        <f t="shared" si="0"/>
        <v>0</v>
      </c>
      <c r="K63" s="90"/>
      <c r="L63" s="90"/>
      <c r="M63" s="27"/>
      <c r="N63" s="27"/>
      <c r="O63" s="27"/>
      <c r="P63" s="27"/>
      <c r="Q63" s="27"/>
      <c r="R63" s="27"/>
      <c r="S63" s="27"/>
      <c r="T63" s="27"/>
      <c r="U63" s="27"/>
      <c r="V63" s="127">
        <f t="shared" si="1"/>
        <v>0</v>
      </c>
    </row>
    <row r="64" spans="1:22" hidden="1">
      <c r="A64" s="40">
        <v>57</v>
      </c>
      <c r="B64" s="89"/>
      <c r="C64" s="89"/>
      <c r="D64" s="27"/>
      <c r="E64" s="27"/>
      <c r="F64" s="27"/>
      <c r="G64" s="27"/>
      <c r="H64" s="27"/>
      <c r="I64" s="127">
        <f t="shared" si="0"/>
        <v>0</v>
      </c>
      <c r="K64" s="90"/>
      <c r="L64" s="90"/>
      <c r="M64" s="27"/>
      <c r="N64" s="27"/>
      <c r="O64" s="27"/>
      <c r="P64" s="27"/>
      <c r="Q64" s="27"/>
      <c r="R64" s="27"/>
      <c r="S64" s="27"/>
      <c r="T64" s="27"/>
      <c r="U64" s="27"/>
      <c r="V64" s="127">
        <f t="shared" si="1"/>
        <v>0</v>
      </c>
    </row>
    <row r="65" spans="1:22" hidden="1">
      <c r="A65" s="40">
        <v>58</v>
      </c>
      <c r="B65" s="89"/>
      <c r="C65" s="89"/>
      <c r="D65" s="27"/>
      <c r="E65" s="27"/>
      <c r="F65" s="27"/>
      <c r="G65" s="27"/>
      <c r="H65" s="27"/>
      <c r="I65" s="127">
        <f t="shared" si="0"/>
        <v>0</v>
      </c>
      <c r="K65" s="90"/>
      <c r="L65" s="90"/>
      <c r="M65" s="27"/>
      <c r="N65" s="27"/>
      <c r="O65" s="27"/>
      <c r="P65" s="27"/>
      <c r="Q65" s="27"/>
      <c r="R65" s="27"/>
      <c r="S65" s="27"/>
      <c r="T65" s="27"/>
      <c r="U65" s="27"/>
      <c r="V65" s="127">
        <f t="shared" si="1"/>
        <v>0</v>
      </c>
    </row>
    <row r="66" spans="1:22" hidden="1">
      <c r="A66" s="40">
        <v>59</v>
      </c>
      <c r="B66" s="89"/>
      <c r="C66" s="89"/>
      <c r="D66" s="27"/>
      <c r="E66" s="27"/>
      <c r="F66" s="27"/>
      <c r="G66" s="27"/>
      <c r="H66" s="27"/>
      <c r="I66" s="127">
        <f t="shared" si="0"/>
        <v>0</v>
      </c>
      <c r="K66" s="90"/>
      <c r="L66" s="90"/>
      <c r="M66" s="27"/>
      <c r="N66" s="27"/>
      <c r="O66" s="27"/>
      <c r="P66" s="27"/>
      <c r="Q66" s="27"/>
      <c r="R66" s="27"/>
      <c r="S66" s="27"/>
      <c r="T66" s="27"/>
      <c r="U66" s="27"/>
      <c r="V66" s="127">
        <f t="shared" si="1"/>
        <v>0</v>
      </c>
    </row>
    <row r="67" spans="1:22" hidden="1">
      <c r="A67" s="40">
        <v>60</v>
      </c>
      <c r="B67" s="89"/>
      <c r="C67" s="89"/>
      <c r="D67" s="27"/>
      <c r="E67" s="27"/>
      <c r="F67" s="27"/>
      <c r="G67" s="27"/>
      <c r="H67" s="27"/>
      <c r="I67" s="127">
        <f t="shared" si="0"/>
        <v>0</v>
      </c>
      <c r="K67" s="90"/>
      <c r="L67" s="90"/>
      <c r="M67" s="27"/>
      <c r="N67" s="27"/>
      <c r="O67" s="27"/>
      <c r="P67" s="27"/>
      <c r="Q67" s="27"/>
      <c r="R67" s="27"/>
      <c r="S67" s="27"/>
      <c r="T67" s="27"/>
      <c r="U67" s="27"/>
      <c r="V67" s="127">
        <f t="shared" si="1"/>
        <v>0</v>
      </c>
    </row>
    <row r="68" spans="1:22" hidden="1">
      <c r="A68" s="40">
        <v>61</v>
      </c>
      <c r="B68" s="89"/>
      <c r="C68" s="89"/>
      <c r="D68" s="27"/>
      <c r="E68" s="27"/>
      <c r="F68" s="27"/>
      <c r="G68" s="27"/>
      <c r="H68" s="27"/>
      <c r="I68" s="127">
        <f t="shared" si="0"/>
        <v>0</v>
      </c>
      <c r="K68" s="90"/>
      <c r="L68" s="90"/>
      <c r="M68" s="27"/>
      <c r="N68" s="27"/>
      <c r="O68" s="27"/>
      <c r="P68" s="27"/>
      <c r="Q68" s="27"/>
      <c r="R68" s="27"/>
      <c r="S68" s="27"/>
      <c r="T68" s="27"/>
      <c r="U68" s="27"/>
      <c r="V68" s="127">
        <f t="shared" si="1"/>
        <v>0</v>
      </c>
    </row>
    <row r="69" spans="1:22" hidden="1">
      <c r="A69" s="40">
        <v>62</v>
      </c>
      <c r="B69" s="89"/>
      <c r="C69" s="89"/>
      <c r="D69" s="27"/>
      <c r="E69" s="27"/>
      <c r="F69" s="27"/>
      <c r="G69" s="27"/>
      <c r="H69" s="27"/>
      <c r="I69" s="127">
        <f t="shared" si="0"/>
        <v>0</v>
      </c>
      <c r="K69" s="90"/>
      <c r="L69" s="90"/>
      <c r="M69" s="27"/>
      <c r="N69" s="27"/>
      <c r="O69" s="27"/>
      <c r="P69" s="27"/>
      <c r="Q69" s="27"/>
      <c r="R69" s="27"/>
      <c r="S69" s="27"/>
      <c r="T69" s="27"/>
      <c r="U69" s="27"/>
      <c r="V69" s="127">
        <f t="shared" si="1"/>
        <v>0</v>
      </c>
    </row>
    <row r="70" spans="1:22" hidden="1">
      <c r="A70" s="40">
        <v>63</v>
      </c>
      <c r="B70" s="89"/>
      <c r="C70" s="89"/>
      <c r="D70" s="27"/>
      <c r="E70" s="27"/>
      <c r="F70" s="27"/>
      <c r="G70" s="27"/>
      <c r="H70" s="27"/>
      <c r="I70" s="127">
        <f t="shared" si="0"/>
        <v>0</v>
      </c>
      <c r="K70" s="90"/>
      <c r="L70" s="90"/>
      <c r="M70" s="27"/>
      <c r="N70" s="27"/>
      <c r="O70" s="27"/>
      <c r="P70" s="27"/>
      <c r="Q70" s="27"/>
      <c r="R70" s="27"/>
      <c r="S70" s="27"/>
      <c r="T70" s="27"/>
      <c r="U70" s="27"/>
      <c r="V70" s="127">
        <f t="shared" si="1"/>
        <v>0</v>
      </c>
    </row>
    <row r="71" spans="1:22" hidden="1">
      <c r="A71" s="40">
        <v>64</v>
      </c>
      <c r="B71" s="89"/>
      <c r="C71" s="89"/>
      <c r="D71" s="27"/>
      <c r="E71" s="27"/>
      <c r="F71" s="27"/>
      <c r="G71" s="27"/>
      <c r="H71" s="27"/>
      <c r="I71" s="127">
        <f t="shared" si="0"/>
        <v>0</v>
      </c>
      <c r="K71" s="90"/>
      <c r="L71" s="90"/>
      <c r="M71" s="27"/>
      <c r="N71" s="27"/>
      <c r="O71" s="27"/>
      <c r="P71" s="27"/>
      <c r="Q71" s="27"/>
      <c r="R71" s="27"/>
      <c r="S71" s="27"/>
      <c r="T71" s="27"/>
      <c r="U71" s="27"/>
      <c r="V71" s="127">
        <f t="shared" si="1"/>
        <v>0</v>
      </c>
    </row>
    <row r="72" spans="1:22" hidden="1">
      <c r="A72" s="40">
        <v>65</v>
      </c>
      <c r="B72" s="89"/>
      <c r="C72" s="89"/>
      <c r="D72" s="27"/>
      <c r="E72" s="27"/>
      <c r="F72" s="27"/>
      <c r="G72" s="27"/>
      <c r="H72" s="27"/>
      <c r="I72" s="127">
        <f t="shared" si="0"/>
        <v>0</v>
      </c>
      <c r="K72" s="90"/>
      <c r="L72" s="90"/>
      <c r="M72" s="27"/>
      <c r="N72" s="27"/>
      <c r="O72" s="27"/>
      <c r="P72" s="27"/>
      <c r="Q72" s="27"/>
      <c r="R72" s="27"/>
      <c r="S72" s="27"/>
      <c r="T72" s="27"/>
      <c r="U72" s="27"/>
      <c r="V72" s="127">
        <f t="shared" si="1"/>
        <v>0</v>
      </c>
    </row>
    <row r="73" spans="1:22" hidden="1">
      <c r="A73" s="40">
        <v>66</v>
      </c>
      <c r="B73" s="89"/>
      <c r="C73" s="89"/>
      <c r="D73" s="27"/>
      <c r="E73" s="27"/>
      <c r="F73" s="27"/>
      <c r="G73" s="27"/>
      <c r="H73" s="27"/>
      <c r="I73" s="127">
        <f t="shared" si="0"/>
        <v>0</v>
      </c>
      <c r="K73" s="90"/>
      <c r="L73" s="90"/>
      <c r="M73" s="27"/>
      <c r="N73" s="27"/>
      <c r="O73" s="27"/>
      <c r="P73" s="27"/>
      <c r="Q73" s="27"/>
      <c r="R73" s="27"/>
      <c r="S73" s="27"/>
      <c r="T73" s="27"/>
      <c r="U73" s="27"/>
      <c r="V73" s="127">
        <f t="shared" si="1"/>
        <v>0</v>
      </c>
    </row>
    <row r="74" spans="1:22" hidden="1">
      <c r="A74" s="40">
        <v>67</v>
      </c>
      <c r="B74" s="89"/>
      <c r="C74" s="89"/>
      <c r="D74" s="27"/>
      <c r="E74" s="27"/>
      <c r="F74" s="27"/>
      <c r="G74" s="27"/>
      <c r="H74" s="27"/>
      <c r="I74" s="127">
        <f t="shared" si="0"/>
        <v>0</v>
      </c>
      <c r="K74" s="90"/>
      <c r="L74" s="90"/>
      <c r="M74" s="27"/>
      <c r="N74" s="27"/>
      <c r="O74" s="27"/>
      <c r="P74" s="27"/>
      <c r="Q74" s="27"/>
      <c r="R74" s="27"/>
      <c r="S74" s="27"/>
      <c r="T74" s="27"/>
      <c r="U74" s="27"/>
      <c r="V74" s="127">
        <f t="shared" si="1"/>
        <v>0</v>
      </c>
    </row>
    <row r="75" spans="1:22" hidden="1">
      <c r="A75" s="40">
        <v>68</v>
      </c>
      <c r="B75" s="89"/>
      <c r="C75" s="89"/>
      <c r="D75" s="27"/>
      <c r="E75" s="27"/>
      <c r="F75" s="27"/>
      <c r="G75" s="27"/>
      <c r="H75" s="27"/>
      <c r="I75" s="127">
        <f t="shared" si="0"/>
        <v>0</v>
      </c>
      <c r="K75" s="90"/>
      <c r="L75" s="90"/>
      <c r="M75" s="27"/>
      <c r="N75" s="27"/>
      <c r="O75" s="27"/>
      <c r="P75" s="27"/>
      <c r="Q75" s="27"/>
      <c r="R75" s="27"/>
      <c r="S75" s="27"/>
      <c r="T75" s="27"/>
      <c r="U75" s="27"/>
      <c r="V75" s="127">
        <f t="shared" si="1"/>
        <v>0</v>
      </c>
    </row>
    <row r="76" spans="1:22" hidden="1">
      <c r="A76" s="40">
        <v>69</v>
      </c>
      <c r="B76" s="89"/>
      <c r="C76" s="89"/>
      <c r="D76" s="27"/>
      <c r="E76" s="27"/>
      <c r="F76" s="27"/>
      <c r="G76" s="27"/>
      <c r="H76" s="27"/>
      <c r="I76" s="127">
        <f t="shared" ref="I76:I105" si="2">SUM(D76:H76)</f>
        <v>0</v>
      </c>
      <c r="K76" s="90"/>
      <c r="L76" s="90"/>
      <c r="M76" s="27"/>
      <c r="N76" s="27"/>
      <c r="O76" s="27"/>
      <c r="P76" s="27"/>
      <c r="Q76" s="27"/>
      <c r="R76" s="27"/>
      <c r="S76" s="27"/>
      <c r="T76" s="27"/>
      <c r="U76" s="27"/>
      <c r="V76" s="127">
        <f t="shared" si="1"/>
        <v>0</v>
      </c>
    </row>
    <row r="77" spans="1:22" hidden="1">
      <c r="A77" s="40">
        <v>70</v>
      </c>
      <c r="B77" s="89"/>
      <c r="C77" s="89"/>
      <c r="D77" s="27"/>
      <c r="E77" s="27"/>
      <c r="F77" s="27"/>
      <c r="G77" s="27"/>
      <c r="H77" s="27"/>
      <c r="I77" s="127">
        <f t="shared" si="2"/>
        <v>0</v>
      </c>
      <c r="K77" s="90"/>
      <c r="L77" s="90"/>
      <c r="M77" s="27"/>
      <c r="N77" s="27"/>
      <c r="O77" s="27"/>
      <c r="P77" s="27"/>
      <c r="Q77" s="27"/>
      <c r="R77" s="27"/>
      <c r="S77" s="27"/>
      <c r="T77" s="27"/>
      <c r="U77" s="27"/>
      <c r="V77" s="127">
        <f t="shared" ref="V77:V107" si="3">SUM(M77:U77)</f>
        <v>0</v>
      </c>
    </row>
    <row r="78" spans="1:22" hidden="1">
      <c r="A78" s="40">
        <v>71</v>
      </c>
      <c r="B78" s="89"/>
      <c r="C78" s="89"/>
      <c r="D78" s="27"/>
      <c r="E78" s="27"/>
      <c r="F78" s="27"/>
      <c r="G78" s="27"/>
      <c r="H78" s="27"/>
      <c r="I78" s="127">
        <f t="shared" si="2"/>
        <v>0</v>
      </c>
      <c r="K78" s="90"/>
      <c r="L78" s="90"/>
      <c r="M78" s="27"/>
      <c r="N78" s="27"/>
      <c r="O78" s="27"/>
      <c r="P78" s="27"/>
      <c r="Q78" s="27"/>
      <c r="R78" s="27"/>
      <c r="S78" s="27"/>
      <c r="T78" s="27"/>
      <c r="U78" s="27"/>
      <c r="V78" s="127">
        <f t="shared" si="3"/>
        <v>0</v>
      </c>
    </row>
    <row r="79" spans="1:22" hidden="1">
      <c r="A79" s="40">
        <v>72</v>
      </c>
      <c r="B79" s="89"/>
      <c r="C79" s="89"/>
      <c r="D79" s="27"/>
      <c r="E79" s="27"/>
      <c r="F79" s="27"/>
      <c r="G79" s="27"/>
      <c r="H79" s="27"/>
      <c r="I79" s="127">
        <f t="shared" si="2"/>
        <v>0</v>
      </c>
      <c r="K79" s="90"/>
      <c r="L79" s="90"/>
      <c r="M79" s="27"/>
      <c r="N79" s="27"/>
      <c r="O79" s="27"/>
      <c r="P79" s="27"/>
      <c r="Q79" s="27"/>
      <c r="R79" s="27"/>
      <c r="S79" s="27"/>
      <c r="T79" s="27"/>
      <c r="U79" s="27"/>
      <c r="V79" s="127">
        <f t="shared" si="3"/>
        <v>0</v>
      </c>
    </row>
    <row r="80" spans="1:22" hidden="1">
      <c r="A80" s="40">
        <v>73</v>
      </c>
      <c r="B80" s="89"/>
      <c r="C80" s="89"/>
      <c r="D80" s="27"/>
      <c r="E80" s="27"/>
      <c r="F80" s="27"/>
      <c r="G80" s="27"/>
      <c r="H80" s="27"/>
      <c r="I80" s="127">
        <f t="shared" si="2"/>
        <v>0</v>
      </c>
      <c r="K80" s="90"/>
      <c r="L80" s="90"/>
      <c r="M80" s="27"/>
      <c r="N80" s="27"/>
      <c r="O80" s="27"/>
      <c r="P80" s="27"/>
      <c r="Q80" s="27"/>
      <c r="R80" s="27"/>
      <c r="S80" s="27"/>
      <c r="T80" s="27"/>
      <c r="U80" s="27"/>
      <c r="V80" s="127">
        <f t="shared" si="3"/>
        <v>0</v>
      </c>
    </row>
    <row r="81" spans="1:22" hidden="1">
      <c r="A81" s="40">
        <v>74</v>
      </c>
      <c r="B81" s="89"/>
      <c r="C81" s="89"/>
      <c r="D81" s="27"/>
      <c r="E81" s="27"/>
      <c r="F81" s="27"/>
      <c r="G81" s="27"/>
      <c r="H81" s="27"/>
      <c r="I81" s="127">
        <f t="shared" si="2"/>
        <v>0</v>
      </c>
      <c r="K81" s="90"/>
      <c r="L81" s="90"/>
      <c r="M81" s="27"/>
      <c r="N81" s="27"/>
      <c r="O81" s="27"/>
      <c r="P81" s="27"/>
      <c r="Q81" s="27"/>
      <c r="R81" s="27"/>
      <c r="S81" s="27"/>
      <c r="T81" s="27"/>
      <c r="U81" s="27"/>
      <c r="V81" s="127">
        <f t="shared" si="3"/>
        <v>0</v>
      </c>
    </row>
    <row r="82" spans="1:22" hidden="1">
      <c r="A82" s="40">
        <v>75</v>
      </c>
      <c r="B82" s="89"/>
      <c r="C82" s="89"/>
      <c r="D82" s="27"/>
      <c r="E82" s="27"/>
      <c r="F82" s="27"/>
      <c r="G82" s="27"/>
      <c r="H82" s="27"/>
      <c r="I82" s="127">
        <f t="shared" si="2"/>
        <v>0</v>
      </c>
      <c r="K82" s="90"/>
      <c r="L82" s="90"/>
      <c r="M82" s="27"/>
      <c r="N82" s="27"/>
      <c r="O82" s="27"/>
      <c r="P82" s="27"/>
      <c r="Q82" s="27"/>
      <c r="R82" s="27"/>
      <c r="S82" s="27"/>
      <c r="T82" s="27"/>
      <c r="U82" s="27"/>
      <c r="V82" s="127">
        <f t="shared" si="3"/>
        <v>0</v>
      </c>
    </row>
    <row r="83" spans="1:22" hidden="1">
      <c r="A83" s="40">
        <v>76</v>
      </c>
      <c r="B83" s="89"/>
      <c r="C83" s="89"/>
      <c r="D83" s="27"/>
      <c r="E83" s="27"/>
      <c r="F83" s="27"/>
      <c r="G83" s="27"/>
      <c r="H83" s="27"/>
      <c r="I83" s="127">
        <f t="shared" si="2"/>
        <v>0</v>
      </c>
      <c r="K83" s="90"/>
      <c r="L83" s="90"/>
      <c r="M83" s="27"/>
      <c r="N83" s="27"/>
      <c r="O83" s="27"/>
      <c r="P83" s="27"/>
      <c r="Q83" s="27"/>
      <c r="R83" s="27"/>
      <c r="S83" s="27"/>
      <c r="T83" s="27"/>
      <c r="U83" s="27"/>
      <c r="V83" s="127">
        <f t="shared" si="3"/>
        <v>0</v>
      </c>
    </row>
    <row r="84" spans="1:22" hidden="1">
      <c r="A84" s="40">
        <v>77</v>
      </c>
      <c r="B84" s="89"/>
      <c r="C84" s="89"/>
      <c r="D84" s="27"/>
      <c r="E84" s="27"/>
      <c r="F84" s="27"/>
      <c r="G84" s="27"/>
      <c r="H84" s="27"/>
      <c r="I84" s="127">
        <f t="shared" si="2"/>
        <v>0</v>
      </c>
      <c r="K84" s="90"/>
      <c r="L84" s="90"/>
      <c r="M84" s="27"/>
      <c r="N84" s="27"/>
      <c r="O84" s="27"/>
      <c r="P84" s="27"/>
      <c r="Q84" s="27"/>
      <c r="R84" s="27"/>
      <c r="S84" s="27"/>
      <c r="T84" s="27"/>
      <c r="U84" s="27"/>
      <c r="V84" s="127">
        <f t="shared" si="3"/>
        <v>0</v>
      </c>
    </row>
    <row r="85" spans="1:22" hidden="1">
      <c r="A85" s="40">
        <v>78</v>
      </c>
      <c r="B85" s="89"/>
      <c r="C85" s="89"/>
      <c r="D85" s="27"/>
      <c r="E85" s="27"/>
      <c r="F85" s="27"/>
      <c r="G85" s="27"/>
      <c r="H85" s="27"/>
      <c r="I85" s="127">
        <f t="shared" si="2"/>
        <v>0</v>
      </c>
      <c r="K85" s="90"/>
      <c r="L85" s="90"/>
      <c r="M85" s="27"/>
      <c r="N85" s="27"/>
      <c r="O85" s="27"/>
      <c r="P85" s="27"/>
      <c r="Q85" s="27"/>
      <c r="R85" s="27"/>
      <c r="S85" s="27"/>
      <c r="T85" s="27"/>
      <c r="U85" s="27"/>
      <c r="V85" s="127">
        <f t="shared" si="3"/>
        <v>0</v>
      </c>
    </row>
    <row r="86" spans="1:22" hidden="1">
      <c r="A86" s="40">
        <v>79</v>
      </c>
      <c r="B86" s="89"/>
      <c r="C86" s="89"/>
      <c r="D86" s="27"/>
      <c r="E86" s="27"/>
      <c r="F86" s="27"/>
      <c r="G86" s="27"/>
      <c r="H86" s="27"/>
      <c r="I86" s="127">
        <f t="shared" si="2"/>
        <v>0</v>
      </c>
      <c r="K86" s="90"/>
      <c r="L86" s="90"/>
      <c r="M86" s="27"/>
      <c r="N86" s="27"/>
      <c r="O86" s="27"/>
      <c r="P86" s="27"/>
      <c r="Q86" s="27"/>
      <c r="R86" s="27"/>
      <c r="S86" s="27"/>
      <c r="T86" s="27"/>
      <c r="U86" s="27"/>
      <c r="V86" s="127">
        <f t="shared" si="3"/>
        <v>0</v>
      </c>
    </row>
    <row r="87" spans="1:22" hidden="1">
      <c r="A87" s="40">
        <v>80</v>
      </c>
      <c r="B87" s="89"/>
      <c r="C87" s="89"/>
      <c r="D87" s="27"/>
      <c r="E87" s="27"/>
      <c r="F87" s="27"/>
      <c r="G87" s="27"/>
      <c r="H87" s="27"/>
      <c r="I87" s="127">
        <f t="shared" si="2"/>
        <v>0</v>
      </c>
      <c r="K87" s="90"/>
      <c r="L87" s="90"/>
      <c r="M87" s="27"/>
      <c r="N87" s="27"/>
      <c r="O87" s="27"/>
      <c r="P87" s="27"/>
      <c r="Q87" s="27"/>
      <c r="R87" s="27"/>
      <c r="S87" s="27"/>
      <c r="T87" s="27"/>
      <c r="U87" s="27"/>
      <c r="V87" s="127">
        <f t="shared" si="3"/>
        <v>0</v>
      </c>
    </row>
    <row r="88" spans="1:22" hidden="1">
      <c r="A88" s="40">
        <v>81</v>
      </c>
      <c r="B88" s="89"/>
      <c r="C88" s="89"/>
      <c r="D88" s="27"/>
      <c r="E88" s="27"/>
      <c r="F88" s="27"/>
      <c r="G88" s="27"/>
      <c r="H88" s="27"/>
      <c r="I88" s="127">
        <f t="shared" si="2"/>
        <v>0</v>
      </c>
      <c r="K88" s="90"/>
      <c r="L88" s="90"/>
      <c r="M88" s="27"/>
      <c r="N88" s="27"/>
      <c r="O88" s="27"/>
      <c r="P88" s="27"/>
      <c r="Q88" s="27"/>
      <c r="R88" s="27"/>
      <c r="S88" s="27"/>
      <c r="T88" s="27"/>
      <c r="U88" s="27"/>
      <c r="V88" s="127">
        <f t="shared" si="3"/>
        <v>0</v>
      </c>
    </row>
    <row r="89" spans="1:22" hidden="1">
      <c r="A89" s="40">
        <v>82</v>
      </c>
      <c r="B89" s="89"/>
      <c r="C89" s="89"/>
      <c r="D89" s="27"/>
      <c r="E89" s="27"/>
      <c r="F89" s="27"/>
      <c r="G89" s="27"/>
      <c r="H89" s="27"/>
      <c r="I89" s="127">
        <f t="shared" si="2"/>
        <v>0</v>
      </c>
      <c r="K89" s="90"/>
      <c r="L89" s="90"/>
      <c r="M89" s="27"/>
      <c r="N89" s="27"/>
      <c r="O89" s="27"/>
      <c r="P89" s="27"/>
      <c r="Q89" s="27"/>
      <c r="R89" s="27"/>
      <c r="S89" s="27"/>
      <c r="T89" s="27"/>
      <c r="U89" s="27"/>
      <c r="V89" s="127">
        <f t="shared" si="3"/>
        <v>0</v>
      </c>
    </row>
    <row r="90" spans="1:22" hidden="1">
      <c r="A90" s="40">
        <v>83</v>
      </c>
      <c r="B90" s="89"/>
      <c r="C90" s="89"/>
      <c r="D90" s="27"/>
      <c r="E90" s="27"/>
      <c r="F90" s="27"/>
      <c r="G90" s="27"/>
      <c r="H90" s="27"/>
      <c r="I90" s="127">
        <f t="shared" si="2"/>
        <v>0</v>
      </c>
      <c r="K90" s="90"/>
      <c r="L90" s="90"/>
      <c r="M90" s="27"/>
      <c r="N90" s="27"/>
      <c r="O90" s="27"/>
      <c r="P90" s="27"/>
      <c r="Q90" s="27"/>
      <c r="R90" s="27"/>
      <c r="S90" s="27"/>
      <c r="T90" s="27"/>
      <c r="U90" s="27"/>
      <c r="V90" s="127">
        <f t="shared" si="3"/>
        <v>0</v>
      </c>
    </row>
    <row r="91" spans="1:22" hidden="1">
      <c r="A91" s="40">
        <v>84</v>
      </c>
      <c r="B91" s="89"/>
      <c r="C91" s="89"/>
      <c r="D91" s="27"/>
      <c r="E91" s="27"/>
      <c r="F91" s="27"/>
      <c r="G91" s="27"/>
      <c r="H91" s="27"/>
      <c r="I91" s="127">
        <f t="shared" si="2"/>
        <v>0</v>
      </c>
      <c r="K91" s="90"/>
      <c r="L91" s="90"/>
      <c r="M91" s="27"/>
      <c r="N91" s="27"/>
      <c r="O91" s="27"/>
      <c r="P91" s="27"/>
      <c r="Q91" s="27"/>
      <c r="R91" s="27"/>
      <c r="S91" s="27"/>
      <c r="T91" s="27"/>
      <c r="U91" s="27"/>
      <c r="V91" s="127">
        <f t="shared" si="3"/>
        <v>0</v>
      </c>
    </row>
    <row r="92" spans="1:22" hidden="1">
      <c r="A92" s="40">
        <v>85</v>
      </c>
      <c r="B92" s="89"/>
      <c r="C92" s="89"/>
      <c r="D92" s="27"/>
      <c r="E92" s="27"/>
      <c r="F92" s="27"/>
      <c r="G92" s="27"/>
      <c r="H92" s="27"/>
      <c r="I92" s="127">
        <f t="shared" si="2"/>
        <v>0</v>
      </c>
      <c r="K92" s="90"/>
      <c r="L92" s="90"/>
      <c r="M92" s="27"/>
      <c r="N92" s="27"/>
      <c r="O92" s="27"/>
      <c r="P92" s="27"/>
      <c r="Q92" s="27"/>
      <c r="R92" s="27"/>
      <c r="S92" s="27"/>
      <c r="T92" s="27"/>
      <c r="U92" s="27"/>
      <c r="V92" s="127">
        <f t="shared" si="3"/>
        <v>0</v>
      </c>
    </row>
    <row r="93" spans="1:22" hidden="1">
      <c r="A93" s="40">
        <v>86</v>
      </c>
      <c r="B93" s="89"/>
      <c r="C93" s="89"/>
      <c r="D93" s="27"/>
      <c r="E93" s="27"/>
      <c r="F93" s="27"/>
      <c r="G93" s="27"/>
      <c r="H93" s="27"/>
      <c r="I93" s="127">
        <f t="shared" si="2"/>
        <v>0</v>
      </c>
      <c r="K93" s="90"/>
      <c r="L93" s="90"/>
      <c r="M93" s="27"/>
      <c r="N93" s="27"/>
      <c r="O93" s="27"/>
      <c r="P93" s="27"/>
      <c r="Q93" s="27"/>
      <c r="R93" s="27"/>
      <c r="S93" s="27"/>
      <c r="T93" s="27"/>
      <c r="U93" s="27"/>
      <c r="V93" s="127">
        <f t="shared" si="3"/>
        <v>0</v>
      </c>
    </row>
    <row r="94" spans="1:22" hidden="1">
      <c r="A94" s="40">
        <v>87</v>
      </c>
      <c r="B94" s="89"/>
      <c r="C94" s="89"/>
      <c r="D94" s="27"/>
      <c r="E94" s="27"/>
      <c r="F94" s="27"/>
      <c r="G94" s="27"/>
      <c r="H94" s="27"/>
      <c r="I94" s="127">
        <f t="shared" si="2"/>
        <v>0</v>
      </c>
      <c r="K94" s="90"/>
      <c r="L94" s="90"/>
      <c r="M94" s="27"/>
      <c r="N94" s="27"/>
      <c r="O94" s="27"/>
      <c r="P94" s="27"/>
      <c r="Q94" s="27"/>
      <c r="R94" s="27"/>
      <c r="S94" s="27"/>
      <c r="T94" s="27"/>
      <c r="U94" s="27"/>
      <c r="V94" s="127">
        <f t="shared" si="3"/>
        <v>0</v>
      </c>
    </row>
    <row r="95" spans="1:22" hidden="1">
      <c r="A95" s="40">
        <v>88</v>
      </c>
      <c r="B95" s="89"/>
      <c r="C95" s="89"/>
      <c r="D95" s="27"/>
      <c r="E95" s="27"/>
      <c r="F95" s="27"/>
      <c r="G95" s="27"/>
      <c r="H95" s="27"/>
      <c r="I95" s="127">
        <f t="shared" si="2"/>
        <v>0</v>
      </c>
      <c r="K95" s="90"/>
      <c r="L95" s="90"/>
      <c r="M95" s="27"/>
      <c r="N95" s="27"/>
      <c r="O95" s="27"/>
      <c r="P95" s="27"/>
      <c r="Q95" s="27"/>
      <c r="R95" s="27"/>
      <c r="S95" s="27"/>
      <c r="T95" s="27"/>
      <c r="U95" s="27"/>
      <c r="V95" s="127">
        <f t="shared" si="3"/>
        <v>0</v>
      </c>
    </row>
    <row r="96" spans="1:22" hidden="1">
      <c r="A96" s="40">
        <v>89</v>
      </c>
      <c r="B96" s="89"/>
      <c r="C96" s="89"/>
      <c r="D96" s="27"/>
      <c r="E96" s="27"/>
      <c r="F96" s="27"/>
      <c r="G96" s="27"/>
      <c r="H96" s="27"/>
      <c r="I96" s="127">
        <f t="shared" si="2"/>
        <v>0</v>
      </c>
      <c r="K96" s="90"/>
      <c r="L96" s="90"/>
      <c r="M96" s="27"/>
      <c r="N96" s="27"/>
      <c r="O96" s="27"/>
      <c r="P96" s="27"/>
      <c r="Q96" s="27"/>
      <c r="R96" s="27"/>
      <c r="S96" s="27"/>
      <c r="T96" s="27"/>
      <c r="U96" s="27"/>
      <c r="V96" s="127">
        <f t="shared" si="3"/>
        <v>0</v>
      </c>
    </row>
    <row r="97" spans="1:22" hidden="1">
      <c r="A97" s="40">
        <v>90</v>
      </c>
      <c r="B97" s="89"/>
      <c r="C97" s="89"/>
      <c r="D97" s="27"/>
      <c r="E97" s="27"/>
      <c r="F97" s="27"/>
      <c r="G97" s="27"/>
      <c r="H97" s="27"/>
      <c r="I97" s="127">
        <f t="shared" si="2"/>
        <v>0</v>
      </c>
      <c r="K97" s="90"/>
      <c r="L97" s="90"/>
      <c r="M97" s="27"/>
      <c r="N97" s="27"/>
      <c r="O97" s="27"/>
      <c r="P97" s="27"/>
      <c r="Q97" s="27"/>
      <c r="R97" s="27"/>
      <c r="S97" s="27"/>
      <c r="T97" s="27"/>
      <c r="U97" s="27"/>
      <c r="V97" s="127">
        <f t="shared" si="3"/>
        <v>0</v>
      </c>
    </row>
    <row r="98" spans="1:22" hidden="1">
      <c r="A98" s="40">
        <v>91</v>
      </c>
      <c r="B98" s="89"/>
      <c r="C98" s="89"/>
      <c r="D98" s="27"/>
      <c r="E98" s="27"/>
      <c r="F98" s="27"/>
      <c r="G98" s="27"/>
      <c r="H98" s="27"/>
      <c r="I98" s="127">
        <f t="shared" si="2"/>
        <v>0</v>
      </c>
      <c r="K98" s="90"/>
      <c r="L98" s="90"/>
      <c r="M98" s="27"/>
      <c r="N98" s="27"/>
      <c r="O98" s="27"/>
      <c r="P98" s="27"/>
      <c r="Q98" s="27"/>
      <c r="R98" s="27"/>
      <c r="S98" s="27"/>
      <c r="T98" s="27"/>
      <c r="U98" s="27"/>
      <c r="V98" s="127">
        <f t="shared" si="3"/>
        <v>0</v>
      </c>
    </row>
    <row r="99" spans="1:22" hidden="1">
      <c r="A99" s="40">
        <v>92</v>
      </c>
      <c r="B99" s="89"/>
      <c r="C99" s="89"/>
      <c r="D99" s="27"/>
      <c r="E99" s="27"/>
      <c r="F99" s="27"/>
      <c r="G99" s="27"/>
      <c r="H99" s="27"/>
      <c r="I99" s="127">
        <f t="shared" si="2"/>
        <v>0</v>
      </c>
      <c r="K99" s="90"/>
      <c r="L99" s="90"/>
      <c r="M99" s="27"/>
      <c r="N99" s="27"/>
      <c r="O99" s="27"/>
      <c r="P99" s="27"/>
      <c r="Q99" s="27"/>
      <c r="R99" s="27"/>
      <c r="S99" s="27"/>
      <c r="T99" s="27"/>
      <c r="U99" s="27"/>
      <c r="V99" s="127">
        <f t="shared" si="3"/>
        <v>0</v>
      </c>
    </row>
    <row r="100" spans="1:22" hidden="1">
      <c r="A100" s="40">
        <v>93</v>
      </c>
      <c r="B100" s="89"/>
      <c r="C100" s="89"/>
      <c r="D100" s="27"/>
      <c r="E100" s="27"/>
      <c r="F100" s="27"/>
      <c r="G100" s="27"/>
      <c r="H100" s="27"/>
      <c r="I100" s="127">
        <f t="shared" si="2"/>
        <v>0</v>
      </c>
      <c r="K100" s="90"/>
      <c r="L100" s="90"/>
      <c r="M100" s="27"/>
      <c r="N100" s="27"/>
      <c r="O100" s="27"/>
      <c r="P100" s="27"/>
      <c r="Q100" s="27"/>
      <c r="R100" s="27"/>
      <c r="S100" s="27"/>
      <c r="T100" s="27"/>
      <c r="U100" s="27"/>
      <c r="V100" s="127">
        <f t="shared" si="3"/>
        <v>0</v>
      </c>
    </row>
    <row r="101" spans="1:22" hidden="1">
      <c r="A101" s="40">
        <v>94</v>
      </c>
      <c r="B101" s="89"/>
      <c r="C101" s="89"/>
      <c r="D101" s="27"/>
      <c r="E101" s="27"/>
      <c r="F101" s="27"/>
      <c r="G101" s="27"/>
      <c r="H101" s="27"/>
      <c r="I101" s="127">
        <f t="shared" si="2"/>
        <v>0</v>
      </c>
      <c r="K101" s="90"/>
      <c r="L101" s="90"/>
      <c r="M101" s="27"/>
      <c r="N101" s="27"/>
      <c r="O101" s="27"/>
      <c r="P101" s="27"/>
      <c r="Q101" s="27"/>
      <c r="R101" s="27"/>
      <c r="S101" s="27"/>
      <c r="T101" s="27"/>
      <c r="U101" s="27"/>
      <c r="V101" s="127">
        <f t="shared" si="3"/>
        <v>0</v>
      </c>
    </row>
    <row r="102" spans="1:22" hidden="1">
      <c r="A102" s="40">
        <v>95</v>
      </c>
      <c r="B102" s="89"/>
      <c r="C102" s="89"/>
      <c r="D102" s="27"/>
      <c r="E102" s="27"/>
      <c r="F102" s="27"/>
      <c r="G102" s="27"/>
      <c r="H102" s="27"/>
      <c r="I102" s="127">
        <f t="shared" si="2"/>
        <v>0</v>
      </c>
      <c r="K102" s="90"/>
      <c r="L102" s="90"/>
      <c r="M102" s="27"/>
      <c r="N102" s="27"/>
      <c r="O102" s="27"/>
      <c r="P102" s="27"/>
      <c r="Q102" s="27"/>
      <c r="R102" s="27"/>
      <c r="S102" s="27"/>
      <c r="T102" s="27"/>
      <c r="U102" s="27"/>
      <c r="V102" s="127">
        <f t="shared" si="3"/>
        <v>0</v>
      </c>
    </row>
    <row r="103" spans="1:22" hidden="1">
      <c r="A103" s="40">
        <v>96</v>
      </c>
      <c r="B103" s="89"/>
      <c r="C103" s="89"/>
      <c r="D103" s="27"/>
      <c r="E103" s="27"/>
      <c r="F103" s="27"/>
      <c r="G103" s="27"/>
      <c r="H103" s="27"/>
      <c r="I103" s="127">
        <f t="shared" si="2"/>
        <v>0</v>
      </c>
      <c r="K103" s="90"/>
      <c r="L103" s="90"/>
      <c r="M103" s="27"/>
      <c r="N103" s="27"/>
      <c r="O103" s="27"/>
      <c r="P103" s="27"/>
      <c r="Q103" s="27"/>
      <c r="R103" s="27"/>
      <c r="S103" s="27"/>
      <c r="T103" s="27"/>
      <c r="U103" s="27"/>
      <c r="V103" s="127">
        <f t="shared" si="3"/>
        <v>0</v>
      </c>
    </row>
    <row r="104" spans="1:22" hidden="1">
      <c r="A104" s="40">
        <v>97</v>
      </c>
      <c r="B104" s="89"/>
      <c r="C104" s="89"/>
      <c r="D104" s="27"/>
      <c r="E104" s="27"/>
      <c r="F104" s="27"/>
      <c r="G104" s="27"/>
      <c r="H104" s="27"/>
      <c r="I104" s="127">
        <f t="shared" si="2"/>
        <v>0</v>
      </c>
      <c r="K104" s="90"/>
      <c r="L104" s="90"/>
      <c r="M104" s="27"/>
      <c r="N104" s="27"/>
      <c r="O104" s="27"/>
      <c r="P104" s="27"/>
      <c r="Q104" s="27"/>
      <c r="R104" s="27"/>
      <c r="S104" s="27"/>
      <c r="T104" s="27"/>
      <c r="U104" s="27"/>
      <c r="V104" s="127">
        <f t="shared" si="3"/>
        <v>0</v>
      </c>
    </row>
    <row r="105" spans="1:22" hidden="1">
      <c r="A105" s="40">
        <v>98</v>
      </c>
      <c r="B105" s="89"/>
      <c r="C105" s="89"/>
      <c r="D105" s="27"/>
      <c r="E105" s="27"/>
      <c r="F105" s="27"/>
      <c r="G105" s="27"/>
      <c r="H105" s="27"/>
      <c r="I105" s="127">
        <f t="shared" si="2"/>
        <v>0</v>
      </c>
      <c r="K105" s="90"/>
      <c r="L105" s="90"/>
      <c r="M105" s="27"/>
      <c r="N105" s="27"/>
      <c r="O105" s="27"/>
      <c r="P105" s="27"/>
      <c r="Q105" s="27"/>
      <c r="R105" s="27"/>
      <c r="S105" s="27"/>
      <c r="T105" s="27"/>
      <c r="U105" s="27"/>
      <c r="V105" s="127">
        <f t="shared" si="3"/>
        <v>0</v>
      </c>
    </row>
    <row r="106" spans="1:22" hidden="1">
      <c r="A106" s="40">
        <v>99</v>
      </c>
      <c r="V106" s="127">
        <f t="shared" si="3"/>
        <v>0</v>
      </c>
    </row>
    <row r="107" spans="1:22" ht="21.75" customHeight="1">
      <c r="B107" s="132" t="s">
        <v>102</v>
      </c>
      <c r="C107" s="162"/>
      <c r="D107" s="151">
        <v>1</v>
      </c>
      <c r="E107" s="151">
        <v>1</v>
      </c>
      <c r="F107" s="151">
        <v>1</v>
      </c>
      <c r="G107" s="151">
        <v>2</v>
      </c>
      <c r="H107" s="25"/>
      <c r="I107" s="127">
        <v>5</v>
      </c>
      <c r="K107" s="132" t="s">
        <v>103</v>
      </c>
      <c r="L107" s="162"/>
      <c r="M107" s="151">
        <v>2</v>
      </c>
      <c r="N107" s="151">
        <v>1</v>
      </c>
      <c r="O107" s="151">
        <v>3</v>
      </c>
      <c r="P107" s="151">
        <v>3</v>
      </c>
      <c r="Q107" s="151">
        <v>0</v>
      </c>
      <c r="R107" s="151">
        <v>2</v>
      </c>
      <c r="S107" s="151">
        <v>3</v>
      </c>
      <c r="T107" s="151">
        <v>0</v>
      </c>
      <c r="U107" s="134"/>
      <c r="V107" s="127">
        <f t="shared" si="3"/>
        <v>14</v>
      </c>
    </row>
    <row r="108" spans="1:22" ht="15">
      <c r="I108" s="40"/>
      <c r="V108" s="40"/>
    </row>
  </sheetData>
  <conditionalFormatting sqref="B18:C18 K18">
    <cfRule type="expression" dxfId="131" priority="23">
      <formula>IF(D18="h",TRUE,)</formula>
    </cfRule>
    <cfRule type="cellIs" dxfId="130" priority="24" operator="equal">
      <formula>"""h"""</formula>
    </cfRule>
    <cfRule type="cellIs" dxfId="129" priority="25" operator="equal">
      <formula>"""h"""</formula>
    </cfRule>
  </conditionalFormatting>
  <conditionalFormatting sqref="B13:C13 K13 K15 K11">
    <cfRule type="expression" dxfId="128" priority="20">
      <formula>IF(D12="h",TRUE,)</formula>
    </cfRule>
    <cfRule type="cellIs" dxfId="127" priority="21" operator="equal">
      <formula>"""h"""</formula>
    </cfRule>
    <cfRule type="cellIs" dxfId="126" priority="22" operator="equal">
      <formula>"""h"""</formula>
    </cfRule>
  </conditionalFormatting>
  <conditionalFormatting sqref="C13 L13">
    <cfRule type="expression" dxfId="125" priority="17">
      <formula>IF(A14="h",TRUE,)</formula>
    </cfRule>
    <cfRule type="cellIs" dxfId="124" priority="18" operator="equal">
      <formula>"""h"""</formula>
    </cfRule>
    <cfRule type="cellIs" dxfId="123" priority="19" operator="equal">
      <formula>"""h"""</formula>
    </cfRule>
  </conditionalFormatting>
  <conditionalFormatting sqref="K21:L21 L18 K11:L11 B11:C11 K13:L17 B13:B14 B16:B17">
    <cfRule type="expression" dxfId="122" priority="14">
      <formula>IF(#REF!="h",TRUE,)</formula>
    </cfRule>
    <cfRule type="cellIs" dxfId="121" priority="15" operator="equal">
      <formula>"""h"""</formula>
    </cfRule>
    <cfRule type="cellIs" dxfId="120" priority="16" operator="equal">
      <formula>"""h"""</formula>
    </cfRule>
  </conditionalFormatting>
  <conditionalFormatting sqref="L11:L28 C11:C28">
    <cfRule type="expression" dxfId="119" priority="13">
      <formula>IF(OR(C11=f,C11=m,C11=n),"vrai",)</formula>
    </cfRule>
  </conditionalFormatting>
  <conditionalFormatting sqref="K15 B11:B13 K11:K12">
    <cfRule type="expression" dxfId="118" priority="8">
      <formula>IF(C12="h",TRUE,)</formula>
    </cfRule>
    <cfRule type="cellIs" dxfId="117" priority="9" operator="equal">
      <formula>"""h"""</formula>
    </cfRule>
    <cfRule type="cellIs" dxfId="116" priority="10" operator="equal">
      <formula>"""h"""</formula>
    </cfRule>
  </conditionalFormatting>
  <conditionalFormatting sqref="K16">
    <cfRule type="cellIs" dxfId="115" priority="11" operator="equal">
      <formula>"""h"""</formula>
    </cfRule>
    <cfRule type="cellIs" dxfId="114" priority="12" operator="equal">
      <formula>"""h"""</formula>
    </cfRule>
    <cfRule type="expression" dxfId="113" priority="26">
      <formula>IF(L13="h",TRUE,)</formula>
    </cfRule>
  </conditionalFormatting>
  <conditionalFormatting sqref="B16:C16 K16">
    <cfRule type="expression" dxfId="112" priority="27">
      <formula>IF(D13="h",TRUE,)</formula>
    </cfRule>
    <cfRule type="cellIs" dxfId="111" priority="28" operator="equal">
      <formula>"""h"""</formula>
    </cfRule>
    <cfRule type="cellIs" dxfId="110" priority="29" operator="equal">
      <formula>"""h"""</formula>
    </cfRule>
  </conditionalFormatting>
  <conditionalFormatting sqref="C16 L16">
    <cfRule type="expression" dxfId="109" priority="30">
      <formula>IF(A13="h",TRUE,)</formula>
    </cfRule>
    <cfRule type="cellIs" dxfId="108" priority="31" operator="equal">
      <formula>"""h"""</formula>
    </cfRule>
    <cfRule type="cellIs" dxfId="107" priority="32" operator="equal">
      <formula>"""h"""</formula>
    </cfRule>
  </conditionalFormatting>
  <conditionalFormatting sqref="K13:L13">
    <cfRule type="expression" dxfId="106" priority="33">
      <formula>IF(H14="h",TRUE,)</formula>
    </cfRule>
    <cfRule type="cellIs" dxfId="105" priority="34" operator="equal">
      <formula>"""h"""</formula>
    </cfRule>
    <cfRule type="cellIs" dxfId="104" priority="35" operator="equal">
      <formula>"""h"""</formula>
    </cfRule>
  </conditionalFormatting>
  <conditionalFormatting sqref="K15:L15">
    <cfRule type="expression" dxfId="103" priority="36">
      <formula>IF(H16="h",TRUE,)</formula>
    </cfRule>
    <cfRule type="cellIs" dxfId="102" priority="37" operator="equal">
      <formula>"""h"""</formula>
    </cfRule>
    <cfRule type="cellIs" dxfId="101" priority="38" operator="equal">
      <formula>"""h"""</formula>
    </cfRule>
  </conditionalFormatting>
  <conditionalFormatting sqref="B16">
    <cfRule type="expression" dxfId="100" priority="39">
      <formula>IF(C13="h",TRUE,)</formula>
    </cfRule>
    <cfRule type="cellIs" dxfId="99" priority="40" operator="equal">
      <formula>"""h"""</formula>
    </cfRule>
    <cfRule type="cellIs" dxfId="98" priority="41" operator="equal">
      <formula>"""h"""</formula>
    </cfRule>
  </conditionalFormatting>
  <conditionalFormatting sqref="C15 L15">
    <cfRule type="expression" dxfId="97" priority="42">
      <formula>IF(A14="h",TRUE,)</formula>
    </cfRule>
    <cfRule type="cellIs" dxfId="96" priority="43" operator="equal">
      <formula>"""h"""</formula>
    </cfRule>
    <cfRule type="cellIs" dxfId="95" priority="44" operator="equal">
      <formula>"""h"""</formula>
    </cfRule>
  </conditionalFormatting>
  <conditionalFormatting sqref="B13:B14 K13:K14">
    <cfRule type="expression" dxfId="94" priority="45">
      <formula>IF(C15="h",TRUE,)</formula>
    </cfRule>
    <cfRule type="cellIs" dxfId="93" priority="46" operator="equal">
      <formula>"""h"""</formula>
    </cfRule>
    <cfRule type="cellIs" dxfId="92" priority="47" operator="equal">
      <formula>"""h"""</formula>
    </cfRule>
  </conditionalFormatting>
  <conditionalFormatting sqref="K21 C21">
    <cfRule type="expression" dxfId="91" priority="48">
      <formula>IF(E11="h",TRUE,)</formula>
    </cfRule>
    <cfRule type="cellIs" dxfId="90" priority="49" operator="equal">
      <formula>"""h"""</formula>
    </cfRule>
    <cfRule type="cellIs" dxfId="89" priority="50" operator="equal">
      <formula>"""h"""</formula>
    </cfRule>
  </conditionalFormatting>
  <conditionalFormatting sqref="C21 L21">
    <cfRule type="expression" dxfId="88" priority="51">
      <formula>IF(A11="h",TRUE,)</formula>
    </cfRule>
    <cfRule type="cellIs" dxfId="87" priority="52" operator="equal">
      <formula>"""h"""</formula>
    </cfRule>
    <cfRule type="cellIs" dxfId="86" priority="53" operator="equal">
      <formula>"""h"""</formula>
    </cfRule>
  </conditionalFormatting>
  <conditionalFormatting sqref="K21:L21">
    <cfRule type="expression" dxfId="85" priority="54">
      <formula>IF(H11="h",TRUE,)</formula>
    </cfRule>
    <cfRule type="cellIs" dxfId="84" priority="55" operator="equal">
      <formula>"""h"""</formula>
    </cfRule>
    <cfRule type="cellIs" dxfId="83" priority="56" operator="equal">
      <formula>"""h"""</formula>
    </cfRule>
  </conditionalFormatting>
  <conditionalFormatting sqref="K21">
    <cfRule type="expression" dxfId="82" priority="57">
      <formula>IF(L11="h",TRUE,)</formula>
    </cfRule>
    <cfRule type="cellIs" dxfId="81" priority="58" operator="equal">
      <formula>"""h"""</formula>
    </cfRule>
    <cfRule type="cellIs" dxfId="80" priority="59" operator="equal">
      <formula>"""h"""</formula>
    </cfRule>
  </conditionalFormatting>
  <conditionalFormatting sqref="B11:C11">
    <cfRule type="expression" dxfId="79" priority="60">
      <formula>IF(D12="h",TRUE,)</formula>
    </cfRule>
    <cfRule type="cellIs" dxfId="78" priority="61" operator="equal">
      <formula>"""h"""</formula>
    </cfRule>
    <cfRule type="cellIs" dxfId="77" priority="62" operator="equal">
      <formula>"""h"""</formula>
    </cfRule>
  </conditionalFormatting>
  <conditionalFormatting sqref="L11">
    <cfRule type="expression" dxfId="76" priority="63">
      <formula>IF(J12="h",TRUE,)</formula>
    </cfRule>
    <cfRule type="cellIs" dxfId="75" priority="64" operator="equal">
      <formula>"""h"""</formula>
    </cfRule>
    <cfRule type="cellIs" dxfId="74" priority="65" operator="equal">
      <formula>"""h"""</formula>
    </cfRule>
  </conditionalFormatting>
  <conditionalFormatting sqref="K11:L11">
    <cfRule type="expression" dxfId="73" priority="66">
      <formula>IF(H12="h",TRUE,)</formula>
    </cfRule>
    <cfRule type="cellIs" dxfId="72" priority="67" operator="equal">
      <formula>"""h"""</formula>
    </cfRule>
    <cfRule type="cellIs" dxfId="71" priority="68" operator="equal">
      <formula>"""h"""</formula>
    </cfRule>
  </conditionalFormatting>
  <conditionalFormatting sqref="B15">
    <cfRule type="expression" dxfId="70" priority="69">
      <formula>IF(Y15="h",TRUE,)</formula>
    </cfRule>
    <cfRule type="cellIs" dxfId="69" priority="70" operator="equal">
      <formula>"""h"""</formula>
    </cfRule>
    <cfRule type="cellIs" dxfId="68" priority="71" operator="equal">
      <formula>"""h"""</formula>
    </cfRule>
  </conditionalFormatting>
  <conditionalFormatting sqref="C15">
    <cfRule type="expression" dxfId="67" priority="72">
      <formula>IF(A15="h",TRUE,)</formula>
    </cfRule>
    <cfRule type="cellIs" dxfId="66" priority="73" operator="equal">
      <formula>"""h"""</formula>
    </cfRule>
    <cfRule type="cellIs" dxfId="65" priority="74" operator="equal">
      <formula>"""h"""</formula>
    </cfRule>
  </conditionalFormatting>
  <conditionalFormatting sqref="K15">
    <cfRule type="expression" dxfId="64" priority="5">
      <formula>IF(AH15="h",TRUE,)</formula>
    </cfRule>
    <cfRule type="cellIs" dxfId="63" priority="6" operator="equal">
      <formula>"""h"""</formula>
    </cfRule>
    <cfRule type="cellIs" dxfId="62" priority="7" operator="equal">
      <formula>"""h"""</formula>
    </cfRule>
  </conditionalFormatting>
  <conditionalFormatting sqref="K12 B12">
    <cfRule type="expression" dxfId="61" priority="75">
      <formula>IF(C16="h",TRUE,)</formula>
    </cfRule>
    <cfRule type="cellIs" dxfId="60" priority="76" operator="equal">
      <formula>"""h"""</formula>
    </cfRule>
    <cfRule type="cellIs" dxfId="59" priority="77" operator="equal">
      <formula>"""h"""</formula>
    </cfRule>
  </conditionalFormatting>
  <conditionalFormatting sqref="K15">
    <cfRule type="expression" dxfId="58" priority="2">
      <formula>IF(AH15="h",TRUE,)</formula>
    </cfRule>
    <cfRule type="cellIs" dxfId="57" priority="3" operator="equal">
      <formula>"""h"""</formula>
    </cfRule>
    <cfRule type="cellIs" dxfId="56" priority="4" operator="equal">
      <formula>"""h"""</formula>
    </cfRule>
  </conditionalFormatting>
  <conditionalFormatting sqref="K15 C15">
    <cfRule type="expression" dxfId="55" priority="78">
      <formula>IF(E14="h",TRUE,)</formula>
    </cfRule>
    <cfRule type="cellIs" dxfId="54" priority="79" operator="equal">
      <formula>"""h"""</formula>
    </cfRule>
    <cfRule type="cellIs" dxfId="53" priority="80" operator="equal">
      <formula>"""h"""</formula>
    </cfRule>
  </conditionalFormatting>
  <conditionalFormatting sqref="K15">
    <cfRule type="expression" dxfId="52" priority="81">
      <formula>IF(L14="h",TRUE,)</formula>
    </cfRule>
    <cfRule type="cellIs" dxfId="51" priority="82" operator="equal">
      <formula>"""h"""</formula>
    </cfRule>
    <cfRule type="cellIs" dxfId="50" priority="83" operator="equal">
      <formula>"""h"""</formula>
    </cfRule>
  </conditionalFormatting>
  <conditionalFormatting sqref="B21 K21">
    <cfRule type="expression" dxfId="49" priority="84">
      <formula>IF(Y14="h",TRUE,)</formula>
    </cfRule>
    <cfRule type="cellIs" dxfId="48" priority="85" operator="equal">
      <formula>"""h"""</formula>
    </cfRule>
    <cfRule type="cellIs" dxfId="47" priority="86" operator="equal">
      <formula>"""h"""</formula>
    </cfRule>
  </conditionalFormatting>
  <conditionalFormatting sqref="K16:L16">
    <cfRule type="expression" dxfId="46" priority="87">
      <formula>IF(H13="h",TRUE,)</formula>
    </cfRule>
    <cfRule type="cellIs" dxfId="45" priority="88" operator="equal">
      <formula>"""h"""</formula>
    </cfRule>
    <cfRule type="cellIs" dxfId="44" priority="89" operator="equal">
      <formula>"""h"""</formula>
    </cfRule>
  </conditionalFormatting>
  <conditionalFormatting sqref="C15">
    <cfRule type="expression" dxfId="43" priority="90">
      <formula>IF(E16="h",TRUE,)</formula>
    </cfRule>
    <cfRule type="cellIs" dxfId="42" priority="91" operator="equal">
      <formula>"""h"""</formula>
    </cfRule>
    <cfRule type="cellIs" dxfId="41" priority="92" operator="equal">
      <formula>"""h"""</formula>
    </cfRule>
  </conditionalFormatting>
  <conditionalFormatting sqref="L15">
    <cfRule type="expression" dxfId="40" priority="93">
      <formula>IF(J16="h",TRUE,)</formula>
    </cfRule>
    <cfRule type="cellIs" dxfId="39" priority="94" operator="equal">
      <formula>"""h"""</formula>
    </cfRule>
    <cfRule type="cellIs" dxfId="38" priority="95" operator="equal">
      <formula>"""h"""</formula>
    </cfRule>
  </conditionalFormatting>
  <conditionalFormatting sqref="K17:L17">
    <cfRule type="expression" dxfId="37" priority="96">
      <formula>IF(H13="h",TRUE,)</formula>
    </cfRule>
    <cfRule type="cellIs" dxfId="36" priority="97" operator="equal">
      <formula>"""h"""</formula>
    </cfRule>
    <cfRule type="cellIs" dxfId="35" priority="98" operator="equal">
      <formula>"""h"""</formula>
    </cfRule>
  </conditionalFormatting>
  <conditionalFormatting sqref="L14 C14">
    <cfRule type="expression" dxfId="34" priority="99">
      <formula>IF(A17="h",TRUE,)</formula>
    </cfRule>
    <cfRule type="cellIs" dxfId="33" priority="100" operator="equal">
      <formula>"""h"""</formula>
    </cfRule>
    <cfRule type="cellIs" dxfId="32" priority="101" operator="equal">
      <formula>"""h"""</formula>
    </cfRule>
  </conditionalFormatting>
  <conditionalFormatting sqref="K14:L14">
    <cfRule type="expression" dxfId="31" priority="102">
      <formula>IF(H17="h",TRUE,)</formula>
    </cfRule>
    <cfRule type="cellIs" dxfId="30" priority="103" operator="equal">
      <formula>"""h"""</formula>
    </cfRule>
    <cfRule type="cellIs" dxfId="29" priority="104" operator="equal">
      <formula>"""h"""</formula>
    </cfRule>
  </conditionalFormatting>
  <conditionalFormatting sqref="B14:C14 K14">
    <cfRule type="expression" dxfId="28" priority="105">
      <formula>IF(D17="h",TRUE,)</formula>
    </cfRule>
    <cfRule type="cellIs" dxfId="27" priority="106" operator="equal">
      <formula>"""h"""</formula>
    </cfRule>
    <cfRule type="cellIs" dxfId="26" priority="107" operator="equal">
      <formula>"""h"""</formula>
    </cfRule>
  </conditionalFormatting>
  <conditionalFormatting sqref="L17">
    <cfRule type="expression" dxfId="25" priority="108">
      <formula>IF(J13="h",TRUE,)</formula>
    </cfRule>
    <cfRule type="cellIs" dxfId="24" priority="109" operator="equal">
      <formula>"""h"""</formula>
    </cfRule>
    <cfRule type="cellIs" dxfId="23" priority="110" operator="equal">
      <formula>"""h"""</formula>
    </cfRule>
  </conditionalFormatting>
  <conditionalFormatting sqref="K15:L15">
    <cfRule type="expression" dxfId="22" priority="111">
      <formula>IF(H14="h",TRUE,)</formula>
    </cfRule>
    <cfRule type="cellIs" dxfId="21" priority="112" operator="equal">
      <formula>"""h"""</formula>
    </cfRule>
    <cfRule type="cellIs" dxfId="20" priority="113" operator="equal">
      <formula>"""h"""</formula>
    </cfRule>
  </conditionalFormatting>
  <conditionalFormatting sqref="B21 K21">
    <cfRule type="expression" dxfId="19" priority="114">
      <formula>IF(Y15="h",TRUE,)</formula>
    </cfRule>
    <cfRule type="cellIs" dxfId="18" priority="115" operator="equal">
      <formula>"""h"""</formula>
    </cfRule>
    <cfRule type="cellIs" dxfId="17" priority="116" operator="equal">
      <formula>"""h"""</formula>
    </cfRule>
  </conditionalFormatting>
  <conditionalFormatting sqref="B17 K17">
    <cfRule type="expression" dxfId="16" priority="117">
      <formula>IF(C15="h",TRUE,)</formula>
    </cfRule>
    <cfRule type="cellIs" dxfId="15" priority="118" operator="equal">
      <formula>"""h"""</formula>
    </cfRule>
    <cfRule type="cellIs" dxfId="14" priority="119" operator="equal">
      <formula>"""h"""</formula>
    </cfRule>
  </conditionalFormatting>
  <conditionalFormatting sqref="K17 B17:C17">
    <cfRule type="expression" dxfId="13" priority="120">
      <formula>IF(D15="h",TRUE,)</formula>
    </cfRule>
    <cfRule type="cellIs" dxfId="12" priority="121" operator="equal">
      <formula>"""h"""</formula>
    </cfRule>
    <cfRule type="cellIs" dxfId="11" priority="122" operator="equal">
      <formula>"""h"""</formula>
    </cfRule>
  </conditionalFormatting>
  <conditionalFormatting sqref="K14 B14">
    <cfRule type="expression" dxfId="10" priority="123">
      <formula>IF(C17="h",TRUE,)</formula>
    </cfRule>
    <cfRule type="cellIs" dxfId="9" priority="124" operator="equal">
      <formula>"""h"""</formula>
    </cfRule>
    <cfRule type="cellIs" dxfId="8" priority="125" operator="equal">
      <formula>"""h"""</formula>
    </cfRule>
  </conditionalFormatting>
  <conditionalFormatting sqref="C17">
    <cfRule type="expression" dxfId="7" priority="126">
      <formula>IF(A21="h",TRUE,)</formula>
    </cfRule>
    <cfRule type="cellIs" dxfId="6" priority="127" operator="equal">
      <formula>"""h"""</formula>
    </cfRule>
    <cfRule type="cellIs" dxfId="5" priority="128" operator="equal">
      <formula>"""h"""</formula>
    </cfRule>
  </conditionalFormatting>
  <conditionalFormatting sqref="B15 K15">
    <cfRule type="expression" dxfId="4" priority="129">
      <formula>IF(Y21="h",TRUE,)</formula>
    </cfRule>
    <cfRule type="cellIs" dxfId="3" priority="130" operator="equal">
      <formula>"""h"""</formula>
    </cfRule>
    <cfRule type="cellIs" dxfId="2" priority="131" operator="equal">
      <formula>"""h"""</formula>
    </cfRule>
  </conditionalFormatting>
  <conditionalFormatting sqref="L107 C107">
    <cfRule type="expression" dxfId="1" priority="1">
      <formula>IF(OR(C107=f,C107=m,C107=n),"vrai",)</formula>
    </cfRule>
  </conditionalFormatting>
  <dataValidations count="1">
    <dataValidation type="list" allowBlank="1" showDropDown="1" showInputMessage="1" showErrorMessage="1" error="F ou M ou Z" prompt="F ou M ou Z" sqref="C11:C28 L11:L28" xr:uid="{00000000-0002-0000-0200-000000000000}">
      <formula1>$K$1:$K$3</formula1>
    </dataValidation>
  </dataValidations>
  <pageMargins left="0.70866141732283472" right="0.70866141732283472" top="0.74803149606299213" bottom="0.74803149606299213" header="0.31496062992125984" footer="0.31496062992125984"/>
  <pageSetup paperSize="5" scale="5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tabColor rgb="FFFFC000"/>
  </sheetPr>
  <dimension ref="A2:O105"/>
  <sheetViews>
    <sheetView topLeftCell="A3" zoomScale="70" zoomScaleNormal="70" workbookViewId="0">
      <selection activeCell="G36" sqref="G36"/>
    </sheetView>
  </sheetViews>
  <sheetFormatPr defaultColWidth="11.42578125" defaultRowHeight="15"/>
  <cols>
    <col min="2" max="2" width="34.42578125" style="3" customWidth="1"/>
    <col min="3" max="3" width="4.7109375" style="3" customWidth="1"/>
    <col min="4" max="4" width="11.5703125" style="11"/>
    <col min="5" max="5" width="11.5703125" style="12"/>
    <col min="6" max="6" width="14.7109375" bestFit="1" customWidth="1"/>
    <col min="7" max="7" width="11.7109375" bestFit="1" customWidth="1"/>
    <col min="8" max="8" width="11.5703125" bestFit="1" customWidth="1"/>
  </cols>
  <sheetData>
    <row r="2" spans="1:15" ht="23.25">
      <c r="B2" s="30"/>
      <c r="F2" s="29"/>
      <c r="G2" s="29"/>
      <c r="I2" s="16" t="str">
        <f>'Data- détaillée'!B1</f>
        <v>NOM ENTREPRISE:  Les Centres dentaires VIVA</v>
      </c>
      <c r="O2" s="27"/>
    </row>
    <row r="3" spans="1:15">
      <c r="F3" s="33" t="e">
        <f t="array" ref="F3:I3">LINEST(E30:E50,D30:D50^{1,2},TRUE,TRUE)</f>
        <v>#VALUE!</v>
      </c>
      <c r="G3" s="33" t="e">
        <v>#VALUE!</v>
      </c>
      <c r="H3" s="33" t="e">
        <v>#VALUE!</v>
      </c>
      <c r="I3" t="e">
        <v>#VALUE!</v>
      </c>
    </row>
    <row r="4" spans="1:15" ht="26.25" thickBot="1">
      <c r="F4" s="38" t="s">
        <v>38</v>
      </c>
      <c r="G4" s="38" t="s">
        <v>37</v>
      </c>
    </row>
    <row r="5" spans="1:15" ht="19.5" thickBot="1">
      <c r="A5" s="24" t="e">
        <f>#REF!</f>
        <v>#REF!</v>
      </c>
      <c r="B5" s="7" t="e">
        <f>#REF!</f>
        <v>#REF!</v>
      </c>
      <c r="C5" s="8" t="e">
        <f>#REF!</f>
        <v>#REF!</v>
      </c>
      <c r="D5" s="9" t="e">
        <f>#REF!</f>
        <v>#REF!</v>
      </c>
      <c r="E5" s="34" t="e">
        <f>#REF!</f>
        <v>#REF!</v>
      </c>
      <c r="F5" s="36" t="e">
        <f>IF(C5="f",((F$3)*D5^2)-($G$3*D5)+($H$3),"")</f>
        <v>#REF!</v>
      </c>
      <c r="G5" s="37" t="e">
        <f>F5-E5</f>
        <v>#REF!</v>
      </c>
    </row>
    <row r="6" spans="1:15" ht="19.5" thickBot="1">
      <c r="A6" s="24" t="e">
        <f>#REF!</f>
        <v>#REF!</v>
      </c>
      <c r="B6" s="7" t="e">
        <f>#REF!</f>
        <v>#REF!</v>
      </c>
      <c r="C6" s="8" t="e">
        <f>#REF!</f>
        <v>#REF!</v>
      </c>
      <c r="D6" s="9" t="e">
        <f>#REF!</f>
        <v>#REF!</v>
      </c>
      <c r="E6" s="34" t="e">
        <f>#REF!</f>
        <v>#REF!</v>
      </c>
      <c r="F6" s="36" t="e">
        <f t="shared" ref="F6:F69" si="0">IF(C6="f",((F$3)*D6^2)-($G$3*D6)+($H$3),"")</f>
        <v>#REF!</v>
      </c>
      <c r="G6" s="37" t="e">
        <f t="shared" ref="G6:G29" si="1">F6-E6</f>
        <v>#REF!</v>
      </c>
    </row>
    <row r="7" spans="1:15" ht="19.5" thickBot="1">
      <c r="A7" s="24" t="e">
        <f>#REF!</f>
        <v>#REF!</v>
      </c>
      <c r="B7" s="7" t="e">
        <f>#REF!</f>
        <v>#REF!</v>
      </c>
      <c r="C7" s="8" t="e">
        <f>#REF!</f>
        <v>#REF!</v>
      </c>
      <c r="D7" s="9" t="e">
        <f>#REF!</f>
        <v>#REF!</v>
      </c>
      <c r="E7" s="34" t="e">
        <f>#REF!</f>
        <v>#REF!</v>
      </c>
      <c r="F7" s="36" t="e">
        <f t="shared" si="0"/>
        <v>#REF!</v>
      </c>
      <c r="G7" s="37" t="e">
        <f t="shared" si="1"/>
        <v>#REF!</v>
      </c>
    </row>
    <row r="8" spans="1:15" ht="19.5" thickBot="1">
      <c r="A8" s="24" t="e">
        <f>#REF!</f>
        <v>#REF!</v>
      </c>
      <c r="B8" s="7" t="e">
        <f>#REF!</f>
        <v>#REF!</v>
      </c>
      <c r="C8" s="8" t="e">
        <f>#REF!</f>
        <v>#REF!</v>
      </c>
      <c r="D8" s="32" t="e">
        <f>#REF!</f>
        <v>#REF!</v>
      </c>
      <c r="E8" s="35" t="e">
        <f>#REF!</f>
        <v>#REF!</v>
      </c>
      <c r="F8" s="36" t="e">
        <f t="shared" si="0"/>
        <v>#REF!</v>
      </c>
      <c r="G8" s="37" t="e">
        <f t="shared" si="1"/>
        <v>#REF!</v>
      </c>
    </row>
    <row r="9" spans="1:15" ht="19.5" thickBot="1">
      <c r="A9" s="24" t="e">
        <f>#REF!</f>
        <v>#REF!</v>
      </c>
      <c r="B9" s="7" t="e">
        <f>#REF!</f>
        <v>#REF!</v>
      </c>
      <c r="C9" s="8" t="e">
        <f>#REF!</f>
        <v>#REF!</v>
      </c>
      <c r="D9" s="9" t="e">
        <f>#REF!</f>
        <v>#REF!</v>
      </c>
      <c r="E9" s="34" t="e">
        <f>#REF!</f>
        <v>#REF!</v>
      </c>
      <c r="F9" s="36" t="e">
        <f t="shared" si="0"/>
        <v>#REF!</v>
      </c>
      <c r="G9" s="37" t="e">
        <f t="shared" si="1"/>
        <v>#REF!</v>
      </c>
    </row>
    <row r="10" spans="1:15" ht="19.5" thickBot="1">
      <c r="A10" s="24" t="e">
        <f>#REF!</f>
        <v>#REF!</v>
      </c>
      <c r="B10" s="7" t="e">
        <f>#REF!</f>
        <v>#REF!</v>
      </c>
      <c r="C10" s="8" t="e">
        <f>#REF!</f>
        <v>#REF!</v>
      </c>
      <c r="D10" s="9" t="e">
        <f>#REF!</f>
        <v>#REF!</v>
      </c>
      <c r="E10" s="34" t="e">
        <f>#REF!</f>
        <v>#REF!</v>
      </c>
      <c r="F10" s="36" t="e">
        <f t="shared" si="0"/>
        <v>#REF!</v>
      </c>
      <c r="G10" s="37" t="e">
        <f t="shared" si="1"/>
        <v>#REF!</v>
      </c>
    </row>
    <row r="11" spans="1:15" ht="19.5" thickBot="1">
      <c r="A11" s="24" t="e">
        <f>#REF!</f>
        <v>#REF!</v>
      </c>
      <c r="B11" s="7" t="e">
        <f>#REF!</f>
        <v>#REF!</v>
      </c>
      <c r="C11" s="8" t="e">
        <f>#REF!</f>
        <v>#REF!</v>
      </c>
      <c r="D11" s="9" t="e">
        <f>#REF!</f>
        <v>#REF!</v>
      </c>
      <c r="E11" s="34" t="e">
        <f>#REF!</f>
        <v>#REF!</v>
      </c>
      <c r="F11" s="36" t="e">
        <f t="shared" si="0"/>
        <v>#REF!</v>
      </c>
      <c r="G11" s="37" t="e">
        <f t="shared" si="1"/>
        <v>#REF!</v>
      </c>
    </row>
    <row r="12" spans="1:15" ht="19.5" thickBot="1">
      <c r="A12" s="24" t="e">
        <f>#REF!</f>
        <v>#REF!</v>
      </c>
      <c r="B12" s="7" t="e">
        <f>#REF!</f>
        <v>#REF!</v>
      </c>
      <c r="C12" s="8" t="e">
        <f>#REF!</f>
        <v>#REF!</v>
      </c>
      <c r="D12" s="9" t="e">
        <f>#REF!</f>
        <v>#REF!</v>
      </c>
      <c r="E12" s="34" t="e">
        <f>#REF!</f>
        <v>#REF!</v>
      </c>
      <c r="F12" s="36" t="e">
        <f t="shared" si="0"/>
        <v>#REF!</v>
      </c>
      <c r="G12" s="37" t="e">
        <f t="shared" si="1"/>
        <v>#REF!</v>
      </c>
    </row>
    <row r="13" spans="1:15" ht="19.5" thickBot="1">
      <c r="A13" s="24" t="e">
        <f>#REF!</f>
        <v>#REF!</v>
      </c>
      <c r="B13" s="7" t="e">
        <f>#REF!</f>
        <v>#REF!</v>
      </c>
      <c r="C13" s="8" t="e">
        <f>#REF!</f>
        <v>#REF!</v>
      </c>
      <c r="D13" s="9" t="e">
        <f>#REF!</f>
        <v>#REF!</v>
      </c>
      <c r="E13" s="34" t="e">
        <f>#REF!</f>
        <v>#REF!</v>
      </c>
      <c r="F13" s="36" t="e">
        <f t="shared" si="0"/>
        <v>#REF!</v>
      </c>
      <c r="G13" s="37" t="e">
        <f t="shared" si="1"/>
        <v>#REF!</v>
      </c>
    </row>
    <row r="14" spans="1:15" ht="19.5" thickBot="1">
      <c r="A14" s="24" t="e">
        <f>#REF!</f>
        <v>#REF!</v>
      </c>
      <c r="B14" s="7" t="e">
        <f>#REF!</f>
        <v>#REF!</v>
      </c>
      <c r="C14" s="8" t="e">
        <f>#REF!</f>
        <v>#REF!</v>
      </c>
      <c r="D14" s="9" t="e">
        <f>#REF!</f>
        <v>#REF!</v>
      </c>
      <c r="E14" s="34" t="e">
        <f>#REF!</f>
        <v>#REF!</v>
      </c>
      <c r="F14" s="36" t="e">
        <f t="shared" si="0"/>
        <v>#REF!</v>
      </c>
      <c r="G14" s="37" t="e">
        <f t="shared" si="1"/>
        <v>#REF!</v>
      </c>
    </row>
    <row r="15" spans="1:15" ht="19.5" thickBot="1">
      <c r="A15" s="24" t="e">
        <f>#REF!</f>
        <v>#REF!</v>
      </c>
      <c r="B15" s="7" t="e">
        <f>#REF!</f>
        <v>#REF!</v>
      </c>
      <c r="C15" s="8" t="e">
        <f>#REF!</f>
        <v>#REF!</v>
      </c>
      <c r="D15" s="9" t="e">
        <f>#REF!</f>
        <v>#REF!</v>
      </c>
      <c r="E15" s="34" t="e">
        <f>#REF!</f>
        <v>#REF!</v>
      </c>
      <c r="F15" s="36" t="e">
        <f t="shared" si="0"/>
        <v>#REF!</v>
      </c>
      <c r="G15" s="37" t="e">
        <f t="shared" si="1"/>
        <v>#REF!</v>
      </c>
    </row>
    <row r="16" spans="1:15" ht="19.5" thickBot="1">
      <c r="A16" s="24" t="e">
        <f>#REF!</f>
        <v>#REF!</v>
      </c>
      <c r="B16" s="7" t="e">
        <f>#REF!</f>
        <v>#REF!</v>
      </c>
      <c r="C16" s="8" t="e">
        <f>#REF!</f>
        <v>#REF!</v>
      </c>
      <c r="D16" s="9" t="e">
        <f>#REF!</f>
        <v>#REF!</v>
      </c>
      <c r="E16" s="34" t="e">
        <f>#REF!</f>
        <v>#REF!</v>
      </c>
      <c r="F16" s="36" t="e">
        <f t="shared" si="0"/>
        <v>#REF!</v>
      </c>
      <c r="G16" s="37" t="e">
        <f t="shared" si="1"/>
        <v>#REF!</v>
      </c>
    </row>
    <row r="17" spans="1:7" ht="19.5" thickBot="1">
      <c r="A17" s="24" t="e">
        <f>#REF!</f>
        <v>#REF!</v>
      </c>
      <c r="B17" s="7" t="e">
        <f>#REF!</f>
        <v>#REF!</v>
      </c>
      <c r="C17" s="8" t="e">
        <f>#REF!</f>
        <v>#REF!</v>
      </c>
      <c r="D17" s="32" t="e">
        <f>#REF!</f>
        <v>#REF!</v>
      </c>
      <c r="E17" s="35" t="e">
        <f>#REF!</f>
        <v>#REF!</v>
      </c>
      <c r="F17" s="36" t="e">
        <f t="shared" si="0"/>
        <v>#REF!</v>
      </c>
      <c r="G17" s="37" t="e">
        <f t="shared" si="1"/>
        <v>#REF!</v>
      </c>
    </row>
    <row r="18" spans="1:7" ht="19.5" thickBot="1">
      <c r="A18" s="24" t="e">
        <f>#REF!</f>
        <v>#REF!</v>
      </c>
      <c r="B18" s="7" t="e">
        <f>#REF!</f>
        <v>#REF!</v>
      </c>
      <c r="C18" s="8" t="e">
        <f>#REF!</f>
        <v>#REF!</v>
      </c>
      <c r="D18" s="9" t="e">
        <f>#REF!</f>
        <v>#REF!</v>
      </c>
      <c r="E18" s="34" t="e">
        <f>#REF!</f>
        <v>#REF!</v>
      </c>
      <c r="F18" s="36" t="e">
        <f t="shared" si="0"/>
        <v>#REF!</v>
      </c>
      <c r="G18" s="37" t="e">
        <f t="shared" si="1"/>
        <v>#REF!</v>
      </c>
    </row>
    <row r="19" spans="1:7" ht="19.5" thickBot="1">
      <c r="A19" s="24" t="e">
        <f>#REF!</f>
        <v>#REF!</v>
      </c>
      <c r="B19" s="7" t="e">
        <f>#REF!</f>
        <v>#REF!</v>
      </c>
      <c r="C19" s="8" t="e">
        <f>#REF!</f>
        <v>#REF!</v>
      </c>
      <c r="D19" s="9" t="e">
        <f>#REF!</f>
        <v>#REF!</v>
      </c>
      <c r="E19" s="34" t="e">
        <f>#REF!</f>
        <v>#REF!</v>
      </c>
      <c r="F19" s="36" t="e">
        <f t="shared" si="0"/>
        <v>#REF!</v>
      </c>
      <c r="G19" s="37" t="e">
        <f t="shared" si="1"/>
        <v>#REF!</v>
      </c>
    </row>
    <row r="20" spans="1:7" ht="19.5" thickBot="1">
      <c r="A20" s="24" t="e">
        <f>#REF!</f>
        <v>#REF!</v>
      </c>
      <c r="B20" s="7" t="e">
        <f>#REF!</f>
        <v>#REF!</v>
      </c>
      <c r="C20" s="8" t="e">
        <f>#REF!</f>
        <v>#REF!</v>
      </c>
      <c r="D20" s="9" t="e">
        <f>#REF!</f>
        <v>#REF!</v>
      </c>
      <c r="E20" s="34" t="e">
        <f>#REF!</f>
        <v>#REF!</v>
      </c>
      <c r="F20" s="36" t="e">
        <f t="shared" si="0"/>
        <v>#REF!</v>
      </c>
      <c r="G20" s="37" t="e">
        <f t="shared" si="1"/>
        <v>#REF!</v>
      </c>
    </row>
    <row r="21" spans="1:7" ht="19.5" thickBot="1">
      <c r="A21" s="24" t="e">
        <f>#REF!</f>
        <v>#REF!</v>
      </c>
      <c r="B21" s="7" t="e">
        <f>#REF!</f>
        <v>#REF!</v>
      </c>
      <c r="C21" s="8" t="e">
        <f>#REF!</f>
        <v>#REF!</v>
      </c>
      <c r="D21" s="9" t="e">
        <f>#REF!</f>
        <v>#REF!</v>
      </c>
      <c r="E21" s="34" t="e">
        <f>#REF!</f>
        <v>#REF!</v>
      </c>
      <c r="F21" s="36" t="e">
        <f t="shared" si="0"/>
        <v>#REF!</v>
      </c>
      <c r="G21" s="37" t="e">
        <f t="shared" si="1"/>
        <v>#REF!</v>
      </c>
    </row>
    <row r="22" spans="1:7" ht="19.5" thickBot="1">
      <c r="A22" s="24" t="e">
        <f>#REF!</f>
        <v>#REF!</v>
      </c>
      <c r="B22" s="7" t="e">
        <f>#REF!</f>
        <v>#REF!</v>
      </c>
      <c r="C22" s="8" t="e">
        <f>#REF!</f>
        <v>#REF!</v>
      </c>
      <c r="D22" s="9" t="e">
        <f>#REF!</f>
        <v>#REF!</v>
      </c>
      <c r="E22" s="34" t="e">
        <f>#REF!</f>
        <v>#REF!</v>
      </c>
      <c r="F22" s="36" t="e">
        <f t="shared" si="0"/>
        <v>#REF!</v>
      </c>
      <c r="G22" s="37" t="e">
        <f t="shared" si="1"/>
        <v>#REF!</v>
      </c>
    </row>
    <row r="23" spans="1:7" ht="19.5" thickBot="1">
      <c r="A23" s="24" t="e">
        <f>#REF!</f>
        <v>#REF!</v>
      </c>
      <c r="B23" s="7" t="e">
        <f>#REF!</f>
        <v>#REF!</v>
      </c>
      <c r="C23" s="8" t="e">
        <f>#REF!</f>
        <v>#REF!</v>
      </c>
      <c r="D23" s="9" t="e">
        <f>#REF!</f>
        <v>#REF!</v>
      </c>
      <c r="E23" s="34" t="e">
        <f>#REF!</f>
        <v>#REF!</v>
      </c>
      <c r="F23" s="36" t="e">
        <f t="shared" si="0"/>
        <v>#REF!</v>
      </c>
      <c r="G23" s="37" t="e">
        <f t="shared" si="1"/>
        <v>#REF!</v>
      </c>
    </row>
    <row r="24" spans="1:7" ht="19.5" thickBot="1">
      <c r="A24" s="24" t="e">
        <f>#REF!</f>
        <v>#REF!</v>
      </c>
      <c r="B24" s="7" t="e">
        <f>#REF!</f>
        <v>#REF!</v>
      </c>
      <c r="C24" s="8" t="e">
        <f>#REF!</f>
        <v>#REF!</v>
      </c>
      <c r="D24" s="9" t="e">
        <f>#REF!</f>
        <v>#REF!</v>
      </c>
      <c r="E24" s="34" t="e">
        <f>#REF!</f>
        <v>#REF!</v>
      </c>
      <c r="F24" s="36" t="e">
        <f t="shared" si="0"/>
        <v>#REF!</v>
      </c>
      <c r="G24" s="37" t="e">
        <f t="shared" si="1"/>
        <v>#REF!</v>
      </c>
    </row>
    <row r="25" spans="1:7" ht="19.5" thickBot="1">
      <c r="A25" s="24" t="e">
        <f>#REF!</f>
        <v>#REF!</v>
      </c>
      <c r="B25" s="7" t="e">
        <f>#REF!</f>
        <v>#REF!</v>
      </c>
      <c r="C25" s="8" t="e">
        <f>#REF!</f>
        <v>#REF!</v>
      </c>
      <c r="D25" s="9" t="e">
        <f>#REF!</f>
        <v>#REF!</v>
      </c>
      <c r="E25" s="34" t="e">
        <f>#REF!</f>
        <v>#REF!</v>
      </c>
      <c r="F25" s="36" t="e">
        <f t="shared" si="0"/>
        <v>#REF!</v>
      </c>
      <c r="G25" s="37" t="e">
        <f t="shared" si="1"/>
        <v>#REF!</v>
      </c>
    </row>
    <row r="26" spans="1:7" ht="19.5" thickBot="1">
      <c r="A26" s="24" t="e">
        <f>#REF!</f>
        <v>#REF!</v>
      </c>
      <c r="B26" s="7" t="e">
        <f>#REF!</f>
        <v>#REF!</v>
      </c>
      <c r="C26" s="8" t="e">
        <f>#REF!</f>
        <v>#REF!</v>
      </c>
      <c r="D26" s="9" t="e">
        <f>#REF!</f>
        <v>#REF!</v>
      </c>
      <c r="E26" s="34" t="e">
        <f>#REF!</f>
        <v>#REF!</v>
      </c>
      <c r="F26" s="36" t="e">
        <f t="shared" si="0"/>
        <v>#REF!</v>
      </c>
      <c r="G26" s="37" t="e">
        <f t="shared" si="1"/>
        <v>#REF!</v>
      </c>
    </row>
    <row r="27" spans="1:7" ht="19.5" thickBot="1">
      <c r="A27" s="24" t="e">
        <f>#REF!</f>
        <v>#REF!</v>
      </c>
      <c r="B27" s="7" t="e">
        <f>#REF!</f>
        <v>#REF!</v>
      </c>
      <c r="C27" s="8" t="e">
        <f>#REF!</f>
        <v>#REF!</v>
      </c>
      <c r="D27" s="9" t="e">
        <f>#REF!</f>
        <v>#REF!</v>
      </c>
      <c r="E27" s="34" t="e">
        <f>#REF!</f>
        <v>#REF!</v>
      </c>
      <c r="F27" s="36" t="e">
        <f t="shared" si="0"/>
        <v>#REF!</v>
      </c>
      <c r="G27" s="37" t="e">
        <f t="shared" si="1"/>
        <v>#REF!</v>
      </c>
    </row>
    <row r="28" spans="1:7" ht="19.5" thickBot="1">
      <c r="A28" s="24" t="e">
        <f>#REF!</f>
        <v>#REF!</v>
      </c>
      <c r="B28" s="7" t="e">
        <f>#REF!</f>
        <v>#REF!</v>
      </c>
      <c r="C28" s="8" t="e">
        <f>#REF!</f>
        <v>#REF!</v>
      </c>
      <c r="D28" s="9" t="e">
        <f>#REF!</f>
        <v>#REF!</v>
      </c>
      <c r="E28" s="34" t="e">
        <f>#REF!</f>
        <v>#REF!</v>
      </c>
      <c r="F28" s="36" t="e">
        <f t="shared" si="0"/>
        <v>#REF!</v>
      </c>
      <c r="G28" s="37" t="e">
        <f t="shared" si="1"/>
        <v>#REF!</v>
      </c>
    </row>
    <row r="29" spans="1:7" ht="19.5" thickBot="1">
      <c r="A29" s="24" t="e">
        <f>#REF!</f>
        <v>#REF!</v>
      </c>
      <c r="B29" s="7" t="e">
        <f>#REF!</f>
        <v>#REF!</v>
      </c>
      <c r="C29" s="8" t="e">
        <f>#REF!</f>
        <v>#REF!</v>
      </c>
      <c r="D29" s="9" t="e">
        <f>#REF!</f>
        <v>#REF!</v>
      </c>
      <c r="E29" s="34" t="e">
        <f>#REF!</f>
        <v>#REF!</v>
      </c>
      <c r="F29" s="36" t="e">
        <f t="shared" si="0"/>
        <v>#REF!</v>
      </c>
      <c r="G29" s="37" t="e">
        <f t="shared" si="1"/>
        <v>#REF!</v>
      </c>
    </row>
    <row r="30" spans="1:7" ht="19.5" thickBot="1">
      <c r="A30" s="24" t="e">
        <f>#REF!</f>
        <v>#REF!</v>
      </c>
      <c r="B30" s="7" t="e">
        <f>#REF!</f>
        <v>#REF!</v>
      </c>
      <c r="C30" s="8" t="e">
        <f>#REF!</f>
        <v>#REF!</v>
      </c>
      <c r="D30" s="9" t="e">
        <f>#REF!</f>
        <v>#REF!</v>
      </c>
      <c r="E30" s="10" t="e">
        <f>#REF!</f>
        <v>#REF!</v>
      </c>
      <c r="F30" s="36" t="e">
        <f t="shared" si="0"/>
        <v>#REF!</v>
      </c>
      <c r="G30" s="37"/>
    </row>
    <row r="31" spans="1:7" ht="19.5" thickBot="1">
      <c r="A31" s="24" t="e">
        <f>#REF!</f>
        <v>#REF!</v>
      </c>
      <c r="B31" s="7" t="e">
        <f>#REF!</f>
        <v>#REF!</v>
      </c>
      <c r="C31" s="8" t="e">
        <f>#REF!</f>
        <v>#REF!</v>
      </c>
      <c r="D31" s="9" t="e">
        <f>#REF!</f>
        <v>#REF!</v>
      </c>
      <c r="E31" s="39" t="e">
        <f>#REF!</f>
        <v>#REF!</v>
      </c>
      <c r="F31" s="36" t="e">
        <f t="shared" si="0"/>
        <v>#REF!</v>
      </c>
      <c r="G31" s="37"/>
    </row>
    <row r="32" spans="1:7" ht="19.5" thickBot="1">
      <c r="A32" s="24" t="e">
        <f>#REF!</f>
        <v>#REF!</v>
      </c>
      <c r="B32" s="7" t="e">
        <f>#REF!</f>
        <v>#REF!</v>
      </c>
      <c r="C32" s="8" t="e">
        <f>#REF!</f>
        <v>#REF!</v>
      </c>
      <c r="D32" s="9" t="e">
        <f>#REF!</f>
        <v>#REF!</v>
      </c>
      <c r="E32" s="10" t="e">
        <f>#REF!</f>
        <v>#REF!</v>
      </c>
      <c r="F32" s="36" t="e">
        <f t="shared" si="0"/>
        <v>#REF!</v>
      </c>
      <c r="G32" s="31"/>
    </row>
    <row r="33" spans="1:11" ht="19.5" thickBot="1">
      <c r="A33" s="24" t="e">
        <f>#REF!</f>
        <v>#REF!</v>
      </c>
      <c r="B33" s="7" t="e">
        <f>#REF!</f>
        <v>#REF!</v>
      </c>
      <c r="C33" s="8" t="e">
        <f>#REF!</f>
        <v>#REF!</v>
      </c>
      <c r="D33" s="9" t="e">
        <f>#REF!</f>
        <v>#REF!</v>
      </c>
      <c r="E33" s="10" t="e">
        <f>#REF!</f>
        <v>#REF!</v>
      </c>
      <c r="F33" s="36" t="e">
        <f t="shared" si="0"/>
        <v>#REF!</v>
      </c>
      <c r="G33" s="31"/>
    </row>
    <row r="34" spans="1:11" ht="19.5" thickBot="1">
      <c r="A34" s="24" t="e">
        <f>#REF!</f>
        <v>#REF!</v>
      </c>
      <c r="B34" s="7" t="e">
        <f>#REF!</f>
        <v>#REF!</v>
      </c>
      <c r="C34" s="8" t="e">
        <f>#REF!</f>
        <v>#REF!</v>
      </c>
      <c r="D34" s="9" t="e">
        <f>#REF!</f>
        <v>#REF!</v>
      </c>
      <c r="E34" s="10" t="e">
        <f>#REF!</f>
        <v>#REF!</v>
      </c>
      <c r="F34" s="36" t="e">
        <f t="shared" si="0"/>
        <v>#REF!</v>
      </c>
      <c r="G34" s="31"/>
    </row>
    <row r="35" spans="1:11" ht="19.5" thickBot="1">
      <c r="A35" s="24" t="e">
        <f>#REF!</f>
        <v>#REF!</v>
      </c>
      <c r="B35" s="7" t="e">
        <f>#REF!</f>
        <v>#REF!</v>
      </c>
      <c r="C35" s="8" t="e">
        <f>#REF!</f>
        <v>#REF!</v>
      </c>
      <c r="D35" s="9" t="e">
        <f>#REF!</f>
        <v>#REF!</v>
      </c>
      <c r="E35" s="10" t="e">
        <f>#REF!</f>
        <v>#REF!</v>
      </c>
      <c r="F35" s="36" t="e">
        <f t="shared" si="0"/>
        <v>#REF!</v>
      </c>
      <c r="G35" s="31"/>
    </row>
    <row r="36" spans="1:11" ht="19.5" thickBot="1">
      <c r="A36" s="24" t="e">
        <f>#REF!</f>
        <v>#REF!</v>
      </c>
      <c r="B36" s="7" t="e">
        <f>#REF!</f>
        <v>#REF!</v>
      </c>
      <c r="C36" s="8" t="e">
        <f>#REF!</f>
        <v>#REF!</v>
      </c>
      <c r="D36" s="9" t="e">
        <f>#REF!</f>
        <v>#REF!</v>
      </c>
      <c r="E36" s="10" t="e">
        <f>#REF!</f>
        <v>#REF!</v>
      </c>
      <c r="F36" s="36" t="e">
        <f t="shared" si="0"/>
        <v>#REF!</v>
      </c>
      <c r="G36" s="31"/>
    </row>
    <row r="37" spans="1:11" ht="19.5" thickBot="1">
      <c r="A37" s="24" t="e">
        <f>#REF!</f>
        <v>#REF!</v>
      </c>
      <c r="B37" s="7" t="e">
        <f>#REF!</f>
        <v>#REF!</v>
      </c>
      <c r="C37" s="8" t="e">
        <f>#REF!</f>
        <v>#REF!</v>
      </c>
      <c r="D37" s="9" t="e">
        <f>#REF!</f>
        <v>#REF!</v>
      </c>
      <c r="E37" s="10" t="e">
        <f>#REF!</f>
        <v>#REF!</v>
      </c>
      <c r="F37" s="36" t="e">
        <f t="shared" si="0"/>
        <v>#REF!</v>
      </c>
      <c r="G37" s="31"/>
    </row>
    <row r="38" spans="1:11" ht="19.5" thickBot="1">
      <c r="A38" s="24" t="e">
        <f>#REF!</f>
        <v>#REF!</v>
      </c>
      <c r="B38" s="7" t="e">
        <f>#REF!</f>
        <v>#REF!</v>
      </c>
      <c r="C38" s="8" t="e">
        <f>#REF!</f>
        <v>#REF!</v>
      </c>
      <c r="D38" s="9" t="e">
        <f>#REF!</f>
        <v>#REF!</v>
      </c>
      <c r="E38" s="10" t="e">
        <f>#REF!</f>
        <v>#REF!</v>
      </c>
      <c r="F38" s="36" t="e">
        <f t="shared" si="0"/>
        <v>#REF!</v>
      </c>
      <c r="G38" s="31"/>
    </row>
    <row r="39" spans="1:11" ht="19.5" thickBot="1">
      <c r="A39" s="24" t="e">
        <f>#REF!</f>
        <v>#REF!</v>
      </c>
      <c r="B39" s="7" t="e">
        <f>#REF!</f>
        <v>#REF!</v>
      </c>
      <c r="C39" s="8" t="e">
        <f>#REF!</f>
        <v>#REF!</v>
      </c>
      <c r="D39" s="9" t="e">
        <f>#REF!</f>
        <v>#REF!</v>
      </c>
      <c r="E39" s="10" t="e">
        <f>#REF!</f>
        <v>#REF!</v>
      </c>
      <c r="F39" s="36" t="e">
        <f t="shared" si="0"/>
        <v>#REF!</v>
      </c>
      <c r="G39" s="31"/>
      <c r="I39" s="13" t="s">
        <v>33</v>
      </c>
    </row>
    <row r="40" spans="1:11" ht="19.5" thickBot="1">
      <c r="A40" s="24" t="e">
        <f>#REF!</f>
        <v>#REF!</v>
      </c>
      <c r="B40" s="7" t="e">
        <f>#REF!</f>
        <v>#REF!</v>
      </c>
      <c r="C40" s="8" t="e">
        <f>#REF!</f>
        <v>#REF!</v>
      </c>
      <c r="D40" s="9" t="e">
        <f>#REF!</f>
        <v>#REF!</v>
      </c>
      <c r="E40" s="10" t="e">
        <f>#REF!</f>
        <v>#REF!</v>
      </c>
      <c r="F40" s="36" t="e">
        <f t="shared" si="0"/>
        <v>#REF!</v>
      </c>
      <c r="G40" s="31"/>
    </row>
    <row r="41" spans="1:11" ht="19.5" thickBot="1">
      <c r="A41" s="24" t="e">
        <f>#REF!</f>
        <v>#REF!</v>
      </c>
      <c r="B41" s="7" t="e">
        <f>#REF!</f>
        <v>#REF!</v>
      </c>
      <c r="C41" s="8" t="e">
        <f>#REF!</f>
        <v>#REF!</v>
      </c>
      <c r="D41" s="9" t="e">
        <f>#REF!</f>
        <v>#REF!</v>
      </c>
      <c r="E41" s="10" t="e">
        <f>#REF!</f>
        <v>#REF!</v>
      </c>
      <c r="F41" s="36" t="e">
        <f t="shared" si="0"/>
        <v>#REF!</v>
      </c>
      <c r="G41" s="31"/>
      <c r="I41" s="13" t="s">
        <v>34</v>
      </c>
    </row>
    <row r="42" spans="1:11" ht="19.5" thickBot="1">
      <c r="A42" s="24" t="e">
        <f>#REF!</f>
        <v>#REF!</v>
      </c>
      <c r="B42" s="7" t="e">
        <f>#REF!</f>
        <v>#REF!</v>
      </c>
      <c r="C42" s="8" t="e">
        <f>#REF!</f>
        <v>#REF!</v>
      </c>
      <c r="D42" s="9" t="e">
        <f>#REF!</f>
        <v>#REF!</v>
      </c>
      <c r="E42" s="10" t="e">
        <f>#REF!</f>
        <v>#REF!</v>
      </c>
      <c r="F42" s="36" t="e">
        <f t="shared" si="0"/>
        <v>#REF!</v>
      </c>
      <c r="G42" s="31"/>
      <c r="I42" s="14"/>
    </row>
    <row r="43" spans="1:11" ht="19.5" thickBot="1">
      <c r="A43" s="24" t="e">
        <f>#REF!</f>
        <v>#REF!</v>
      </c>
      <c r="B43" s="7" t="e">
        <f>#REF!</f>
        <v>#REF!</v>
      </c>
      <c r="C43" s="8" t="e">
        <f>#REF!</f>
        <v>#REF!</v>
      </c>
      <c r="D43" s="9" t="e">
        <f>#REF!</f>
        <v>#REF!</v>
      </c>
      <c r="E43" s="10" t="e">
        <f>#REF!</f>
        <v>#REF!</v>
      </c>
      <c r="F43" s="36" t="e">
        <f t="shared" si="0"/>
        <v>#REF!</v>
      </c>
      <c r="G43" s="31"/>
    </row>
    <row r="44" spans="1:11" ht="19.5" thickBot="1">
      <c r="A44" s="24" t="e">
        <f>#REF!</f>
        <v>#REF!</v>
      </c>
      <c r="B44" s="7" t="e">
        <f>#REF!</f>
        <v>#REF!</v>
      </c>
      <c r="C44" s="8" t="e">
        <f>#REF!</f>
        <v>#REF!</v>
      </c>
      <c r="D44" s="9" t="e">
        <f>#REF!</f>
        <v>#REF!</v>
      </c>
      <c r="E44" s="10" t="e">
        <f>#REF!</f>
        <v>#REF!</v>
      </c>
      <c r="F44" s="36" t="e">
        <f t="shared" si="0"/>
        <v>#REF!</v>
      </c>
      <c r="G44" s="31"/>
    </row>
    <row r="45" spans="1:11" ht="19.5" thickBot="1">
      <c r="A45" s="24" t="e">
        <f>#REF!</f>
        <v>#REF!</v>
      </c>
      <c r="B45" s="7" t="e">
        <f>#REF!</f>
        <v>#REF!</v>
      </c>
      <c r="C45" s="8" t="e">
        <f>#REF!</f>
        <v>#REF!</v>
      </c>
      <c r="D45" s="9" t="e">
        <f>#REF!</f>
        <v>#REF!</v>
      </c>
      <c r="E45" s="10" t="e">
        <f>#REF!</f>
        <v>#REF!</v>
      </c>
      <c r="F45" s="36" t="e">
        <f t="shared" si="0"/>
        <v>#REF!</v>
      </c>
      <c r="G45" s="31"/>
      <c r="H45" s="4" t="s">
        <v>27</v>
      </c>
      <c r="J45" s="4"/>
      <c r="K45" s="4"/>
    </row>
    <row r="46" spans="1:11" ht="19.5" thickBot="1">
      <c r="A46" s="24" t="e">
        <f>#REF!</f>
        <v>#REF!</v>
      </c>
      <c r="B46" s="7" t="e">
        <f>#REF!</f>
        <v>#REF!</v>
      </c>
      <c r="C46" s="8" t="e">
        <f>#REF!</f>
        <v>#REF!</v>
      </c>
      <c r="D46" s="9" t="e">
        <f>#REF!</f>
        <v>#REF!</v>
      </c>
      <c r="E46" s="10" t="e">
        <f>#REF!</f>
        <v>#REF!</v>
      </c>
      <c r="F46" s="36" t="e">
        <f t="shared" si="0"/>
        <v>#REF!</v>
      </c>
      <c r="G46" s="31"/>
      <c r="H46" s="4"/>
      <c r="J46" s="4"/>
      <c r="K46" s="4"/>
    </row>
    <row r="47" spans="1:11" ht="19.5" thickBot="1">
      <c r="A47" s="24" t="e">
        <f>#REF!</f>
        <v>#REF!</v>
      </c>
      <c r="B47" s="7" t="e">
        <f>#REF!</f>
        <v>#REF!</v>
      </c>
      <c r="C47" s="8" t="e">
        <f>#REF!</f>
        <v>#REF!</v>
      </c>
      <c r="D47" s="9" t="e">
        <f>#REF!</f>
        <v>#REF!</v>
      </c>
      <c r="E47" s="10" t="e">
        <f>#REF!</f>
        <v>#REF!</v>
      </c>
      <c r="F47" s="36" t="e">
        <f t="shared" si="0"/>
        <v>#REF!</v>
      </c>
      <c r="G47" s="31"/>
      <c r="H47" s="4" t="s">
        <v>22</v>
      </c>
      <c r="I47" s="2"/>
      <c r="J47" s="4"/>
      <c r="K47" s="1"/>
    </row>
    <row r="48" spans="1:11" ht="19.5" thickBot="1">
      <c r="A48" s="24" t="e">
        <f>#REF!</f>
        <v>#REF!</v>
      </c>
      <c r="B48" s="7" t="e">
        <f>#REF!</f>
        <v>#REF!</v>
      </c>
      <c r="C48" s="8" t="e">
        <f>#REF!</f>
        <v>#REF!</v>
      </c>
      <c r="D48" s="9" t="e">
        <f>#REF!</f>
        <v>#REF!</v>
      </c>
      <c r="E48" s="10" t="e">
        <f>#REF!</f>
        <v>#REF!</v>
      </c>
      <c r="F48" s="36" t="e">
        <f t="shared" si="0"/>
        <v>#REF!</v>
      </c>
      <c r="G48" s="31"/>
      <c r="H48" s="4" t="s">
        <v>21</v>
      </c>
      <c r="J48" s="4"/>
      <c r="K48" s="4"/>
    </row>
    <row r="49" spans="1:13" ht="19.5" thickBot="1">
      <c r="A49" s="24" t="e">
        <f>#REF!</f>
        <v>#REF!</v>
      </c>
      <c r="B49" s="7" t="e">
        <f>#REF!</f>
        <v>#REF!</v>
      </c>
      <c r="C49" s="8" t="e">
        <f>#REF!</f>
        <v>#REF!</v>
      </c>
      <c r="D49" s="9" t="e">
        <f>#REF!</f>
        <v>#REF!</v>
      </c>
      <c r="E49" s="10" t="e">
        <f>#REF!</f>
        <v>#REF!</v>
      </c>
      <c r="F49" s="36" t="e">
        <f t="shared" si="0"/>
        <v>#REF!</v>
      </c>
      <c r="G49" s="31"/>
      <c r="H49" s="4"/>
      <c r="J49" s="4"/>
      <c r="K49" s="4"/>
    </row>
    <row r="50" spans="1:13" ht="19.5" thickBot="1">
      <c r="A50" s="24" t="e">
        <f>#REF!</f>
        <v>#REF!</v>
      </c>
      <c r="B50" s="7" t="e">
        <f>#REF!</f>
        <v>#REF!</v>
      </c>
      <c r="C50" s="8" t="e">
        <f>#REF!</f>
        <v>#REF!</v>
      </c>
      <c r="D50" s="9" t="e">
        <f>#REF!</f>
        <v>#REF!</v>
      </c>
      <c r="E50" s="10" t="e">
        <f>#REF!</f>
        <v>#REF!</v>
      </c>
      <c r="F50" s="36" t="e">
        <f t="shared" si="0"/>
        <v>#REF!</v>
      </c>
      <c r="G50" s="31"/>
      <c r="H50" s="4" t="s">
        <v>23</v>
      </c>
      <c r="J50" s="4"/>
      <c r="K50" s="4"/>
    </row>
    <row r="51" spans="1:13" ht="19.5" thickBot="1">
      <c r="A51" s="24" t="e">
        <f>#REF!</f>
        <v>#REF!</v>
      </c>
      <c r="B51" s="7" t="e">
        <f>#REF!</f>
        <v>#REF!</v>
      </c>
      <c r="C51" s="8" t="e">
        <f>#REF!</f>
        <v>#REF!</v>
      </c>
      <c r="D51" s="9" t="e">
        <f>#REF!</f>
        <v>#REF!</v>
      </c>
      <c r="E51" s="10" t="e">
        <f>#REF!</f>
        <v>#REF!</v>
      </c>
      <c r="F51" s="36" t="e">
        <f t="shared" si="0"/>
        <v>#REF!</v>
      </c>
      <c r="G51" s="31"/>
      <c r="H51" s="4"/>
      <c r="J51" s="4"/>
      <c r="K51" s="4"/>
    </row>
    <row r="52" spans="1:13" ht="19.5" thickBot="1">
      <c r="A52" s="24" t="e">
        <f>#REF!</f>
        <v>#REF!</v>
      </c>
      <c r="B52" s="7" t="e">
        <f>#REF!</f>
        <v>#REF!</v>
      </c>
      <c r="C52" s="8" t="e">
        <f>#REF!</f>
        <v>#REF!</v>
      </c>
      <c r="D52" s="9" t="e">
        <f>#REF!</f>
        <v>#REF!</v>
      </c>
      <c r="E52" s="10" t="e">
        <f>#REF!</f>
        <v>#REF!</v>
      </c>
      <c r="F52" s="36" t="e">
        <f t="shared" si="0"/>
        <v>#REF!</v>
      </c>
      <c r="G52" s="31"/>
      <c r="H52" s="4" t="s">
        <v>24</v>
      </c>
      <c r="J52" s="4"/>
      <c r="K52" s="4"/>
    </row>
    <row r="53" spans="1:13" ht="19.5" thickBot="1">
      <c r="A53" s="24" t="e">
        <f>#REF!</f>
        <v>#REF!</v>
      </c>
      <c r="B53" s="7" t="e">
        <f>#REF!</f>
        <v>#REF!</v>
      </c>
      <c r="C53" s="8" t="e">
        <f>#REF!</f>
        <v>#REF!</v>
      </c>
      <c r="D53" s="9" t="e">
        <f>#REF!</f>
        <v>#REF!</v>
      </c>
      <c r="E53" s="10" t="e">
        <f>#REF!</f>
        <v>#REF!</v>
      </c>
      <c r="F53" s="36" t="e">
        <f t="shared" si="0"/>
        <v>#REF!</v>
      </c>
      <c r="G53" s="31"/>
      <c r="H53" s="4"/>
      <c r="J53" s="4"/>
      <c r="K53" s="4"/>
    </row>
    <row r="54" spans="1:13" ht="21.75" thickBot="1">
      <c r="A54" s="24" t="e">
        <f>#REF!</f>
        <v>#REF!</v>
      </c>
      <c r="B54" s="7" t="e">
        <f>#REF!</f>
        <v>#REF!</v>
      </c>
      <c r="C54" s="8" t="e">
        <f>#REF!</f>
        <v>#REF!</v>
      </c>
      <c r="D54" s="9" t="e">
        <f>#REF!</f>
        <v>#REF!</v>
      </c>
      <c r="E54" s="10" t="e">
        <f>#REF!</f>
        <v>#REF!</v>
      </c>
      <c r="F54" s="36" t="e">
        <f t="shared" si="0"/>
        <v>#REF!</v>
      </c>
      <c r="G54" s="31"/>
      <c r="H54" s="4" t="s">
        <v>25</v>
      </c>
      <c r="J54" s="4"/>
      <c r="K54" s="4"/>
    </row>
    <row r="55" spans="1:13" ht="19.5" thickBot="1">
      <c r="A55" s="24" t="e">
        <f>#REF!</f>
        <v>#REF!</v>
      </c>
      <c r="B55" s="7" t="e">
        <f>#REF!</f>
        <v>#REF!</v>
      </c>
      <c r="C55" s="8" t="e">
        <f>#REF!</f>
        <v>#REF!</v>
      </c>
      <c r="D55" s="9" t="e">
        <f>#REF!</f>
        <v>#REF!</v>
      </c>
      <c r="E55" s="10" t="e">
        <f>#REF!</f>
        <v>#REF!</v>
      </c>
      <c r="F55" s="36" t="e">
        <f t="shared" si="0"/>
        <v>#REF!</v>
      </c>
      <c r="G55" s="31"/>
      <c r="H55" s="4"/>
      <c r="J55" s="4"/>
      <c r="K55" s="4"/>
    </row>
    <row r="56" spans="1:13" ht="19.5" thickBot="1">
      <c r="A56" s="24" t="e">
        <f>#REF!</f>
        <v>#REF!</v>
      </c>
      <c r="B56" s="7" t="e">
        <f>#REF!</f>
        <v>#REF!</v>
      </c>
      <c r="C56" s="8" t="e">
        <f>#REF!</f>
        <v>#REF!</v>
      </c>
      <c r="D56" s="9" t="e">
        <f>#REF!</f>
        <v>#REF!</v>
      </c>
      <c r="E56" s="10" t="e">
        <f>#REF!</f>
        <v>#REF!</v>
      </c>
      <c r="F56" s="36" t="e">
        <f t="shared" si="0"/>
        <v>#REF!</v>
      </c>
      <c r="G56" s="31"/>
      <c r="H56" s="4" t="s">
        <v>11</v>
      </c>
      <c r="J56" s="4"/>
      <c r="K56" s="4"/>
    </row>
    <row r="57" spans="1:13" ht="19.5" thickBot="1">
      <c r="A57" s="24" t="e">
        <f>#REF!</f>
        <v>#REF!</v>
      </c>
      <c r="B57" s="7" t="e">
        <f>#REF!</f>
        <v>#REF!</v>
      </c>
      <c r="C57" s="8" t="e">
        <f>#REF!</f>
        <v>#REF!</v>
      </c>
      <c r="D57" s="9" t="e">
        <f>#REF!</f>
        <v>#REF!</v>
      </c>
      <c r="E57" s="10" t="e">
        <f>#REF!</f>
        <v>#REF!</v>
      </c>
      <c r="F57" s="36" t="e">
        <f t="shared" si="0"/>
        <v>#REF!</v>
      </c>
      <c r="G57" s="31"/>
      <c r="H57" s="4"/>
      <c r="J57" s="4"/>
      <c r="K57" s="4"/>
    </row>
    <row r="58" spans="1:13" ht="19.5" thickBot="1">
      <c r="A58" s="24" t="e">
        <f>#REF!</f>
        <v>#REF!</v>
      </c>
      <c r="B58" s="7" t="e">
        <f>#REF!</f>
        <v>#REF!</v>
      </c>
      <c r="C58" s="8" t="e">
        <f>#REF!</f>
        <v>#REF!</v>
      </c>
      <c r="D58" s="9" t="e">
        <f>#REF!</f>
        <v>#REF!</v>
      </c>
      <c r="E58" s="10" t="e">
        <f>#REF!</f>
        <v>#REF!</v>
      </c>
      <c r="F58" s="36" t="e">
        <f t="shared" si="0"/>
        <v>#REF!</v>
      </c>
      <c r="G58" s="31"/>
      <c r="H58" s="4"/>
      <c r="J58" s="4"/>
      <c r="K58" s="4"/>
    </row>
    <row r="59" spans="1:13" ht="19.5" thickBot="1">
      <c r="A59" s="24" t="e">
        <f>#REF!</f>
        <v>#REF!</v>
      </c>
      <c r="B59" s="7" t="e">
        <f>#REF!</f>
        <v>#REF!</v>
      </c>
      <c r="C59" s="8" t="e">
        <f>#REF!</f>
        <v>#REF!</v>
      </c>
      <c r="D59" s="9" t="e">
        <f>#REF!</f>
        <v>#REF!</v>
      </c>
      <c r="E59" s="10" t="e">
        <f>#REF!</f>
        <v>#REF!</v>
      </c>
      <c r="F59" s="36" t="e">
        <f t="shared" si="0"/>
        <v>#REF!</v>
      </c>
      <c r="G59" s="31"/>
      <c r="I59" s="4" t="s">
        <v>5</v>
      </c>
      <c r="K59" s="4"/>
      <c r="L59" s="4"/>
    </row>
    <row r="60" spans="1:13" ht="19.5" thickBot="1">
      <c r="A60" s="24" t="e">
        <f>#REF!</f>
        <v>#REF!</v>
      </c>
      <c r="B60" s="7" t="e">
        <f>#REF!</f>
        <v>#REF!</v>
      </c>
      <c r="C60" s="8" t="e">
        <f>#REF!</f>
        <v>#REF!</v>
      </c>
      <c r="D60" s="9" t="e">
        <f>#REF!</f>
        <v>#REF!</v>
      </c>
      <c r="E60" s="10" t="e">
        <f>#REF!</f>
        <v>#REF!</v>
      </c>
      <c r="F60" s="36" t="e">
        <f t="shared" si="0"/>
        <v>#REF!</v>
      </c>
      <c r="G60" s="31"/>
      <c r="I60" s="4" t="s">
        <v>6</v>
      </c>
      <c r="K60" s="4"/>
      <c r="L60" s="4"/>
    </row>
    <row r="61" spans="1:13" ht="19.5" thickBot="1">
      <c r="A61" s="24" t="e">
        <f>#REF!</f>
        <v>#REF!</v>
      </c>
      <c r="B61" s="7" t="e">
        <f>#REF!</f>
        <v>#REF!</v>
      </c>
      <c r="C61" s="8" t="e">
        <f>#REF!</f>
        <v>#REF!</v>
      </c>
      <c r="D61" s="9" t="e">
        <f>#REF!</f>
        <v>#REF!</v>
      </c>
      <c r="E61" s="10" t="e">
        <f>#REF!</f>
        <v>#REF!</v>
      </c>
      <c r="F61" s="36" t="e">
        <f t="shared" si="0"/>
        <v>#REF!</v>
      </c>
      <c r="G61" s="31"/>
      <c r="I61" s="4" t="s">
        <v>7</v>
      </c>
      <c r="K61" s="11"/>
      <c r="L61" s="4"/>
      <c r="M61" s="5" t="s">
        <v>26</v>
      </c>
    </row>
    <row r="62" spans="1:13" ht="19.5" thickBot="1">
      <c r="A62" s="24" t="e">
        <f>#REF!</f>
        <v>#REF!</v>
      </c>
      <c r="B62" s="7" t="e">
        <f>#REF!</f>
        <v>#REF!</v>
      </c>
      <c r="C62" s="8" t="e">
        <f>#REF!</f>
        <v>#REF!</v>
      </c>
      <c r="D62" s="9" t="e">
        <f>#REF!</f>
        <v>#REF!</v>
      </c>
      <c r="E62" s="10" t="e">
        <f>#REF!</f>
        <v>#REF!</v>
      </c>
      <c r="F62" s="36" t="e">
        <f t="shared" si="0"/>
        <v>#REF!</v>
      </c>
      <c r="G62" s="31"/>
      <c r="I62" s="4" t="s">
        <v>8</v>
      </c>
      <c r="K62" s="4"/>
      <c r="L62" s="4"/>
    </row>
    <row r="63" spans="1:13" ht="19.5" thickBot="1">
      <c r="A63" s="24" t="e">
        <f>#REF!</f>
        <v>#REF!</v>
      </c>
      <c r="B63" s="7" t="e">
        <f>#REF!</f>
        <v>#REF!</v>
      </c>
      <c r="C63" s="8" t="e">
        <f>#REF!</f>
        <v>#REF!</v>
      </c>
      <c r="D63" s="9" t="e">
        <f>#REF!</f>
        <v>#REF!</v>
      </c>
      <c r="E63" s="10" t="e">
        <f>#REF!</f>
        <v>#REF!</v>
      </c>
      <c r="F63" s="36" t="e">
        <f t="shared" si="0"/>
        <v>#REF!</v>
      </c>
      <c r="G63" s="31"/>
      <c r="I63" s="4" t="s">
        <v>10</v>
      </c>
      <c r="K63" s="4"/>
      <c r="L63" s="4"/>
    </row>
    <row r="64" spans="1:13" ht="19.5" thickBot="1">
      <c r="A64" s="24" t="e">
        <f>#REF!</f>
        <v>#REF!</v>
      </c>
      <c r="B64" s="7" t="e">
        <f>#REF!</f>
        <v>#REF!</v>
      </c>
      <c r="C64" s="8" t="e">
        <f>#REF!</f>
        <v>#REF!</v>
      </c>
      <c r="D64" s="9" t="e">
        <f>#REF!</f>
        <v>#REF!</v>
      </c>
      <c r="E64" s="10" t="e">
        <f>#REF!</f>
        <v>#REF!</v>
      </c>
      <c r="F64" s="36" t="e">
        <f t="shared" si="0"/>
        <v>#REF!</v>
      </c>
      <c r="G64" s="31"/>
      <c r="I64" s="4" t="s">
        <v>9</v>
      </c>
      <c r="K64" s="4"/>
      <c r="L64" s="4"/>
    </row>
    <row r="65" spans="1:7" ht="19.5" thickBot="1">
      <c r="A65" s="24" t="e">
        <f>#REF!</f>
        <v>#REF!</v>
      </c>
      <c r="B65" s="7" t="e">
        <f>#REF!</f>
        <v>#REF!</v>
      </c>
      <c r="C65" s="8" t="e">
        <f>#REF!</f>
        <v>#REF!</v>
      </c>
      <c r="D65" s="9" t="e">
        <f>#REF!</f>
        <v>#REF!</v>
      </c>
      <c r="E65" s="10" t="e">
        <f>#REF!</f>
        <v>#REF!</v>
      </c>
      <c r="F65" s="36" t="e">
        <f t="shared" si="0"/>
        <v>#REF!</v>
      </c>
      <c r="G65" s="31"/>
    </row>
    <row r="66" spans="1:7" ht="19.5" thickBot="1">
      <c r="A66" s="24" t="e">
        <f>#REF!</f>
        <v>#REF!</v>
      </c>
      <c r="B66" s="7" t="e">
        <f>#REF!</f>
        <v>#REF!</v>
      </c>
      <c r="C66" s="8" t="e">
        <f>#REF!</f>
        <v>#REF!</v>
      </c>
      <c r="D66" s="9" t="e">
        <f>#REF!</f>
        <v>#REF!</v>
      </c>
      <c r="E66" s="10" t="e">
        <f>#REF!</f>
        <v>#REF!</v>
      </c>
      <c r="F66" s="36" t="e">
        <f t="shared" si="0"/>
        <v>#REF!</v>
      </c>
      <c r="G66" s="31"/>
    </row>
    <row r="67" spans="1:7" ht="19.5" thickBot="1">
      <c r="A67" s="24" t="e">
        <f>#REF!</f>
        <v>#REF!</v>
      </c>
      <c r="B67" s="7" t="e">
        <f>#REF!</f>
        <v>#REF!</v>
      </c>
      <c r="C67" s="8" t="e">
        <f>#REF!</f>
        <v>#REF!</v>
      </c>
      <c r="D67" s="9" t="e">
        <f>#REF!</f>
        <v>#REF!</v>
      </c>
      <c r="E67" s="10" t="e">
        <f>#REF!</f>
        <v>#REF!</v>
      </c>
      <c r="F67" s="36" t="e">
        <f t="shared" si="0"/>
        <v>#REF!</v>
      </c>
      <c r="G67" s="31"/>
    </row>
    <row r="68" spans="1:7" ht="19.5" thickBot="1">
      <c r="A68" s="24" t="e">
        <f>#REF!</f>
        <v>#REF!</v>
      </c>
      <c r="B68" s="7" t="e">
        <f>#REF!</f>
        <v>#REF!</v>
      </c>
      <c r="C68" s="8" t="e">
        <f>#REF!</f>
        <v>#REF!</v>
      </c>
      <c r="D68" s="9" t="e">
        <f>#REF!</f>
        <v>#REF!</v>
      </c>
      <c r="E68" s="10" t="e">
        <f>#REF!</f>
        <v>#REF!</v>
      </c>
      <c r="F68" s="36" t="e">
        <f t="shared" si="0"/>
        <v>#REF!</v>
      </c>
      <c r="G68" s="31"/>
    </row>
    <row r="69" spans="1:7" ht="19.5" thickBot="1">
      <c r="A69" s="24" t="e">
        <f>#REF!</f>
        <v>#REF!</v>
      </c>
      <c r="B69" s="7" t="e">
        <f>#REF!</f>
        <v>#REF!</v>
      </c>
      <c r="C69" s="8" t="e">
        <f>#REF!</f>
        <v>#REF!</v>
      </c>
      <c r="D69" s="9" t="e">
        <f>#REF!</f>
        <v>#REF!</v>
      </c>
      <c r="E69" s="10" t="e">
        <f>#REF!</f>
        <v>#REF!</v>
      </c>
      <c r="F69" s="36" t="e">
        <f t="shared" si="0"/>
        <v>#REF!</v>
      </c>
      <c r="G69" s="31"/>
    </row>
    <row r="70" spans="1:7" ht="19.5" thickBot="1">
      <c r="A70" s="24" t="e">
        <f>#REF!</f>
        <v>#REF!</v>
      </c>
      <c r="B70" s="7" t="e">
        <f>#REF!</f>
        <v>#REF!</v>
      </c>
      <c r="C70" s="8" t="e">
        <f>#REF!</f>
        <v>#REF!</v>
      </c>
      <c r="D70" s="9" t="e">
        <f>#REF!</f>
        <v>#REF!</v>
      </c>
      <c r="E70" s="10" t="e">
        <f>#REF!</f>
        <v>#REF!</v>
      </c>
      <c r="F70" s="36" t="e">
        <f t="shared" ref="F70:F104" si="2">IF(C70="f",((F$3)*D70^2)-($G$3*D70)+($H$3),"")</f>
        <v>#REF!</v>
      </c>
      <c r="G70" s="31"/>
    </row>
    <row r="71" spans="1:7" ht="19.5" thickBot="1">
      <c r="A71" s="24" t="e">
        <f>#REF!</f>
        <v>#REF!</v>
      </c>
      <c r="B71" s="7" t="e">
        <f>#REF!</f>
        <v>#REF!</v>
      </c>
      <c r="C71" s="8" t="e">
        <f>#REF!</f>
        <v>#REF!</v>
      </c>
      <c r="D71" s="9" t="e">
        <f>#REF!</f>
        <v>#REF!</v>
      </c>
      <c r="E71" s="10" t="e">
        <f>#REF!</f>
        <v>#REF!</v>
      </c>
      <c r="F71" s="36" t="e">
        <f t="shared" si="2"/>
        <v>#REF!</v>
      </c>
      <c r="G71" s="31"/>
    </row>
    <row r="72" spans="1:7" ht="19.5" thickBot="1">
      <c r="A72" s="24" t="e">
        <f>#REF!</f>
        <v>#REF!</v>
      </c>
      <c r="B72" s="7" t="e">
        <f>#REF!</f>
        <v>#REF!</v>
      </c>
      <c r="C72" s="8" t="e">
        <f>#REF!</f>
        <v>#REF!</v>
      </c>
      <c r="D72" s="9" t="e">
        <f>#REF!</f>
        <v>#REF!</v>
      </c>
      <c r="E72" s="10" t="e">
        <f>#REF!</f>
        <v>#REF!</v>
      </c>
      <c r="F72" s="36" t="e">
        <f t="shared" si="2"/>
        <v>#REF!</v>
      </c>
      <c r="G72" s="31"/>
    </row>
    <row r="73" spans="1:7" ht="19.5" thickBot="1">
      <c r="A73" s="24" t="e">
        <f>#REF!</f>
        <v>#REF!</v>
      </c>
      <c r="B73" s="7" t="e">
        <f>#REF!</f>
        <v>#REF!</v>
      </c>
      <c r="C73" s="8" t="e">
        <f>#REF!</f>
        <v>#REF!</v>
      </c>
      <c r="D73" s="9" t="e">
        <f>#REF!</f>
        <v>#REF!</v>
      </c>
      <c r="E73" s="10" t="e">
        <f>#REF!</f>
        <v>#REF!</v>
      </c>
      <c r="F73" s="36" t="e">
        <f t="shared" si="2"/>
        <v>#REF!</v>
      </c>
      <c r="G73" s="31"/>
    </row>
    <row r="74" spans="1:7" ht="19.5" thickBot="1">
      <c r="A74" s="24" t="e">
        <f>#REF!</f>
        <v>#REF!</v>
      </c>
      <c r="B74" s="7" t="e">
        <f>#REF!</f>
        <v>#REF!</v>
      </c>
      <c r="C74" s="8" t="e">
        <f>#REF!</f>
        <v>#REF!</v>
      </c>
      <c r="D74" s="9" t="e">
        <f>#REF!</f>
        <v>#REF!</v>
      </c>
      <c r="E74" s="10" t="e">
        <f>#REF!</f>
        <v>#REF!</v>
      </c>
      <c r="F74" s="36" t="e">
        <f t="shared" si="2"/>
        <v>#REF!</v>
      </c>
      <c r="G74" s="31"/>
    </row>
    <row r="75" spans="1:7" ht="19.5" thickBot="1">
      <c r="A75" s="24" t="e">
        <f>#REF!</f>
        <v>#REF!</v>
      </c>
      <c r="B75" s="7" t="e">
        <f>#REF!</f>
        <v>#REF!</v>
      </c>
      <c r="C75" s="8" t="e">
        <f>#REF!</f>
        <v>#REF!</v>
      </c>
      <c r="D75" s="9" t="e">
        <f>#REF!</f>
        <v>#REF!</v>
      </c>
      <c r="E75" s="10" t="e">
        <f>#REF!</f>
        <v>#REF!</v>
      </c>
      <c r="F75" s="36" t="e">
        <f t="shared" si="2"/>
        <v>#REF!</v>
      </c>
      <c r="G75" s="31"/>
    </row>
    <row r="76" spans="1:7" ht="19.5" thickBot="1">
      <c r="A76" s="24" t="e">
        <f>#REF!</f>
        <v>#REF!</v>
      </c>
      <c r="B76" s="7" t="e">
        <f>#REF!</f>
        <v>#REF!</v>
      </c>
      <c r="C76" s="8" t="e">
        <f>#REF!</f>
        <v>#REF!</v>
      </c>
      <c r="D76" s="9" t="e">
        <f>#REF!</f>
        <v>#REF!</v>
      </c>
      <c r="E76" s="10" t="e">
        <f>#REF!</f>
        <v>#REF!</v>
      </c>
      <c r="F76" s="36" t="e">
        <f t="shared" si="2"/>
        <v>#REF!</v>
      </c>
      <c r="G76" s="31"/>
    </row>
    <row r="77" spans="1:7" ht="19.5" thickBot="1">
      <c r="A77" s="24" t="e">
        <f>#REF!</f>
        <v>#REF!</v>
      </c>
      <c r="B77" s="7" t="e">
        <f>#REF!</f>
        <v>#REF!</v>
      </c>
      <c r="C77" s="8" t="e">
        <f>#REF!</f>
        <v>#REF!</v>
      </c>
      <c r="D77" s="9" t="e">
        <f>#REF!</f>
        <v>#REF!</v>
      </c>
      <c r="E77" s="10" t="e">
        <f>#REF!</f>
        <v>#REF!</v>
      </c>
      <c r="F77" s="36" t="e">
        <f t="shared" si="2"/>
        <v>#REF!</v>
      </c>
      <c r="G77" s="31"/>
    </row>
    <row r="78" spans="1:7" ht="19.5" thickBot="1">
      <c r="A78" s="24" t="e">
        <f>#REF!</f>
        <v>#REF!</v>
      </c>
      <c r="B78" s="7" t="e">
        <f>#REF!</f>
        <v>#REF!</v>
      </c>
      <c r="C78" s="8" t="e">
        <f>#REF!</f>
        <v>#REF!</v>
      </c>
      <c r="D78" s="9" t="e">
        <f>#REF!</f>
        <v>#REF!</v>
      </c>
      <c r="E78" s="10" t="e">
        <f>#REF!</f>
        <v>#REF!</v>
      </c>
      <c r="F78" s="36" t="e">
        <f t="shared" si="2"/>
        <v>#REF!</v>
      </c>
      <c r="G78" s="31"/>
    </row>
    <row r="79" spans="1:7" ht="19.5" thickBot="1">
      <c r="A79" s="24" t="e">
        <f>#REF!</f>
        <v>#REF!</v>
      </c>
      <c r="B79" s="7" t="e">
        <f>#REF!</f>
        <v>#REF!</v>
      </c>
      <c r="C79" s="8" t="e">
        <f>#REF!</f>
        <v>#REF!</v>
      </c>
      <c r="D79" s="9" t="e">
        <f>#REF!</f>
        <v>#REF!</v>
      </c>
      <c r="E79" s="10" t="e">
        <f>#REF!</f>
        <v>#REF!</v>
      </c>
      <c r="F79" s="36" t="e">
        <f t="shared" si="2"/>
        <v>#REF!</v>
      </c>
      <c r="G79" s="31"/>
    </row>
    <row r="80" spans="1:7" ht="19.5" thickBot="1">
      <c r="A80" s="24" t="e">
        <f>#REF!</f>
        <v>#REF!</v>
      </c>
      <c r="B80" s="7" t="e">
        <f>#REF!</f>
        <v>#REF!</v>
      </c>
      <c r="C80" s="8" t="e">
        <f>#REF!</f>
        <v>#REF!</v>
      </c>
      <c r="D80" s="9" t="e">
        <f>#REF!</f>
        <v>#REF!</v>
      </c>
      <c r="E80" s="10" t="e">
        <f>#REF!</f>
        <v>#REF!</v>
      </c>
      <c r="F80" s="36" t="e">
        <f t="shared" si="2"/>
        <v>#REF!</v>
      </c>
      <c r="G80" s="31"/>
    </row>
    <row r="81" spans="1:7" ht="19.5" thickBot="1">
      <c r="A81" s="24" t="e">
        <f>#REF!</f>
        <v>#REF!</v>
      </c>
      <c r="B81" s="7" t="e">
        <f>#REF!</f>
        <v>#REF!</v>
      </c>
      <c r="C81" s="8" t="e">
        <f>#REF!</f>
        <v>#REF!</v>
      </c>
      <c r="D81" s="9" t="e">
        <f>#REF!</f>
        <v>#REF!</v>
      </c>
      <c r="E81" s="10" t="e">
        <f>#REF!</f>
        <v>#REF!</v>
      </c>
      <c r="F81" s="36" t="e">
        <f t="shared" si="2"/>
        <v>#REF!</v>
      </c>
      <c r="G81" s="31"/>
    </row>
    <row r="82" spans="1:7" ht="19.5" thickBot="1">
      <c r="A82" s="24" t="e">
        <f>#REF!</f>
        <v>#REF!</v>
      </c>
      <c r="B82" s="7" t="e">
        <f>#REF!</f>
        <v>#REF!</v>
      </c>
      <c r="C82" s="8" t="e">
        <f>#REF!</f>
        <v>#REF!</v>
      </c>
      <c r="D82" s="9" t="e">
        <f>#REF!</f>
        <v>#REF!</v>
      </c>
      <c r="E82" s="10" t="e">
        <f>#REF!</f>
        <v>#REF!</v>
      </c>
      <c r="F82" s="36" t="e">
        <f t="shared" si="2"/>
        <v>#REF!</v>
      </c>
      <c r="G82" s="31"/>
    </row>
    <row r="83" spans="1:7" ht="19.5" thickBot="1">
      <c r="A83" s="24" t="e">
        <f>#REF!</f>
        <v>#REF!</v>
      </c>
      <c r="B83" s="7" t="e">
        <f>#REF!</f>
        <v>#REF!</v>
      </c>
      <c r="C83" s="8" t="e">
        <f>#REF!</f>
        <v>#REF!</v>
      </c>
      <c r="D83" s="9" t="e">
        <f>#REF!</f>
        <v>#REF!</v>
      </c>
      <c r="E83" s="10" t="e">
        <f>#REF!</f>
        <v>#REF!</v>
      </c>
      <c r="F83" s="36" t="e">
        <f t="shared" si="2"/>
        <v>#REF!</v>
      </c>
      <c r="G83" s="31"/>
    </row>
    <row r="84" spans="1:7" ht="19.5" thickBot="1">
      <c r="A84" s="24" t="e">
        <f>#REF!</f>
        <v>#REF!</v>
      </c>
      <c r="B84" s="7" t="e">
        <f>#REF!</f>
        <v>#REF!</v>
      </c>
      <c r="C84" s="8" t="e">
        <f>#REF!</f>
        <v>#REF!</v>
      </c>
      <c r="D84" s="9" t="e">
        <f>#REF!</f>
        <v>#REF!</v>
      </c>
      <c r="E84" s="10" t="e">
        <f>#REF!</f>
        <v>#REF!</v>
      </c>
      <c r="F84" s="36" t="e">
        <f t="shared" si="2"/>
        <v>#REF!</v>
      </c>
      <c r="G84" s="31"/>
    </row>
    <row r="85" spans="1:7" ht="19.5" thickBot="1">
      <c r="A85" s="24" t="e">
        <f>#REF!</f>
        <v>#REF!</v>
      </c>
      <c r="B85" s="7" t="e">
        <f>#REF!</f>
        <v>#REF!</v>
      </c>
      <c r="C85" s="8" t="e">
        <f>#REF!</f>
        <v>#REF!</v>
      </c>
      <c r="D85" s="9" t="e">
        <f>#REF!</f>
        <v>#REF!</v>
      </c>
      <c r="E85" s="10" t="e">
        <f>#REF!</f>
        <v>#REF!</v>
      </c>
      <c r="F85" s="36" t="e">
        <f t="shared" si="2"/>
        <v>#REF!</v>
      </c>
      <c r="G85" s="31"/>
    </row>
    <row r="86" spans="1:7" ht="19.5" thickBot="1">
      <c r="A86" s="24" t="e">
        <f>#REF!</f>
        <v>#REF!</v>
      </c>
      <c r="B86" s="7" t="e">
        <f>#REF!</f>
        <v>#REF!</v>
      </c>
      <c r="C86" s="8" t="e">
        <f>#REF!</f>
        <v>#REF!</v>
      </c>
      <c r="D86" s="9" t="e">
        <f>#REF!</f>
        <v>#REF!</v>
      </c>
      <c r="E86" s="10" t="e">
        <f>#REF!</f>
        <v>#REF!</v>
      </c>
      <c r="F86" s="36" t="e">
        <f t="shared" si="2"/>
        <v>#REF!</v>
      </c>
      <c r="G86" s="31"/>
    </row>
    <row r="87" spans="1:7" ht="19.5" thickBot="1">
      <c r="A87" s="24" t="e">
        <f>#REF!</f>
        <v>#REF!</v>
      </c>
      <c r="B87" s="7" t="e">
        <f>#REF!</f>
        <v>#REF!</v>
      </c>
      <c r="C87" s="8" t="e">
        <f>#REF!</f>
        <v>#REF!</v>
      </c>
      <c r="D87" s="9" t="e">
        <f>#REF!</f>
        <v>#REF!</v>
      </c>
      <c r="E87" s="10" t="e">
        <f>#REF!</f>
        <v>#REF!</v>
      </c>
      <c r="F87" s="36" t="e">
        <f t="shared" si="2"/>
        <v>#REF!</v>
      </c>
      <c r="G87" s="31"/>
    </row>
    <row r="88" spans="1:7" ht="19.5" thickBot="1">
      <c r="A88" s="24" t="e">
        <f>#REF!</f>
        <v>#REF!</v>
      </c>
      <c r="B88" s="7" t="e">
        <f>#REF!</f>
        <v>#REF!</v>
      </c>
      <c r="C88" s="8" t="e">
        <f>#REF!</f>
        <v>#REF!</v>
      </c>
      <c r="D88" s="9" t="e">
        <f>#REF!</f>
        <v>#REF!</v>
      </c>
      <c r="E88" s="10" t="e">
        <f>#REF!</f>
        <v>#REF!</v>
      </c>
      <c r="F88" s="36" t="e">
        <f t="shared" si="2"/>
        <v>#REF!</v>
      </c>
      <c r="G88" s="31"/>
    </row>
    <row r="89" spans="1:7" ht="19.5" thickBot="1">
      <c r="A89" s="24" t="e">
        <f>#REF!</f>
        <v>#REF!</v>
      </c>
      <c r="B89" s="7" t="e">
        <f>#REF!</f>
        <v>#REF!</v>
      </c>
      <c r="C89" s="8" t="e">
        <f>#REF!</f>
        <v>#REF!</v>
      </c>
      <c r="D89" s="9" t="e">
        <f>#REF!</f>
        <v>#REF!</v>
      </c>
      <c r="E89" s="10" t="e">
        <f>#REF!</f>
        <v>#REF!</v>
      </c>
      <c r="F89" s="36" t="e">
        <f t="shared" si="2"/>
        <v>#REF!</v>
      </c>
      <c r="G89" s="31"/>
    </row>
    <row r="90" spans="1:7" ht="19.5" thickBot="1">
      <c r="A90" s="24" t="e">
        <f>#REF!</f>
        <v>#REF!</v>
      </c>
      <c r="B90" s="7" t="e">
        <f>#REF!</f>
        <v>#REF!</v>
      </c>
      <c r="C90" s="8" t="e">
        <f>#REF!</f>
        <v>#REF!</v>
      </c>
      <c r="D90" s="9" t="e">
        <f>#REF!</f>
        <v>#REF!</v>
      </c>
      <c r="E90" s="10" t="e">
        <f>#REF!</f>
        <v>#REF!</v>
      </c>
      <c r="F90" s="36" t="e">
        <f t="shared" si="2"/>
        <v>#REF!</v>
      </c>
      <c r="G90" s="31"/>
    </row>
    <row r="91" spans="1:7" ht="19.5" thickBot="1">
      <c r="A91" s="24" t="e">
        <f>#REF!</f>
        <v>#REF!</v>
      </c>
      <c r="B91" s="7" t="e">
        <f>#REF!</f>
        <v>#REF!</v>
      </c>
      <c r="C91" s="8" t="e">
        <f>#REF!</f>
        <v>#REF!</v>
      </c>
      <c r="D91" s="9" t="e">
        <f>#REF!</f>
        <v>#REF!</v>
      </c>
      <c r="E91" s="10" t="e">
        <f>#REF!</f>
        <v>#REF!</v>
      </c>
      <c r="F91" s="36" t="e">
        <f t="shared" si="2"/>
        <v>#REF!</v>
      </c>
      <c r="G91" s="31"/>
    </row>
    <row r="92" spans="1:7" ht="19.5" thickBot="1">
      <c r="A92" s="24" t="e">
        <f>#REF!</f>
        <v>#REF!</v>
      </c>
      <c r="B92" s="7" t="e">
        <f>#REF!</f>
        <v>#REF!</v>
      </c>
      <c r="C92" s="8" t="e">
        <f>#REF!</f>
        <v>#REF!</v>
      </c>
      <c r="D92" s="9" t="e">
        <f>#REF!</f>
        <v>#REF!</v>
      </c>
      <c r="E92" s="10" t="e">
        <f>#REF!</f>
        <v>#REF!</v>
      </c>
      <c r="F92" s="36" t="e">
        <f t="shared" si="2"/>
        <v>#REF!</v>
      </c>
      <c r="G92" s="31"/>
    </row>
    <row r="93" spans="1:7" ht="19.5" thickBot="1">
      <c r="A93" s="24" t="e">
        <f>#REF!</f>
        <v>#REF!</v>
      </c>
      <c r="B93" s="7" t="e">
        <f>#REF!</f>
        <v>#REF!</v>
      </c>
      <c r="C93" s="8" t="e">
        <f>#REF!</f>
        <v>#REF!</v>
      </c>
      <c r="D93" s="9" t="e">
        <f>#REF!</f>
        <v>#REF!</v>
      </c>
      <c r="E93" s="10" t="e">
        <f>#REF!</f>
        <v>#REF!</v>
      </c>
      <c r="F93" s="36" t="e">
        <f t="shared" si="2"/>
        <v>#REF!</v>
      </c>
      <c r="G93" s="31"/>
    </row>
    <row r="94" spans="1:7" ht="19.5" thickBot="1">
      <c r="A94" s="24" t="e">
        <f>#REF!</f>
        <v>#REF!</v>
      </c>
      <c r="B94" s="7" t="e">
        <f>#REF!</f>
        <v>#REF!</v>
      </c>
      <c r="C94" s="8" t="e">
        <f>#REF!</f>
        <v>#REF!</v>
      </c>
      <c r="D94" s="9" t="e">
        <f>#REF!</f>
        <v>#REF!</v>
      </c>
      <c r="E94" s="10" t="e">
        <f>#REF!</f>
        <v>#REF!</v>
      </c>
      <c r="F94" s="36" t="e">
        <f t="shared" si="2"/>
        <v>#REF!</v>
      </c>
      <c r="G94" s="31"/>
    </row>
    <row r="95" spans="1:7" ht="19.5" thickBot="1">
      <c r="A95" s="24" t="e">
        <f>#REF!</f>
        <v>#REF!</v>
      </c>
      <c r="B95" s="7" t="e">
        <f>#REF!</f>
        <v>#REF!</v>
      </c>
      <c r="C95" s="8" t="e">
        <f>#REF!</f>
        <v>#REF!</v>
      </c>
      <c r="D95" s="9" t="e">
        <f>#REF!</f>
        <v>#REF!</v>
      </c>
      <c r="E95" s="10" t="e">
        <f>#REF!</f>
        <v>#REF!</v>
      </c>
      <c r="F95" s="36" t="e">
        <f t="shared" si="2"/>
        <v>#REF!</v>
      </c>
      <c r="G95" s="31"/>
    </row>
    <row r="96" spans="1:7" ht="19.5" thickBot="1">
      <c r="A96" s="24" t="e">
        <f>#REF!</f>
        <v>#REF!</v>
      </c>
      <c r="B96" s="7" t="e">
        <f>#REF!</f>
        <v>#REF!</v>
      </c>
      <c r="C96" s="8" t="e">
        <f>#REF!</f>
        <v>#REF!</v>
      </c>
      <c r="D96" s="9" t="e">
        <f>#REF!</f>
        <v>#REF!</v>
      </c>
      <c r="E96" s="10" t="e">
        <f>#REF!</f>
        <v>#REF!</v>
      </c>
      <c r="F96" s="36" t="e">
        <f t="shared" si="2"/>
        <v>#REF!</v>
      </c>
      <c r="G96" s="31"/>
    </row>
    <row r="97" spans="1:7" ht="19.5" thickBot="1">
      <c r="A97" s="24" t="e">
        <f>#REF!</f>
        <v>#REF!</v>
      </c>
      <c r="B97" s="7" t="e">
        <f>#REF!</f>
        <v>#REF!</v>
      </c>
      <c r="C97" s="8" t="e">
        <f>#REF!</f>
        <v>#REF!</v>
      </c>
      <c r="D97" s="9" t="e">
        <f>#REF!</f>
        <v>#REF!</v>
      </c>
      <c r="E97" s="10" t="e">
        <f>#REF!</f>
        <v>#REF!</v>
      </c>
      <c r="F97" s="36" t="e">
        <f t="shared" si="2"/>
        <v>#REF!</v>
      </c>
      <c r="G97" s="31"/>
    </row>
    <row r="98" spans="1:7" ht="19.5" thickBot="1">
      <c r="A98" s="24" t="e">
        <f>#REF!</f>
        <v>#REF!</v>
      </c>
      <c r="B98" s="7" t="e">
        <f>#REF!</f>
        <v>#REF!</v>
      </c>
      <c r="C98" s="8" t="e">
        <f>#REF!</f>
        <v>#REF!</v>
      </c>
      <c r="D98" s="9" t="e">
        <f>#REF!</f>
        <v>#REF!</v>
      </c>
      <c r="E98" s="10" t="e">
        <f>#REF!</f>
        <v>#REF!</v>
      </c>
      <c r="F98" s="36" t="e">
        <f t="shared" si="2"/>
        <v>#REF!</v>
      </c>
      <c r="G98" s="31"/>
    </row>
    <row r="99" spans="1:7" ht="19.5" thickBot="1">
      <c r="A99" s="24" t="e">
        <f>#REF!</f>
        <v>#REF!</v>
      </c>
      <c r="B99" s="7" t="e">
        <f>#REF!</f>
        <v>#REF!</v>
      </c>
      <c r="C99" s="8" t="e">
        <f>#REF!</f>
        <v>#REF!</v>
      </c>
      <c r="D99" s="9" t="e">
        <f>#REF!</f>
        <v>#REF!</v>
      </c>
      <c r="E99" s="10" t="e">
        <f>#REF!</f>
        <v>#REF!</v>
      </c>
      <c r="F99" s="36" t="e">
        <f t="shared" si="2"/>
        <v>#REF!</v>
      </c>
      <c r="G99" s="31"/>
    </row>
    <row r="100" spans="1:7" ht="19.5" thickBot="1">
      <c r="A100" s="24" t="e">
        <f>#REF!</f>
        <v>#REF!</v>
      </c>
      <c r="B100" s="7" t="e">
        <f>#REF!</f>
        <v>#REF!</v>
      </c>
      <c r="C100" s="8" t="e">
        <f>#REF!</f>
        <v>#REF!</v>
      </c>
      <c r="D100" s="9" t="e">
        <f>#REF!</f>
        <v>#REF!</v>
      </c>
      <c r="E100" s="10" t="e">
        <f>#REF!</f>
        <v>#REF!</v>
      </c>
      <c r="F100" s="36" t="e">
        <f t="shared" si="2"/>
        <v>#REF!</v>
      </c>
      <c r="G100" s="31"/>
    </row>
    <row r="101" spans="1:7" ht="19.5" thickBot="1">
      <c r="A101" s="24" t="e">
        <f>#REF!</f>
        <v>#REF!</v>
      </c>
      <c r="B101" s="7" t="e">
        <f>#REF!</f>
        <v>#REF!</v>
      </c>
      <c r="C101" s="8" t="e">
        <f>#REF!</f>
        <v>#REF!</v>
      </c>
      <c r="D101" s="9" t="e">
        <f>#REF!</f>
        <v>#REF!</v>
      </c>
      <c r="E101" s="10" t="e">
        <f>#REF!</f>
        <v>#REF!</v>
      </c>
      <c r="F101" s="36" t="e">
        <f t="shared" si="2"/>
        <v>#REF!</v>
      </c>
      <c r="G101" s="31"/>
    </row>
    <row r="102" spans="1:7" ht="19.5" thickBot="1">
      <c r="A102" s="24" t="e">
        <f>#REF!</f>
        <v>#REF!</v>
      </c>
      <c r="B102" s="7" t="e">
        <f>#REF!</f>
        <v>#REF!</v>
      </c>
      <c r="C102" s="8" t="e">
        <f>#REF!</f>
        <v>#REF!</v>
      </c>
      <c r="D102" s="9" t="e">
        <f>#REF!</f>
        <v>#REF!</v>
      </c>
      <c r="E102" s="10" t="e">
        <f>#REF!</f>
        <v>#REF!</v>
      </c>
      <c r="F102" s="36" t="e">
        <f t="shared" si="2"/>
        <v>#REF!</v>
      </c>
      <c r="G102" s="31"/>
    </row>
    <row r="103" spans="1:7" ht="19.5" thickBot="1">
      <c r="A103" s="24" t="e">
        <f>#REF!</f>
        <v>#REF!</v>
      </c>
      <c r="B103" s="7" t="e">
        <f>#REF!</f>
        <v>#REF!</v>
      </c>
      <c r="C103" s="8" t="e">
        <f>#REF!</f>
        <v>#REF!</v>
      </c>
      <c r="D103" s="9" t="e">
        <f>#REF!</f>
        <v>#REF!</v>
      </c>
      <c r="E103" s="10" t="e">
        <f>#REF!</f>
        <v>#REF!</v>
      </c>
      <c r="F103" s="36" t="e">
        <f t="shared" si="2"/>
        <v>#REF!</v>
      </c>
      <c r="G103" s="31"/>
    </row>
    <row r="104" spans="1:7" ht="19.5" thickBot="1">
      <c r="A104" s="24" t="e">
        <f>#REF!</f>
        <v>#REF!</v>
      </c>
      <c r="B104" s="7" t="e">
        <f>#REF!</f>
        <v>#REF!</v>
      </c>
      <c r="C104" s="8" t="e">
        <f>#REF!</f>
        <v>#REF!</v>
      </c>
      <c r="D104" s="9" t="e">
        <f>#REF!</f>
        <v>#REF!</v>
      </c>
      <c r="E104" s="10" t="e">
        <f>#REF!</f>
        <v>#REF!</v>
      </c>
      <c r="F104" s="36" t="e">
        <f t="shared" si="2"/>
        <v>#REF!</v>
      </c>
      <c r="G104" s="31"/>
    </row>
    <row r="105" spans="1:7" ht="18.75">
      <c r="B105" s="20"/>
      <c r="C105" s="21"/>
      <c r="D105" s="22"/>
      <c r="E105" s="23"/>
    </row>
  </sheetData>
  <sheetProtection selectLockedCells="1"/>
  <customSheetViews>
    <customSheetView guid="{D4FD32DD-0A5D-4D70-BA97-EA33B7747B0B}" scale="70" state="hidden" topLeftCell="A3">
      <selection activeCell="G36" sqref="G36"/>
      <pageMargins left="0.7" right="0.7" top="0.75" bottom="0.75" header="0.3" footer="0.3"/>
      <pageSetup orientation="portrait" horizontalDpi="4294967293" verticalDpi="4294967293" r:id="rId1"/>
    </customSheetView>
  </customSheetViews>
  <conditionalFormatting sqref="F5:G104">
    <cfRule type="expression" dxfId="0" priority="1">
      <formula>IF(F5&lt;&gt;"","vrai",)</formula>
    </cfRule>
  </conditionalFormatting>
  <pageMargins left="0.7" right="0.7" top="0.75" bottom="0.75" header="0.3" footer="0.3"/>
  <pageSetup orientation="portrait" horizontalDpi="4294967293" verticalDpi="4294967293"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Data- détaillée</vt:lpstr>
      <vt:lpstr>Mise à jour- sept 2019</vt:lpstr>
      <vt:lpstr>inconvénient 19</vt:lpstr>
      <vt:lpstr>métho glo détail 2</vt:lpstr>
      <vt:lpstr>'Data- détaillée'!Print_Area</vt:lpstr>
      <vt:lpstr>'inconvénient 19'!Print_Area</vt:lpstr>
      <vt:lpstr>'Mise à jour- sept 2019'!Print_Area</vt:lpstr>
    </vt:vector>
  </TitlesOfParts>
  <Company>Société du parc Jean-Drapeau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Cadorette</dc:creator>
  <cp:lastModifiedBy>user</cp:lastModifiedBy>
  <cp:lastPrinted>2019-09-04T12:15:53Z</cp:lastPrinted>
  <dcterms:created xsi:type="dcterms:W3CDTF">2008-08-08T15:03:33Z</dcterms:created>
  <dcterms:modified xsi:type="dcterms:W3CDTF">2019-09-04T12:16:47Z</dcterms:modified>
</cp:coreProperties>
</file>