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dco365.sharepoint.com/sites/finqc/sm/bdcfe/Vaudreuil-Soulanges/Patricia Gagné Claude/DCE/"/>
    </mc:Choice>
  </mc:AlternateContent>
  <xr:revisionPtr revIDLastSave="2" documentId="8_{9AA20F08-3834-4474-8663-FC6C38A77080}" xr6:coauthVersionLast="47" xr6:coauthVersionMax="47" xr10:uidLastSave="{CDE546D7-22DE-40CB-8403-B6533AA5EBE8}"/>
  <bookViews>
    <workbookView xWindow="-120" yWindow="-120" windowWidth="29040" windowHeight="15840" xr2:uid="{32E69367-2CFC-4A20-8E02-AFAEDF1B482E}"/>
  </bookViews>
  <sheets>
    <sheet name="Prévisionnels (2)" sheetId="2" r:id="rId1"/>
    <sheet name="annexes salaires (2)" sheetId="3" r:id="rId2"/>
    <sheet name="Feuil1" sheetId="1" r:id="rId3"/>
  </sheets>
  <definedNames>
    <definedName name="_xlnm.Print_Area" localSheetId="0">'Prévisionnels (2)'!$A$1:$J$39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B11" i="2" s="1"/>
  <c r="B10" i="2"/>
  <c r="D10" i="2"/>
  <c r="F31" i="3"/>
  <c r="E30" i="3"/>
  <c r="E28" i="3"/>
  <c r="E27" i="3"/>
  <c r="E26" i="3"/>
  <c r="E25" i="3"/>
  <c r="E24" i="3"/>
  <c r="E23" i="3"/>
  <c r="E22" i="3"/>
  <c r="N14" i="3"/>
  <c r="E14" i="3"/>
  <c r="N13" i="3"/>
  <c r="E13" i="3"/>
  <c r="N12" i="3"/>
  <c r="E12" i="3"/>
  <c r="N11" i="3"/>
  <c r="E11" i="3"/>
  <c r="N10" i="3"/>
  <c r="E10" i="3"/>
  <c r="N15" i="3"/>
  <c r="E9" i="3"/>
  <c r="N8" i="3"/>
  <c r="E8" i="3"/>
  <c r="E15" i="3" s="1"/>
  <c r="D36" i="2"/>
  <c r="B36" i="2"/>
  <c r="K22" i="2"/>
  <c r="D22" i="2" s="1"/>
  <c r="L10" i="2"/>
  <c r="O9" i="2"/>
  <c r="L9" i="2"/>
  <c r="L8" i="2"/>
  <c r="D4" i="2"/>
  <c r="B3" i="2"/>
  <c r="B6" i="2" s="1"/>
  <c r="C20" i="2" s="1"/>
  <c r="L15" i="2" l="1"/>
  <c r="D5" i="2" s="1"/>
  <c r="D6" i="2" s="1"/>
  <c r="E18" i="2" s="1"/>
  <c r="B22" i="2"/>
  <c r="C22" i="2" s="1"/>
  <c r="N16" i="3"/>
  <c r="N17" i="3" s="1"/>
  <c r="E16" i="3"/>
  <c r="E17" i="3" s="1"/>
  <c r="E31" i="3"/>
  <c r="E32" i="3" s="1"/>
  <c r="C26" i="2"/>
  <c r="C17" i="2"/>
  <c r="C10" i="2"/>
  <c r="B8" i="2"/>
  <c r="C6" i="2"/>
  <c r="C28" i="2"/>
  <c r="C25" i="2"/>
  <c r="C14" i="2"/>
  <c r="C4" i="2"/>
  <c r="C24" i="2"/>
  <c r="C23" i="2"/>
  <c r="C16" i="2"/>
  <c r="C21" i="2"/>
  <c r="C18" i="2"/>
  <c r="C13" i="2"/>
  <c r="C19" i="2"/>
  <c r="C29" i="2"/>
  <c r="C15" i="2"/>
  <c r="C7" i="2"/>
  <c r="C27" i="2"/>
  <c r="C3" i="2"/>
  <c r="C11" i="2"/>
  <c r="E19" i="2" l="1"/>
  <c r="E24" i="2"/>
  <c r="E11" i="2"/>
  <c r="E26" i="2"/>
  <c r="E17" i="2"/>
  <c r="E16" i="2"/>
  <c r="E10" i="2"/>
  <c r="E20" i="2"/>
  <c r="E21" i="2"/>
  <c r="E4" i="2"/>
  <c r="E22" i="2"/>
  <c r="E6" i="2"/>
  <c r="E14" i="2"/>
  <c r="E7" i="2"/>
  <c r="E13" i="2"/>
  <c r="E29" i="2"/>
  <c r="E28" i="2"/>
  <c r="E3" i="2"/>
  <c r="E23" i="2"/>
  <c r="E27" i="2"/>
  <c r="E15" i="2"/>
  <c r="E25" i="2"/>
  <c r="D8" i="2"/>
  <c r="E8" i="2" s="1"/>
  <c r="D12" i="2"/>
  <c r="B12" i="2"/>
  <c r="B9" i="2"/>
  <c r="C8" i="2"/>
  <c r="D9" i="2" l="1"/>
  <c r="C12" i="2"/>
  <c r="B30" i="2"/>
  <c r="E12" i="2"/>
  <c r="D30" i="2"/>
  <c r="E30" i="2" l="1"/>
  <c r="D31" i="2"/>
  <c r="C30" i="2"/>
  <c r="B31" i="2"/>
  <c r="B32" i="2" l="1"/>
  <c r="C32" i="2" s="1"/>
  <c r="C31" i="2"/>
  <c r="D32" i="2"/>
  <c r="E31" i="2"/>
  <c r="B33" i="2" l="1"/>
  <c r="B37" i="2" s="1"/>
  <c r="E32" i="2"/>
  <c r="D33" i="2"/>
  <c r="D37" i="2" s="1"/>
  <c r="C33" i="2" l="1"/>
  <c r="B34" i="2"/>
  <c r="D34" i="2"/>
  <c r="E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IBM</author>
  </authors>
  <commentList>
    <comment ref="G4" authorId="0" shapeId="0" xr:uid="{DF583B95-A0F9-4916-BE05-DDCF9E9E5817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18 mois à 4 ans  
34,44 + 8,70  parents
</t>
        </r>
      </text>
    </comment>
    <comment ref="H4" authorId="0" shapeId="0" xr:uid="{64678450-06BC-4096-9F6A-C2BC7D93A9EE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 40,07 + 8,70  parentn= 48,77$
</t>
        </r>
      </text>
    </comment>
    <comment ref="K4" authorId="0" shapeId="0" xr:uid="{7B61FC9A-14F9-4450-9ED7-2506E9EBA48A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 de base 63,63 + 8,70</t>
        </r>
      </text>
    </comment>
    <comment ref="L4" authorId="0" shapeId="0" xr:uid="{BB21566A-83CE-4958-AB3B-0D51989319CD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incclus portion tparent 8,7-$ </t>
        </r>
      </text>
    </comment>
    <comment ref="H5" authorId="0" shapeId="0" xr:uid="{4DD42ECD-30DF-4274-9D69-12BFB595E3FC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32,22
 + 8,70  parents</t>
        </r>
      </text>
    </comment>
    <comment ref="H8" authorId="0" shapeId="0" xr:uid="{D6441ACB-ACE8-4ED8-9C78-B4D6DA43DF5C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ref 3.13 règles budgétaire 2217,10/ enfant 11-60, 1958,85$ nbre place   plus de 60 </t>
        </r>
      </text>
    </comment>
    <comment ref="H9" authorId="0" shapeId="0" xr:uid="{99C73DF6-C0B7-4AF5-8B4B-7C84ABB0DB88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  8,09/ jour / enfant / présence comprend  frais employés cuisine - nourriture- frais entretien ménager  et paysager reef  p 33 3.1.2</t>
        </r>
      </text>
    </comment>
    <comment ref="J9" authorId="0" shapeId="0" xr:uid="{DFDC16AB-121B-47D2-946D-B6F7B5B21DB0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0" authorId="0" shapeId="0" xr:uid="{3F69A777-4042-411D-AAC2-3FE3867497A2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mis avec facteur 1 </t>
        </r>
      </text>
    </comment>
    <comment ref="H11" authorId="0" shapeId="0" xr:uid="{E775DE9D-D157-44CB-B59E-58D52838B134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non retenu pour prévisions
</t>
        </r>
      </text>
    </comment>
    <comment ref="H12" authorId="0" shapeId="0" xr:uid="{E7B58E48-EBDA-45BA-B907-0680F52734FC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aucun montant mis car dépenses équivlente
seuil de subvention 4,5% des salaires admissibles  et verser diurectement à l'assureur.</t>
        </r>
      </text>
    </comment>
    <comment ref="H13" authorId="0" shapeId="0" xr:uid="{996DA5DF-3ABC-47A9-A7C6-E35F8D8E29DF}">
      <text>
        <r>
          <rPr>
            <b/>
            <sz val="9"/>
            <color indexed="81"/>
            <rFont val="Tahoma"/>
            <charset val="1"/>
          </rPr>
          <t>IBM:</t>
        </r>
        <r>
          <rPr>
            <sz val="9"/>
            <color indexed="81"/>
            <rFont val="Tahoma"/>
            <charset val="1"/>
          </rPr>
          <t xml:space="preserve">
versée direcement au gestionnaire de fonds de pension  aucu montant mis.</t>
        </r>
      </text>
    </comment>
  </commentList>
</comments>
</file>

<file path=xl/sharedStrings.xml><?xml version="1.0" encoding="utf-8"?>
<sst xmlns="http://schemas.openxmlformats.org/spreadsheetml/2006/main" count="110" uniqueCount="84">
  <si>
    <t xml:space="preserve">États des résultats prévisionnels </t>
  </si>
  <si>
    <t>Grille tarfaires</t>
  </si>
  <si>
    <t xml:space="preserve"> Garderie  Subventionnée</t>
  </si>
  <si>
    <t>Tarif</t>
  </si>
  <si>
    <t>Nbr jour</t>
  </si>
  <si>
    <t>Places non-subventionnées</t>
  </si>
  <si>
    <t>places rég non sub</t>
  </si>
  <si>
    <t>places poupons</t>
  </si>
  <si>
    <t>Places subventionnées</t>
  </si>
  <si>
    <t>places rég subventionnée</t>
  </si>
  <si>
    <t>autres subventions fonctionnement ( voir section de droite)</t>
  </si>
  <si>
    <t>enfants 4 ans</t>
  </si>
  <si>
    <t>Total - Chiffre d'affaires</t>
  </si>
  <si>
    <t>Total - Coûts directs</t>
  </si>
  <si>
    <t>Autres subventions de fonctionnement</t>
  </si>
  <si>
    <t>taux annuel</t>
  </si>
  <si>
    <t>nbr place</t>
  </si>
  <si>
    <t>taux 1-60</t>
  </si>
  <si>
    <t>taux 60&amp; plus</t>
  </si>
  <si>
    <t>Bénéfice brut</t>
  </si>
  <si>
    <t>service administratifs</t>
  </si>
  <si>
    <t>voir à droite</t>
  </si>
  <si>
    <t>Marge bénéficiaire brute</t>
  </si>
  <si>
    <t>Service auxiliaire</t>
  </si>
  <si>
    <t>8,09 par jour d'occupation par place</t>
  </si>
  <si>
    <t>Salaires et avantages sociaux  éducatrices &amp; aide educ</t>
  </si>
  <si>
    <t xml:space="preserve"> Cout occupation locaux ref 3.1.4</t>
  </si>
  <si>
    <t>Salaires et avantages employés  aide-cuisine</t>
  </si>
  <si>
    <t>Optimisaiton des services 3.1.5</t>
  </si>
  <si>
    <t>Salaires et avantages employés gestion et proprio.</t>
  </si>
  <si>
    <t>Subvention assurance  collective</t>
  </si>
  <si>
    <t>Assurances</t>
  </si>
  <si>
    <t>Subvention fonds pension</t>
  </si>
  <si>
    <t>Cotisations</t>
  </si>
  <si>
    <t xml:space="preserve">Moins réserve pour ajustemet absences </t>
  </si>
  <si>
    <t>Énergie</t>
  </si>
  <si>
    <t>Total autres subventions</t>
  </si>
  <si>
    <t>Entretien général</t>
  </si>
  <si>
    <t>Formation et perfectionnement</t>
  </si>
  <si>
    <t>Fournitures de garderie</t>
  </si>
  <si>
    <t>Frais de bureau</t>
  </si>
  <si>
    <t>Frais de déplacement</t>
  </si>
  <si>
    <t>Honoraires professionnels</t>
  </si>
  <si>
    <t>Nourriture</t>
  </si>
  <si>
    <t>taux quotidien par enfants</t>
  </si>
  <si>
    <t>nbr enfant</t>
  </si>
  <si>
    <t>totalprés/jour</t>
  </si>
  <si>
    <t>Publicité et promotion</t>
  </si>
  <si>
    <t>Coût enfant/jour</t>
  </si>
  <si>
    <t>Taxes licences et permis</t>
  </si>
  <si>
    <t>Télécommunications</t>
  </si>
  <si>
    <t xml:space="preserve">Loyer </t>
  </si>
  <si>
    <t>Divers</t>
  </si>
  <si>
    <t>Intérets et frais bancaires</t>
  </si>
  <si>
    <t>Amortissement</t>
  </si>
  <si>
    <t>Total - Frais d'exploitation</t>
  </si>
  <si>
    <t>Bénéfice avant impôts</t>
  </si>
  <si>
    <t>Impôt</t>
  </si>
  <si>
    <t>Bénéfice net</t>
  </si>
  <si>
    <t>Marge bénéficiaire nette</t>
  </si>
  <si>
    <t>BAIA (fonds générés)</t>
  </si>
  <si>
    <t xml:space="preserve">PROJET  </t>
  </si>
  <si>
    <t>GARDERIE LES TRÉSORS DE L'ILE</t>
  </si>
  <si>
    <t xml:space="preserve">SOMMAIRE DES SALAIRES </t>
  </si>
  <si>
    <t>TYPE D'EMPLOYÉS</t>
  </si>
  <si>
    <t>ÉDUCATRICES   GARDERIE</t>
  </si>
  <si>
    <t>administration et propiétaire</t>
  </si>
  <si>
    <t xml:space="preserve">TAUX </t>
  </si>
  <si>
    <t>heures /</t>
  </si>
  <si>
    <t>Nombre</t>
  </si>
  <si>
    <t>Total frais</t>
  </si>
  <si>
    <t xml:space="preserve">Nbre Employés </t>
  </si>
  <si>
    <t>Horaire</t>
  </si>
  <si>
    <t>semaine</t>
  </si>
  <si>
    <t>semaine/ an</t>
  </si>
  <si>
    <t>annuels</t>
  </si>
  <si>
    <t>Total</t>
  </si>
  <si>
    <t>avantages</t>
  </si>
  <si>
    <t>Type d'employés</t>
  </si>
  <si>
    <t>Employés de soutien  et cuisine</t>
  </si>
  <si>
    <t xml:space="preserve">Total </t>
  </si>
  <si>
    <t xml:space="preserve">avantages </t>
  </si>
  <si>
    <t>Garderie non-Subventionnée</t>
  </si>
  <si>
    <t xml:space="preserve">Nourriture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</si>
</sst>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$&quot;_);\(#,##0.00\ &quot;$&quot;\)"/>
    <numFmt numFmtId="8" formatCode="#,##0.00\ &quot;$&quot;_);[Red]\(#,##0.00\ &quot;$&quot;\)"/>
    <numFmt numFmtId="44" formatCode="_ * #,##0.00_)\ &quot;$&quot;_ ;_ * \(#,##0.00\)\ &quot;$&quot;_ ;_ * &quot;-&quot;??_)\ &quot;$&quot;_ ;_ @_ "/>
    <numFmt numFmtId="164" formatCode="&quot;$&quot;#,##0;[Red]\-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4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5" xfId="0" applyBorder="1"/>
    <xf numFmtId="7" fontId="0" fillId="0" borderId="0" xfId="0" applyNumberFormat="1"/>
    <xf numFmtId="10" fontId="0" fillId="0" borderId="0" xfId="0" applyNumberFormat="1"/>
    <xf numFmtId="7" fontId="0" fillId="0" borderId="6" xfId="0" applyNumberFormat="1" applyBorder="1"/>
    <xf numFmtId="10" fontId="0" fillId="0" borderId="7" xfId="0" applyNumberFormat="1" applyBorder="1"/>
    <xf numFmtId="0" fontId="0" fillId="2" borderId="0" xfId="0" applyFill="1"/>
    <xf numFmtId="1" fontId="1" fillId="2" borderId="0" xfId="1" applyNumberFormat="1" applyFont="1" applyFill="1"/>
    <xf numFmtId="44" fontId="1" fillId="2" borderId="0" xfId="1" applyFont="1" applyFill="1"/>
    <xf numFmtId="1" fontId="1" fillId="0" borderId="0" xfId="1" applyNumberFormat="1" applyFont="1"/>
    <xf numFmtId="44" fontId="1" fillId="0" borderId="0" xfId="1" applyFont="1"/>
    <xf numFmtId="7" fontId="0" fillId="0" borderId="9" xfId="0" applyNumberFormat="1" applyBorder="1"/>
    <xf numFmtId="10" fontId="0" fillId="0" borderId="9" xfId="0" applyNumberFormat="1" applyBorder="1"/>
    <xf numFmtId="7" fontId="0" fillId="0" borderId="10" xfId="0" applyNumberFormat="1" applyBorder="1"/>
    <xf numFmtId="10" fontId="0" fillId="0" borderId="11" xfId="0" applyNumberFormat="1" applyBorder="1"/>
    <xf numFmtId="0" fontId="0" fillId="0" borderId="8" xfId="0" applyBorder="1"/>
    <xf numFmtId="10" fontId="0" fillId="0" borderId="12" xfId="0" applyNumberFormat="1" applyBorder="1"/>
    <xf numFmtId="0" fontId="3" fillId="0" borderId="5" xfId="0" applyFont="1" applyBorder="1"/>
    <xf numFmtId="7" fontId="0" fillId="0" borderId="13" xfId="0" applyNumberFormat="1" applyBorder="1"/>
    <xf numFmtId="8" fontId="0" fillId="0" borderId="0" xfId="0" applyNumberFormat="1"/>
    <xf numFmtId="0" fontId="2" fillId="0" borderId="14" xfId="0" applyFont="1" applyBorder="1"/>
    <xf numFmtId="10" fontId="2" fillId="0" borderId="15" xfId="0" applyNumberFormat="1" applyFont="1" applyBorder="1" applyAlignment="1">
      <alignment horizontal="center"/>
    </xf>
    <xf numFmtId="10" fontId="2" fillId="0" borderId="16" xfId="0" applyNumberFormat="1" applyFont="1" applyBorder="1" applyAlignment="1">
      <alignment horizontal="center"/>
    </xf>
    <xf numFmtId="44" fontId="0" fillId="0" borderId="6" xfId="0" applyNumberFormat="1" applyBorder="1"/>
    <xf numFmtId="9" fontId="0" fillId="0" borderId="0" xfId="0" applyNumberFormat="1"/>
    <xf numFmtId="44" fontId="0" fillId="0" borderId="0" xfId="0" applyNumberFormat="1"/>
    <xf numFmtId="8" fontId="0" fillId="2" borderId="0" xfId="0" applyNumberFormat="1" applyFill="1"/>
    <xf numFmtId="1" fontId="0" fillId="0" borderId="0" xfId="0" applyNumberFormat="1"/>
    <xf numFmtId="0" fontId="2" fillId="0" borderId="5" xfId="0" applyFont="1" applyBorder="1"/>
    <xf numFmtId="10" fontId="2" fillId="0" borderId="6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4" fontId="0" fillId="0" borderId="0" xfId="0" applyNumberFormat="1"/>
    <xf numFmtId="7" fontId="0" fillId="0" borderId="6" xfId="0" applyNumberFormat="1" applyBorder="1" applyAlignment="1">
      <alignment horizontal="center"/>
    </xf>
    <xf numFmtId="7" fontId="0" fillId="0" borderId="7" xfId="0" applyNumberFormat="1" applyBorder="1" applyAlignment="1">
      <alignment horizontal="center"/>
    </xf>
    <xf numFmtId="0" fontId="3" fillId="0" borderId="14" xfId="0" applyFont="1" applyBorder="1"/>
    <xf numFmtId="7" fontId="4" fillId="0" borderId="15" xfId="0" applyNumberFormat="1" applyFont="1" applyBorder="1" applyAlignment="1">
      <alignment horizontal="center"/>
    </xf>
    <xf numFmtId="7" fontId="4" fillId="0" borderId="16" xfId="0" applyNumberFormat="1" applyFont="1" applyBorder="1" applyAlignment="1">
      <alignment horizontal="center"/>
    </xf>
    <xf numFmtId="0" fontId="3" fillId="0" borderId="0" xfId="0" applyFont="1"/>
    <xf numFmtId="0" fontId="0" fillId="0" borderId="20" xfId="0" applyBorder="1"/>
    <xf numFmtId="44" fontId="1" fillId="0" borderId="20" xfId="1" applyFont="1" applyBorder="1"/>
    <xf numFmtId="9" fontId="1" fillId="2" borderId="0" xfId="2" applyFont="1" applyFill="1"/>
    <xf numFmtId="44" fontId="0" fillId="0" borderId="20" xfId="0" applyNumberFormat="1" applyBorder="1"/>
    <xf numFmtId="0" fontId="3" fillId="2" borderId="8" xfId="0" applyFont="1" applyFill="1" applyBorder="1"/>
    <xf numFmtId="7" fontId="0" fillId="2" borderId="9" xfId="0" applyNumberFormat="1" applyFill="1" applyBorder="1"/>
    <xf numFmtId="10" fontId="0" fillId="2" borderId="9" xfId="0" applyNumberFormat="1" applyFill="1" applyBorder="1"/>
    <xf numFmtId="7" fontId="0" fillId="2" borderId="10" xfId="0" applyNumberFormat="1" applyFill="1" applyBorder="1"/>
    <xf numFmtId="10" fontId="0" fillId="2" borderId="11" xfId="0" applyNumberFormat="1" applyFill="1" applyBorder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9A6C-6FCF-43CD-BA9C-73F13743D51A}">
  <sheetPr>
    <pageSetUpPr fitToPage="1"/>
  </sheetPr>
  <dimension ref="A1:Q46"/>
  <sheetViews>
    <sheetView tabSelected="1" zoomScale="89" zoomScaleNormal="89" workbookViewId="0">
      <selection activeCell="B37" sqref="B37:C37"/>
    </sheetView>
  </sheetViews>
  <sheetFormatPr baseColWidth="10" defaultColWidth="10.85546875" defaultRowHeight="15" x14ac:dyDescent="0.25"/>
  <cols>
    <col min="1" max="1" width="50.42578125" bestFit="1" customWidth="1"/>
    <col min="2" max="2" width="14.85546875" bestFit="1" customWidth="1"/>
    <col min="3" max="3" width="16.85546875" customWidth="1"/>
    <col min="4" max="4" width="14.85546875" bestFit="1" customWidth="1"/>
    <col min="5" max="5" width="11.28515625" customWidth="1"/>
    <col min="6" max="6" width="25.140625" customWidth="1"/>
    <col min="7" max="7" width="9.28515625" bestFit="1" customWidth="1"/>
    <col min="8" max="8" width="14.5703125" customWidth="1"/>
    <col min="9" max="9" width="15.140625" customWidth="1"/>
    <col min="10" max="10" width="12.5703125" customWidth="1"/>
    <col min="11" max="11" width="10.85546875" customWidth="1"/>
    <col min="12" max="12" width="15.140625" customWidth="1"/>
    <col min="13" max="13" width="16" customWidth="1"/>
    <col min="14" max="14" width="14.85546875" customWidth="1"/>
    <col min="255" max="255" width="50.42578125" bestFit="1" customWidth="1"/>
    <col min="256" max="256" width="14.85546875" bestFit="1" customWidth="1"/>
    <col min="257" max="257" width="9.7109375" customWidth="1"/>
    <col min="258" max="258" width="14.85546875" bestFit="1" customWidth="1"/>
    <col min="259" max="259" width="11.28515625" customWidth="1"/>
    <col min="260" max="261" width="0" hidden="1" customWidth="1"/>
    <col min="262" max="262" width="25.140625" customWidth="1"/>
    <col min="263" max="263" width="9.28515625" bestFit="1" customWidth="1"/>
    <col min="264" max="264" width="14.5703125" customWidth="1"/>
    <col min="265" max="265" width="15.140625" customWidth="1"/>
    <col min="266" max="266" width="12.5703125" customWidth="1"/>
    <col min="268" max="268" width="15.140625" customWidth="1"/>
    <col min="269" max="269" width="16" customWidth="1"/>
    <col min="270" max="270" width="14.85546875" customWidth="1"/>
    <col min="511" max="511" width="50.42578125" bestFit="1" customWidth="1"/>
    <col min="512" max="512" width="14.85546875" bestFit="1" customWidth="1"/>
    <col min="513" max="513" width="9.7109375" customWidth="1"/>
    <col min="514" max="514" width="14.85546875" bestFit="1" customWidth="1"/>
    <col min="515" max="515" width="11.28515625" customWidth="1"/>
    <col min="516" max="517" width="0" hidden="1" customWidth="1"/>
    <col min="518" max="518" width="25.140625" customWidth="1"/>
    <col min="519" max="519" width="9.28515625" bestFit="1" customWidth="1"/>
    <col min="520" max="520" width="14.5703125" customWidth="1"/>
    <col min="521" max="521" width="15.140625" customWidth="1"/>
    <col min="522" max="522" width="12.5703125" customWidth="1"/>
    <col min="524" max="524" width="15.140625" customWidth="1"/>
    <col min="525" max="525" width="16" customWidth="1"/>
    <col min="526" max="526" width="14.85546875" customWidth="1"/>
    <col min="767" max="767" width="50.42578125" bestFit="1" customWidth="1"/>
    <col min="768" max="768" width="14.85546875" bestFit="1" customWidth="1"/>
    <col min="769" max="769" width="9.7109375" customWidth="1"/>
    <col min="770" max="770" width="14.85546875" bestFit="1" customWidth="1"/>
    <col min="771" max="771" width="11.28515625" customWidth="1"/>
    <col min="772" max="773" width="0" hidden="1" customWidth="1"/>
    <col min="774" max="774" width="25.140625" customWidth="1"/>
    <col min="775" max="775" width="9.28515625" bestFit="1" customWidth="1"/>
    <col min="776" max="776" width="14.5703125" customWidth="1"/>
    <col min="777" max="777" width="15.140625" customWidth="1"/>
    <col min="778" max="778" width="12.5703125" customWidth="1"/>
    <col min="780" max="780" width="15.140625" customWidth="1"/>
    <col min="781" max="781" width="16" customWidth="1"/>
    <col min="782" max="782" width="14.85546875" customWidth="1"/>
    <col min="1023" max="1023" width="50.42578125" bestFit="1" customWidth="1"/>
    <col min="1024" max="1024" width="14.85546875" bestFit="1" customWidth="1"/>
    <col min="1025" max="1025" width="9.7109375" customWidth="1"/>
    <col min="1026" max="1026" width="14.85546875" bestFit="1" customWidth="1"/>
    <col min="1027" max="1027" width="11.28515625" customWidth="1"/>
    <col min="1028" max="1029" width="0" hidden="1" customWidth="1"/>
    <col min="1030" max="1030" width="25.140625" customWidth="1"/>
    <col min="1031" max="1031" width="9.28515625" bestFit="1" customWidth="1"/>
    <col min="1032" max="1032" width="14.5703125" customWidth="1"/>
    <col min="1033" max="1033" width="15.140625" customWidth="1"/>
    <col min="1034" max="1034" width="12.5703125" customWidth="1"/>
    <col min="1036" max="1036" width="15.140625" customWidth="1"/>
    <col min="1037" max="1037" width="16" customWidth="1"/>
    <col min="1038" max="1038" width="14.85546875" customWidth="1"/>
    <col min="1279" max="1279" width="50.42578125" bestFit="1" customWidth="1"/>
    <col min="1280" max="1280" width="14.85546875" bestFit="1" customWidth="1"/>
    <col min="1281" max="1281" width="9.7109375" customWidth="1"/>
    <col min="1282" max="1282" width="14.85546875" bestFit="1" customWidth="1"/>
    <col min="1283" max="1283" width="11.28515625" customWidth="1"/>
    <col min="1284" max="1285" width="0" hidden="1" customWidth="1"/>
    <col min="1286" max="1286" width="25.140625" customWidth="1"/>
    <col min="1287" max="1287" width="9.28515625" bestFit="1" customWidth="1"/>
    <col min="1288" max="1288" width="14.5703125" customWidth="1"/>
    <col min="1289" max="1289" width="15.140625" customWidth="1"/>
    <col min="1290" max="1290" width="12.5703125" customWidth="1"/>
    <col min="1292" max="1292" width="15.140625" customWidth="1"/>
    <col min="1293" max="1293" width="16" customWidth="1"/>
    <col min="1294" max="1294" width="14.85546875" customWidth="1"/>
    <col min="1535" max="1535" width="50.42578125" bestFit="1" customWidth="1"/>
    <col min="1536" max="1536" width="14.85546875" bestFit="1" customWidth="1"/>
    <col min="1537" max="1537" width="9.7109375" customWidth="1"/>
    <col min="1538" max="1538" width="14.85546875" bestFit="1" customWidth="1"/>
    <col min="1539" max="1539" width="11.28515625" customWidth="1"/>
    <col min="1540" max="1541" width="0" hidden="1" customWidth="1"/>
    <col min="1542" max="1542" width="25.140625" customWidth="1"/>
    <col min="1543" max="1543" width="9.28515625" bestFit="1" customWidth="1"/>
    <col min="1544" max="1544" width="14.5703125" customWidth="1"/>
    <col min="1545" max="1545" width="15.140625" customWidth="1"/>
    <col min="1546" max="1546" width="12.5703125" customWidth="1"/>
    <col min="1548" max="1548" width="15.140625" customWidth="1"/>
    <col min="1549" max="1549" width="16" customWidth="1"/>
    <col min="1550" max="1550" width="14.85546875" customWidth="1"/>
    <col min="1791" max="1791" width="50.42578125" bestFit="1" customWidth="1"/>
    <col min="1792" max="1792" width="14.85546875" bestFit="1" customWidth="1"/>
    <col min="1793" max="1793" width="9.7109375" customWidth="1"/>
    <col min="1794" max="1794" width="14.85546875" bestFit="1" customWidth="1"/>
    <col min="1795" max="1795" width="11.28515625" customWidth="1"/>
    <col min="1796" max="1797" width="0" hidden="1" customWidth="1"/>
    <col min="1798" max="1798" width="25.140625" customWidth="1"/>
    <col min="1799" max="1799" width="9.28515625" bestFit="1" customWidth="1"/>
    <col min="1800" max="1800" width="14.5703125" customWidth="1"/>
    <col min="1801" max="1801" width="15.140625" customWidth="1"/>
    <col min="1802" max="1802" width="12.5703125" customWidth="1"/>
    <col min="1804" max="1804" width="15.140625" customWidth="1"/>
    <col min="1805" max="1805" width="16" customWidth="1"/>
    <col min="1806" max="1806" width="14.85546875" customWidth="1"/>
    <col min="2047" max="2047" width="50.42578125" bestFit="1" customWidth="1"/>
    <col min="2048" max="2048" width="14.85546875" bestFit="1" customWidth="1"/>
    <col min="2049" max="2049" width="9.7109375" customWidth="1"/>
    <col min="2050" max="2050" width="14.85546875" bestFit="1" customWidth="1"/>
    <col min="2051" max="2051" width="11.28515625" customWidth="1"/>
    <col min="2052" max="2053" width="0" hidden="1" customWidth="1"/>
    <col min="2054" max="2054" width="25.140625" customWidth="1"/>
    <col min="2055" max="2055" width="9.28515625" bestFit="1" customWidth="1"/>
    <col min="2056" max="2056" width="14.5703125" customWidth="1"/>
    <col min="2057" max="2057" width="15.140625" customWidth="1"/>
    <col min="2058" max="2058" width="12.5703125" customWidth="1"/>
    <col min="2060" max="2060" width="15.140625" customWidth="1"/>
    <col min="2061" max="2061" width="16" customWidth="1"/>
    <col min="2062" max="2062" width="14.85546875" customWidth="1"/>
    <col min="2303" max="2303" width="50.42578125" bestFit="1" customWidth="1"/>
    <col min="2304" max="2304" width="14.85546875" bestFit="1" customWidth="1"/>
    <col min="2305" max="2305" width="9.7109375" customWidth="1"/>
    <col min="2306" max="2306" width="14.85546875" bestFit="1" customWidth="1"/>
    <col min="2307" max="2307" width="11.28515625" customWidth="1"/>
    <col min="2308" max="2309" width="0" hidden="1" customWidth="1"/>
    <col min="2310" max="2310" width="25.140625" customWidth="1"/>
    <col min="2311" max="2311" width="9.28515625" bestFit="1" customWidth="1"/>
    <col min="2312" max="2312" width="14.5703125" customWidth="1"/>
    <col min="2313" max="2313" width="15.140625" customWidth="1"/>
    <col min="2314" max="2314" width="12.5703125" customWidth="1"/>
    <col min="2316" max="2316" width="15.140625" customWidth="1"/>
    <col min="2317" max="2317" width="16" customWidth="1"/>
    <col min="2318" max="2318" width="14.85546875" customWidth="1"/>
    <col min="2559" max="2559" width="50.42578125" bestFit="1" customWidth="1"/>
    <col min="2560" max="2560" width="14.85546875" bestFit="1" customWidth="1"/>
    <col min="2561" max="2561" width="9.7109375" customWidth="1"/>
    <col min="2562" max="2562" width="14.85546875" bestFit="1" customWidth="1"/>
    <col min="2563" max="2563" width="11.28515625" customWidth="1"/>
    <col min="2564" max="2565" width="0" hidden="1" customWidth="1"/>
    <col min="2566" max="2566" width="25.140625" customWidth="1"/>
    <col min="2567" max="2567" width="9.28515625" bestFit="1" customWidth="1"/>
    <col min="2568" max="2568" width="14.5703125" customWidth="1"/>
    <col min="2569" max="2569" width="15.140625" customWidth="1"/>
    <col min="2570" max="2570" width="12.5703125" customWidth="1"/>
    <col min="2572" max="2572" width="15.140625" customWidth="1"/>
    <col min="2573" max="2573" width="16" customWidth="1"/>
    <col min="2574" max="2574" width="14.85546875" customWidth="1"/>
    <col min="2815" max="2815" width="50.42578125" bestFit="1" customWidth="1"/>
    <col min="2816" max="2816" width="14.85546875" bestFit="1" customWidth="1"/>
    <col min="2817" max="2817" width="9.7109375" customWidth="1"/>
    <col min="2818" max="2818" width="14.85546875" bestFit="1" customWidth="1"/>
    <col min="2819" max="2819" width="11.28515625" customWidth="1"/>
    <col min="2820" max="2821" width="0" hidden="1" customWidth="1"/>
    <col min="2822" max="2822" width="25.140625" customWidth="1"/>
    <col min="2823" max="2823" width="9.28515625" bestFit="1" customWidth="1"/>
    <col min="2824" max="2824" width="14.5703125" customWidth="1"/>
    <col min="2825" max="2825" width="15.140625" customWidth="1"/>
    <col min="2826" max="2826" width="12.5703125" customWidth="1"/>
    <col min="2828" max="2828" width="15.140625" customWidth="1"/>
    <col min="2829" max="2829" width="16" customWidth="1"/>
    <col min="2830" max="2830" width="14.85546875" customWidth="1"/>
    <col min="3071" max="3071" width="50.42578125" bestFit="1" customWidth="1"/>
    <col min="3072" max="3072" width="14.85546875" bestFit="1" customWidth="1"/>
    <col min="3073" max="3073" width="9.7109375" customWidth="1"/>
    <col min="3074" max="3074" width="14.85546875" bestFit="1" customWidth="1"/>
    <col min="3075" max="3075" width="11.28515625" customWidth="1"/>
    <col min="3076" max="3077" width="0" hidden="1" customWidth="1"/>
    <col min="3078" max="3078" width="25.140625" customWidth="1"/>
    <col min="3079" max="3079" width="9.28515625" bestFit="1" customWidth="1"/>
    <col min="3080" max="3080" width="14.5703125" customWidth="1"/>
    <col min="3081" max="3081" width="15.140625" customWidth="1"/>
    <col min="3082" max="3082" width="12.5703125" customWidth="1"/>
    <col min="3084" max="3084" width="15.140625" customWidth="1"/>
    <col min="3085" max="3085" width="16" customWidth="1"/>
    <col min="3086" max="3086" width="14.85546875" customWidth="1"/>
    <col min="3327" max="3327" width="50.42578125" bestFit="1" customWidth="1"/>
    <col min="3328" max="3328" width="14.85546875" bestFit="1" customWidth="1"/>
    <col min="3329" max="3329" width="9.7109375" customWidth="1"/>
    <col min="3330" max="3330" width="14.85546875" bestFit="1" customWidth="1"/>
    <col min="3331" max="3331" width="11.28515625" customWidth="1"/>
    <col min="3332" max="3333" width="0" hidden="1" customWidth="1"/>
    <col min="3334" max="3334" width="25.140625" customWidth="1"/>
    <col min="3335" max="3335" width="9.28515625" bestFit="1" customWidth="1"/>
    <col min="3336" max="3336" width="14.5703125" customWidth="1"/>
    <col min="3337" max="3337" width="15.140625" customWidth="1"/>
    <col min="3338" max="3338" width="12.5703125" customWidth="1"/>
    <col min="3340" max="3340" width="15.140625" customWidth="1"/>
    <col min="3341" max="3341" width="16" customWidth="1"/>
    <col min="3342" max="3342" width="14.85546875" customWidth="1"/>
    <col min="3583" max="3583" width="50.42578125" bestFit="1" customWidth="1"/>
    <col min="3584" max="3584" width="14.85546875" bestFit="1" customWidth="1"/>
    <col min="3585" max="3585" width="9.7109375" customWidth="1"/>
    <col min="3586" max="3586" width="14.85546875" bestFit="1" customWidth="1"/>
    <col min="3587" max="3587" width="11.28515625" customWidth="1"/>
    <col min="3588" max="3589" width="0" hidden="1" customWidth="1"/>
    <col min="3590" max="3590" width="25.140625" customWidth="1"/>
    <col min="3591" max="3591" width="9.28515625" bestFit="1" customWidth="1"/>
    <col min="3592" max="3592" width="14.5703125" customWidth="1"/>
    <col min="3593" max="3593" width="15.140625" customWidth="1"/>
    <col min="3594" max="3594" width="12.5703125" customWidth="1"/>
    <col min="3596" max="3596" width="15.140625" customWidth="1"/>
    <col min="3597" max="3597" width="16" customWidth="1"/>
    <col min="3598" max="3598" width="14.85546875" customWidth="1"/>
    <col min="3839" max="3839" width="50.42578125" bestFit="1" customWidth="1"/>
    <col min="3840" max="3840" width="14.85546875" bestFit="1" customWidth="1"/>
    <col min="3841" max="3841" width="9.7109375" customWidth="1"/>
    <col min="3842" max="3842" width="14.85546875" bestFit="1" customWidth="1"/>
    <col min="3843" max="3843" width="11.28515625" customWidth="1"/>
    <col min="3844" max="3845" width="0" hidden="1" customWidth="1"/>
    <col min="3846" max="3846" width="25.140625" customWidth="1"/>
    <col min="3847" max="3847" width="9.28515625" bestFit="1" customWidth="1"/>
    <col min="3848" max="3848" width="14.5703125" customWidth="1"/>
    <col min="3849" max="3849" width="15.140625" customWidth="1"/>
    <col min="3850" max="3850" width="12.5703125" customWidth="1"/>
    <col min="3852" max="3852" width="15.140625" customWidth="1"/>
    <col min="3853" max="3853" width="16" customWidth="1"/>
    <col min="3854" max="3854" width="14.85546875" customWidth="1"/>
    <col min="4095" max="4095" width="50.42578125" bestFit="1" customWidth="1"/>
    <col min="4096" max="4096" width="14.85546875" bestFit="1" customWidth="1"/>
    <col min="4097" max="4097" width="9.7109375" customWidth="1"/>
    <col min="4098" max="4098" width="14.85546875" bestFit="1" customWidth="1"/>
    <col min="4099" max="4099" width="11.28515625" customWidth="1"/>
    <col min="4100" max="4101" width="0" hidden="1" customWidth="1"/>
    <col min="4102" max="4102" width="25.140625" customWidth="1"/>
    <col min="4103" max="4103" width="9.28515625" bestFit="1" customWidth="1"/>
    <col min="4104" max="4104" width="14.5703125" customWidth="1"/>
    <col min="4105" max="4105" width="15.140625" customWidth="1"/>
    <col min="4106" max="4106" width="12.5703125" customWidth="1"/>
    <col min="4108" max="4108" width="15.140625" customWidth="1"/>
    <col min="4109" max="4109" width="16" customWidth="1"/>
    <col min="4110" max="4110" width="14.85546875" customWidth="1"/>
    <col min="4351" max="4351" width="50.42578125" bestFit="1" customWidth="1"/>
    <col min="4352" max="4352" width="14.85546875" bestFit="1" customWidth="1"/>
    <col min="4353" max="4353" width="9.7109375" customWidth="1"/>
    <col min="4354" max="4354" width="14.85546875" bestFit="1" customWidth="1"/>
    <col min="4355" max="4355" width="11.28515625" customWidth="1"/>
    <col min="4356" max="4357" width="0" hidden="1" customWidth="1"/>
    <col min="4358" max="4358" width="25.140625" customWidth="1"/>
    <col min="4359" max="4359" width="9.28515625" bestFit="1" customWidth="1"/>
    <col min="4360" max="4360" width="14.5703125" customWidth="1"/>
    <col min="4361" max="4361" width="15.140625" customWidth="1"/>
    <col min="4362" max="4362" width="12.5703125" customWidth="1"/>
    <col min="4364" max="4364" width="15.140625" customWidth="1"/>
    <col min="4365" max="4365" width="16" customWidth="1"/>
    <col min="4366" max="4366" width="14.85546875" customWidth="1"/>
    <col min="4607" max="4607" width="50.42578125" bestFit="1" customWidth="1"/>
    <col min="4608" max="4608" width="14.85546875" bestFit="1" customWidth="1"/>
    <col min="4609" max="4609" width="9.7109375" customWidth="1"/>
    <col min="4610" max="4610" width="14.85546875" bestFit="1" customWidth="1"/>
    <col min="4611" max="4611" width="11.28515625" customWidth="1"/>
    <col min="4612" max="4613" width="0" hidden="1" customWidth="1"/>
    <col min="4614" max="4614" width="25.140625" customWidth="1"/>
    <col min="4615" max="4615" width="9.28515625" bestFit="1" customWidth="1"/>
    <col min="4616" max="4616" width="14.5703125" customWidth="1"/>
    <col min="4617" max="4617" width="15.140625" customWidth="1"/>
    <col min="4618" max="4618" width="12.5703125" customWidth="1"/>
    <col min="4620" max="4620" width="15.140625" customWidth="1"/>
    <col min="4621" max="4621" width="16" customWidth="1"/>
    <col min="4622" max="4622" width="14.85546875" customWidth="1"/>
    <col min="4863" max="4863" width="50.42578125" bestFit="1" customWidth="1"/>
    <col min="4864" max="4864" width="14.85546875" bestFit="1" customWidth="1"/>
    <col min="4865" max="4865" width="9.7109375" customWidth="1"/>
    <col min="4866" max="4866" width="14.85546875" bestFit="1" customWidth="1"/>
    <col min="4867" max="4867" width="11.28515625" customWidth="1"/>
    <col min="4868" max="4869" width="0" hidden="1" customWidth="1"/>
    <col min="4870" max="4870" width="25.140625" customWidth="1"/>
    <col min="4871" max="4871" width="9.28515625" bestFit="1" customWidth="1"/>
    <col min="4872" max="4872" width="14.5703125" customWidth="1"/>
    <col min="4873" max="4873" width="15.140625" customWidth="1"/>
    <col min="4874" max="4874" width="12.5703125" customWidth="1"/>
    <col min="4876" max="4876" width="15.140625" customWidth="1"/>
    <col min="4877" max="4877" width="16" customWidth="1"/>
    <col min="4878" max="4878" width="14.85546875" customWidth="1"/>
    <col min="5119" max="5119" width="50.42578125" bestFit="1" customWidth="1"/>
    <col min="5120" max="5120" width="14.85546875" bestFit="1" customWidth="1"/>
    <col min="5121" max="5121" width="9.7109375" customWidth="1"/>
    <col min="5122" max="5122" width="14.85546875" bestFit="1" customWidth="1"/>
    <col min="5123" max="5123" width="11.28515625" customWidth="1"/>
    <col min="5124" max="5125" width="0" hidden="1" customWidth="1"/>
    <col min="5126" max="5126" width="25.140625" customWidth="1"/>
    <col min="5127" max="5127" width="9.28515625" bestFit="1" customWidth="1"/>
    <col min="5128" max="5128" width="14.5703125" customWidth="1"/>
    <col min="5129" max="5129" width="15.140625" customWidth="1"/>
    <col min="5130" max="5130" width="12.5703125" customWidth="1"/>
    <col min="5132" max="5132" width="15.140625" customWidth="1"/>
    <col min="5133" max="5133" width="16" customWidth="1"/>
    <col min="5134" max="5134" width="14.85546875" customWidth="1"/>
    <col min="5375" max="5375" width="50.42578125" bestFit="1" customWidth="1"/>
    <col min="5376" max="5376" width="14.85546875" bestFit="1" customWidth="1"/>
    <col min="5377" max="5377" width="9.7109375" customWidth="1"/>
    <col min="5378" max="5378" width="14.85546875" bestFit="1" customWidth="1"/>
    <col min="5379" max="5379" width="11.28515625" customWidth="1"/>
    <col min="5380" max="5381" width="0" hidden="1" customWidth="1"/>
    <col min="5382" max="5382" width="25.140625" customWidth="1"/>
    <col min="5383" max="5383" width="9.28515625" bestFit="1" customWidth="1"/>
    <col min="5384" max="5384" width="14.5703125" customWidth="1"/>
    <col min="5385" max="5385" width="15.140625" customWidth="1"/>
    <col min="5386" max="5386" width="12.5703125" customWidth="1"/>
    <col min="5388" max="5388" width="15.140625" customWidth="1"/>
    <col min="5389" max="5389" width="16" customWidth="1"/>
    <col min="5390" max="5390" width="14.85546875" customWidth="1"/>
    <col min="5631" max="5631" width="50.42578125" bestFit="1" customWidth="1"/>
    <col min="5632" max="5632" width="14.85546875" bestFit="1" customWidth="1"/>
    <col min="5633" max="5633" width="9.7109375" customWidth="1"/>
    <col min="5634" max="5634" width="14.85546875" bestFit="1" customWidth="1"/>
    <col min="5635" max="5635" width="11.28515625" customWidth="1"/>
    <col min="5636" max="5637" width="0" hidden="1" customWidth="1"/>
    <col min="5638" max="5638" width="25.140625" customWidth="1"/>
    <col min="5639" max="5639" width="9.28515625" bestFit="1" customWidth="1"/>
    <col min="5640" max="5640" width="14.5703125" customWidth="1"/>
    <col min="5641" max="5641" width="15.140625" customWidth="1"/>
    <col min="5642" max="5642" width="12.5703125" customWidth="1"/>
    <col min="5644" max="5644" width="15.140625" customWidth="1"/>
    <col min="5645" max="5645" width="16" customWidth="1"/>
    <col min="5646" max="5646" width="14.85546875" customWidth="1"/>
    <col min="5887" max="5887" width="50.42578125" bestFit="1" customWidth="1"/>
    <col min="5888" max="5888" width="14.85546875" bestFit="1" customWidth="1"/>
    <col min="5889" max="5889" width="9.7109375" customWidth="1"/>
    <col min="5890" max="5890" width="14.85546875" bestFit="1" customWidth="1"/>
    <col min="5891" max="5891" width="11.28515625" customWidth="1"/>
    <col min="5892" max="5893" width="0" hidden="1" customWidth="1"/>
    <col min="5894" max="5894" width="25.140625" customWidth="1"/>
    <col min="5895" max="5895" width="9.28515625" bestFit="1" customWidth="1"/>
    <col min="5896" max="5896" width="14.5703125" customWidth="1"/>
    <col min="5897" max="5897" width="15.140625" customWidth="1"/>
    <col min="5898" max="5898" width="12.5703125" customWidth="1"/>
    <col min="5900" max="5900" width="15.140625" customWidth="1"/>
    <col min="5901" max="5901" width="16" customWidth="1"/>
    <col min="5902" max="5902" width="14.85546875" customWidth="1"/>
    <col min="6143" max="6143" width="50.42578125" bestFit="1" customWidth="1"/>
    <col min="6144" max="6144" width="14.85546875" bestFit="1" customWidth="1"/>
    <col min="6145" max="6145" width="9.7109375" customWidth="1"/>
    <col min="6146" max="6146" width="14.85546875" bestFit="1" customWidth="1"/>
    <col min="6147" max="6147" width="11.28515625" customWidth="1"/>
    <col min="6148" max="6149" width="0" hidden="1" customWidth="1"/>
    <col min="6150" max="6150" width="25.140625" customWidth="1"/>
    <col min="6151" max="6151" width="9.28515625" bestFit="1" customWidth="1"/>
    <col min="6152" max="6152" width="14.5703125" customWidth="1"/>
    <col min="6153" max="6153" width="15.140625" customWidth="1"/>
    <col min="6154" max="6154" width="12.5703125" customWidth="1"/>
    <col min="6156" max="6156" width="15.140625" customWidth="1"/>
    <col min="6157" max="6157" width="16" customWidth="1"/>
    <col min="6158" max="6158" width="14.85546875" customWidth="1"/>
    <col min="6399" max="6399" width="50.42578125" bestFit="1" customWidth="1"/>
    <col min="6400" max="6400" width="14.85546875" bestFit="1" customWidth="1"/>
    <col min="6401" max="6401" width="9.7109375" customWidth="1"/>
    <col min="6402" max="6402" width="14.85546875" bestFit="1" customWidth="1"/>
    <col min="6403" max="6403" width="11.28515625" customWidth="1"/>
    <col min="6404" max="6405" width="0" hidden="1" customWidth="1"/>
    <col min="6406" max="6406" width="25.140625" customWidth="1"/>
    <col min="6407" max="6407" width="9.28515625" bestFit="1" customWidth="1"/>
    <col min="6408" max="6408" width="14.5703125" customWidth="1"/>
    <col min="6409" max="6409" width="15.140625" customWidth="1"/>
    <col min="6410" max="6410" width="12.5703125" customWidth="1"/>
    <col min="6412" max="6412" width="15.140625" customWidth="1"/>
    <col min="6413" max="6413" width="16" customWidth="1"/>
    <col min="6414" max="6414" width="14.85546875" customWidth="1"/>
    <col min="6655" max="6655" width="50.42578125" bestFit="1" customWidth="1"/>
    <col min="6656" max="6656" width="14.85546875" bestFit="1" customWidth="1"/>
    <col min="6657" max="6657" width="9.7109375" customWidth="1"/>
    <col min="6658" max="6658" width="14.85546875" bestFit="1" customWidth="1"/>
    <col min="6659" max="6659" width="11.28515625" customWidth="1"/>
    <col min="6660" max="6661" width="0" hidden="1" customWidth="1"/>
    <col min="6662" max="6662" width="25.140625" customWidth="1"/>
    <col min="6663" max="6663" width="9.28515625" bestFit="1" customWidth="1"/>
    <col min="6664" max="6664" width="14.5703125" customWidth="1"/>
    <col min="6665" max="6665" width="15.140625" customWidth="1"/>
    <col min="6666" max="6666" width="12.5703125" customWidth="1"/>
    <col min="6668" max="6668" width="15.140625" customWidth="1"/>
    <col min="6669" max="6669" width="16" customWidth="1"/>
    <col min="6670" max="6670" width="14.85546875" customWidth="1"/>
    <col min="6911" max="6911" width="50.42578125" bestFit="1" customWidth="1"/>
    <col min="6912" max="6912" width="14.85546875" bestFit="1" customWidth="1"/>
    <col min="6913" max="6913" width="9.7109375" customWidth="1"/>
    <col min="6914" max="6914" width="14.85546875" bestFit="1" customWidth="1"/>
    <col min="6915" max="6915" width="11.28515625" customWidth="1"/>
    <col min="6916" max="6917" width="0" hidden="1" customWidth="1"/>
    <col min="6918" max="6918" width="25.140625" customWidth="1"/>
    <col min="6919" max="6919" width="9.28515625" bestFit="1" customWidth="1"/>
    <col min="6920" max="6920" width="14.5703125" customWidth="1"/>
    <col min="6921" max="6921" width="15.140625" customWidth="1"/>
    <col min="6922" max="6922" width="12.5703125" customWidth="1"/>
    <col min="6924" max="6924" width="15.140625" customWidth="1"/>
    <col min="6925" max="6925" width="16" customWidth="1"/>
    <col min="6926" max="6926" width="14.85546875" customWidth="1"/>
    <col min="7167" max="7167" width="50.42578125" bestFit="1" customWidth="1"/>
    <col min="7168" max="7168" width="14.85546875" bestFit="1" customWidth="1"/>
    <col min="7169" max="7169" width="9.7109375" customWidth="1"/>
    <col min="7170" max="7170" width="14.85546875" bestFit="1" customWidth="1"/>
    <col min="7171" max="7171" width="11.28515625" customWidth="1"/>
    <col min="7172" max="7173" width="0" hidden="1" customWidth="1"/>
    <col min="7174" max="7174" width="25.140625" customWidth="1"/>
    <col min="7175" max="7175" width="9.28515625" bestFit="1" customWidth="1"/>
    <col min="7176" max="7176" width="14.5703125" customWidth="1"/>
    <col min="7177" max="7177" width="15.140625" customWidth="1"/>
    <col min="7178" max="7178" width="12.5703125" customWidth="1"/>
    <col min="7180" max="7180" width="15.140625" customWidth="1"/>
    <col min="7181" max="7181" width="16" customWidth="1"/>
    <col min="7182" max="7182" width="14.85546875" customWidth="1"/>
    <col min="7423" max="7423" width="50.42578125" bestFit="1" customWidth="1"/>
    <col min="7424" max="7424" width="14.85546875" bestFit="1" customWidth="1"/>
    <col min="7425" max="7425" width="9.7109375" customWidth="1"/>
    <col min="7426" max="7426" width="14.85546875" bestFit="1" customWidth="1"/>
    <col min="7427" max="7427" width="11.28515625" customWidth="1"/>
    <col min="7428" max="7429" width="0" hidden="1" customWidth="1"/>
    <col min="7430" max="7430" width="25.140625" customWidth="1"/>
    <col min="7431" max="7431" width="9.28515625" bestFit="1" customWidth="1"/>
    <col min="7432" max="7432" width="14.5703125" customWidth="1"/>
    <col min="7433" max="7433" width="15.140625" customWidth="1"/>
    <col min="7434" max="7434" width="12.5703125" customWidth="1"/>
    <col min="7436" max="7436" width="15.140625" customWidth="1"/>
    <col min="7437" max="7437" width="16" customWidth="1"/>
    <col min="7438" max="7438" width="14.85546875" customWidth="1"/>
    <col min="7679" max="7679" width="50.42578125" bestFit="1" customWidth="1"/>
    <col min="7680" max="7680" width="14.85546875" bestFit="1" customWidth="1"/>
    <col min="7681" max="7681" width="9.7109375" customWidth="1"/>
    <col min="7682" max="7682" width="14.85546875" bestFit="1" customWidth="1"/>
    <col min="7683" max="7683" width="11.28515625" customWidth="1"/>
    <col min="7684" max="7685" width="0" hidden="1" customWidth="1"/>
    <col min="7686" max="7686" width="25.140625" customWidth="1"/>
    <col min="7687" max="7687" width="9.28515625" bestFit="1" customWidth="1"/>
    <col min="7688" max="7688" width="14.5703125" customWidth="1"/>
    <col min="7689" max="7689" width="15.140625" customWidth="1"/>
    <col min="7690" max="7690" width="12.5703125" customWidth="1"/>
    <col min="7692" max="7692" width="15.140625" customWidth="1"/>
    <col min="7693" max="7693" width="16" customWidth="1"/>
    <col min="7694" max="7694" width="14.85546875" customWidth="1"/>
    <col min="7935" max="7935" width="50.42578125" bestFit="1" customWidth="1"/>
    <col min="7936" max="7936" width="14.85546875" bestFit="1" customWidth="1"/>
    <col min="7937" max="7937" width="9.7109375" customWidth="1"/>
    <col min="7938" max="7938" width="14.85546875" bestFit="1" customWidth="1"/>
    <col min="7939" max="7939" width="11.28515625" customWidth="1"/>
    <col min="7940" max="7941" width="0" hidden="1" customWidth="1"/>
    <col min="7942" max="7942" width="25.140625" customWidth="1"/>
    <col min="7943" max="7943" width="9.28515625" bestFit="1" customWidth="1"/>
    <col min="7944" max="7944" width="14.5703125" customWidth="1"/>
    <col min="7945" max="7945" width="15.140625" customWidth="1"/>
    <col min="7946" max="7946" width="12.5703125" customWidth="1"/>
    <col min="7948" max="7948" width="15.140625" customWidth="1"/>
    <col min="7949" max="7949" width="16" customWidth="1"/>
    <col min="7950" max="7950" width="14.85546875" customWidth="1"/>
    <col min="8191" max="8191" width="50.42578125" bestFit="1" customWidth="1"/>
    <col min="8192" max="8192" width="14.85546875" bestFit="1" customWidth="1"/>
    <col min="8193" max="8193" width="9.7109375" customWidth="1"/>
    <col min="8194" max="8194" width="14.85546875" bestFit="1" customWidth="1"/>
    <col min="8195" max="8195" width="11.28515625" customWidth="1"/>
    <col min="8196" max="8197" width="0" hidden="1" customWidth="1"/>
    <col min="8198" max="8198" width="25.140625" customWidth="1"/>
    <col min="8199" max="8199" width="9.28515625" bestFit="1" customWidth="1"/>
    <col min="8200" max="8200" width="14.5703125" customWidth="1"/>
    <col min="8201" max="8201" width="15.140625" customWidth="1"/>
    <col min="8202" max="8202" width="12.5703125" customWidth="1"/>
    <col min="8204" max="8204" width="15.140625" customWidth="1"/>
    <col min="8205" max="8205" width="16" customWidth="1"/>
    <col min="8206" max="8206" width="14.85546875" customWidth="1"/>
    <col min="8447" max="8447" width="50.42578125" bestFit="1" customWidth="1"/>
    <col min="8448" max="8448" width="14.85546875" bestFit="1" customWidth="1"/>
    <col min="8449" max="8449" width="9.7109375" customWidth="1"/>
    <col min="8450" max="8450" width="14.85546875" bestFit="1" customWidth="1"/>
    <col min="8451" max="8451" width="11.28515625" customWidth="1"/>
    <col min="8452" max="8453" width="0" hidden="1" customWidth="1"/>
    <col min="8454" max="8454" width="25.140625" customWidth="1"/>
    <col min="8455" max="8455" width="9.28515625" bestFit="1" customWidth="1"/>
    <col min="8456" max="8456" width="14.5703125" customWidth="1"/>
    <col min="8457" max="8457" width="15.140625" customWidth="1"/>
    <col min="8458" max="8458" width="12.5703125" customWidth="1"/>
    <col min="8460" max="8460" width="15.140625" customWidth="1"/>
    <col min="8461" max="8461" width="16" customWidth="1"/>
    <col min="8462" max="8462" width="14.85546875" customWidth="1"/>
    <col min="8703" max="8703" width="50.42578125" bestFit="1" customWidth="1"/>
    <col min="8704" max="8704" width="14.85546875" bestFit="1" customWidth="1"/>
    <col min="8705" max="8705" width="9.7109375" customWidth="1"/>
    <col min="8706" max="8706" width="14.85546875" bestFit="1" customWidth="1"/>
    <col min="8707" max="8707" width="11.28515625" customWidth="1"/>
    <col min="8708" max="8709" width="0" hidden="1" customWidth="1"/>
    <col min="8710" max="8710" width="25.140625" customWidth="1"/>
    <col min="8711" max="8711" width="9.28515625" bestFit="1" customWidth="1"/>
    <col min="8712" max="8712" width="14.5703125" customWidth="1"/>
    <col min="8713" max="8713" width="15.140625" customWidth="1"/>
    <col min="8714" max="8714" width="12.5703125" customWidth="1"/>
    <col min="8716" max="8716" width="15.140625" customWidth="1"/>
    <col min="8717" max="8717" width="16" customWidth="1"/>
    <col min="8718" max="8718" width="14.85546875" customWidth="1"/>
    <col min="8959" max="8959" width="50.42578125" bestFit="1" customWidth="1"/>
    <col min="8960" max="8960" width="14.85546875" bestFit="1" customWidth="1"/>
    <col min="8961" max="8961" width="9.7109375" customWidth="1"/>
    <col min="8962" max="8962" width="14.85546875" bestFit="1" customWidth="1"/>
    <col min="8963" max="8963" width="11.28515625" customWidth="1"/>
    <col min="8964" max="8965" width="0" hidden="1" customWidth="1"/>
    <col min="8966" max="8966" width="25.140625" customWidth="1"/>
    <col min="8967" max="8967" width="9.28515625" bestFit="1" customWidth="1"/>
    <col min="8968" max="8968" width="14.5703125" customWidth="1"/>
    <col min="8969" max="8969" width="15.140625" customWidth="1"/>
    <col min="8970" max="8970" width="12.5703125" customWidth="1"/>
    <col min="8972" max="8972" width="15.140625" customWidth="1"/>
    <col min="8973" max="8973" width="16" customWidth="1"/>
    <col min="8974" max="8974" width="14.85546875" customWidth="1"/>
    <col min="9215" max="9215" width="50.42578125" bestFit="1" customWidth="1"/>
    <col min="9216" max="9216" width="14.85546875" bestFit="1" customWidth="1"/>
    <col min="9217" max="9217" width="9.7109375" customWidth="1"/>
    <col min="9218" max="9218" width="14.85546875" bestFit="1" customWidth="1"/>
    <col min="9219" max="9219" width="11.28515625" customWidth="1"/>
    <col min="9220" max="9221" width="0" hidden="1" customWidth="1"/>
    <col min="9222" max="9222" width="25.140625" customWidth="1"/>
    <col min="9223" max="9223" width="9.28515625" bestFit="1" customWidth="1"/>
    <col min="9224" max="9224" width="14.5703125" customWidth="1"/>
    <col min="9225" max="9225" width="15.140625" customWidth="1"/>
    <col min="9226" max="9226" width="12.5703125" customWidth="1"/>
    <col min="9228" max="9228" width="15.140625" customWidth="1"/>
    <col min="9229" max="9229" width="16" customWidth="1"/>
    <col min="9230" max="9230" width="14.85546875" customWidth="1"/>
    <col min="9471" max="9471" width="50.42578125" bestFit="1" customWidth="1"/>
    <col min="9472" max="9472" width="14.85546875" bestFit="1" customWidth="1"/>
    <col min="9473" max="9473" width="9.7109375" customWidth="1"/>
    <col min="9474" max="9474" width="14.85546875" bestFit="1" customWidth="1"/>
    <col min="9475" max="9475" width="11.28515625" customWidth="1"/>
    <col min="9476" max="9477" width="0" hidden="1" customWidth="1"/>
    <col min="9478" max="9478" width="25.140625" customWidth="1"/>
    <col min="9479" max="9479" width="9.28515625" bestFit="1" customWidth="1"/>
    <col min="9480" max="9480" width="14.5703125" customWidth="1"/>
    <col min="9481" max="9481" width="15.140625" customWidth="1"/>
    <col min="9482" max="9482" width="12.5703125" customWidth="1"/>
    <col min="9484" max="9484" width="15.140625" customWidth="1"/>
    <col min="9485" max="9485" width="16" customWidth="1"/>
    <col min="9486" max="9486" width="14.85546875" customWidth="1"/>
    <col min="9727" max="9727" width="50.42578125" bestFit="1" customWidth="1"/>
    <col min="9728" max="9728" width="14.85546875" bestFit="1" customWidth="1"/>
    <col min="9729" max="9729" width="9.7109375" customWidth="1"/>
    <col min="9730" max="9730" width="14.85546875" bestFit="1" customWidth="1"/>
    <col min="9731" max="9731" width="11.28515625" customWidth="1"/>
    <col min="9732" max="9733" width="0" hidden="1" customWidth="1"/>
    <col min="9734" max="9734" width="25.140625" customWidth="1"/>
    <col min="9735" max="9735" width="9.28515625" bestFit="1" customWidth="1"/>
    <col min="9736" max="9736" width="14.5703125" customWidth="1"/>
    <col min="9737" max="9737" width="15.140625" customWidth="1"/>
    <col min="9738" max="9738" width="12.5703125" customWidth="1"/>
    <col min="9740" max="9740" width="15.140625" customWidth="1"/>
    <col min="9741" max="9741" width="16" customWidth="1"/>
    <col min="9742" max="9742" width="14.85546875" customWidth="1"/>
    <col min="9983" max="9983" width="50.42578125" bestFit="1" customWidth="1"/>
    <col min="9984" max="9984" width="14.85546875" bestFit="1" customWidth="1"/>
    <col min="9985" max="9985" width="9.7109375" customWidth="1"/>
    <col min="9986" max="9986" width="14.85546875" bestFit="1" customWidth="1"/>
    <col min="9987" max="9987" width="11.28515625" customWidth="1"/>
    <col min="9988" max="9989" width="0" hidden="1" customWidth="1"/>
    <col min="9990" max="9990" width="25.140625" customWidth="1"/>
    <col min="9991" max="9991" width="9.28515625" bestFit="1" customWidth="1"/>
    <col min="9992" max="9992" width="14.5703125" customWidth="1"/>
    <col min="9993" max="9993" width="15.140625" customWidth="1"/>
    <col min="9994" max="9994" width="12.5703125" customWidth="1"/>
    <col min="9996" max="9996" width="15.140625" customWidth="1"/>
    <col min="9997" max="9997" width="16" customWidth="1"/>
    <col min="9998" max="9998" width="14.85546875" customWidth="1"/>
    <col min="10239" max="10239" width="50.42578125" bestFit="1" customWidth="1"/>
    <col min="10240" max="10240" width="14.85546875" bestFit="1" customWidth="1"/>
    <col min="10241" max="10241" width="9.7109375" customWidth="1"/>
    <col min="10242" max="10242" width="14.85546875" bestFit="1" customWidth="1"/>
    <col min="10243" max="10243" width="11.28515625" customWidth="1"/>
    <col min="10244" max="10245" width="0" hidden="1" customWidth="1"/>
    <col min="10246" max="10246" width="25.140625" customWidth="1"/>
    <col min="10247" max="10247" width="9.28515625" bestFit="1" customWidth="1"/>
    <col min="10248" max="10248" width="14.5703125" customWidth="1"/>
    <col min="10249" max="10249" width="15.140625" customWidth="1"/>
    <col min="10250" max="10250" width="12.5703125" customWidth="1"/>
    <col min="10252" max="10252" width="15.140625" customWidth="1"/>
    <col min="10253" max="10253" width="16" customWidth="1"/>
    <col min="10254" max="10254" width="14.85546875" customWidth="1"/>
    <col min="10495" max="10495" width="50.42578125" bestFit="1" customWidth="1"/>
    <col min="10496" max="10496" width="14.85546875" bestFit="1" customWidth="1"/>
    <col min="10497" max="10497" width="9.7109375" customWidth="1"/>
    <col min="10498" max="10498" width="14.85546875" bestFit="1" customWidth="1"/>
    <col min="10499" max="10499" width="11.28515625" customWidth="1"/>
    <col min="10500" max="10501" width="0" hidden="1" customWidth="1"/>
    <col min="10502" max="10502" width="25.140625" customWidth="1"/>
    <col min="10503" max="10503" width="9.28515625" bestFit="1" customWidth="1"/>
    <col min="10504" max="10504" width="14.5703125" customWidth="1"/>
    <col min="10505" max="10505" width="15.140625" customWidth="1"/>
    <col min="10506" max="10506" width="12.5703125" customWidth="1"/>
    <col min="10508" max="10508" width="15.140625" customWidth="1"/>
    <col min="10509" max="10509" width="16" customWidth="1"/>
    <col min="10510" max="10510" width="14.85546875" customWidth="1"/>
    <col min="10751" max="10751" width="50.42578125" bestFit="1" customWidth="1"/>
    <col min="10752" max="10752" width="14.85546875" bestFit="1" customWidth="1"/>
    <col min="10753" max="10753" width="9.7109375" customWidth="1"/>
    <col min="10754" max="10754" width="14.85546875" bestFit="1" customWidth="1"/>
    <col min="10755" max="10755" width="11.28515625" customWidth="1"/>
    <col min="10756" max="10757" width="0" hidden="1" customWidth="1"/>
    <col min="10758" max="10758" width="25.140625" customWidth="1"/>
    <col min="10759" max="10759" width="9.28515625" bestFit="1" customWidth="1"/>
    <col min="10760" max="10760" width="14.5703125" customWidth="1"/>
    <col min="10761" max="10761" width="15.140625" customWidth="1"/>
    <col min="10762" max="10762" width="12.5703125" customWidth="1"/>
    <col min="10764" max="10764" width="15.140625" customWidth="1"/>
    <col min="10765" max="10765" width="16" customWidth="1"/>
    <col min="10766" max="10766" width="14.85546875" customWidth="1"/>
    <col min="11007" max="11007" width="50.42578125" bestFit="1" customWidth="1"/>
    <col min="11008" max="11008" width="14.85546875" bestFit="1" customWidth="1"/>
    <col min="11009" max="11009" width="9.7109375" customWidth="1"/>
    <col min="11010" max="11010" width="14.85546875" bestFit="1" customWidth="1"/>
    <col min="11011" max="11011" width="11.28515625" customWidth="1"/>
    <col min="11012" max="11013" width="0" hidden="1" customWidth="1"/>
    <col min="11014" max="11014" width="25.140625" customWidth="1"/>
    <col min="11015" max="11015" width="9.28515625" bestFit="1" customWidth="1"/>
    <col min="11016" max="11016" width="14.5703125" customWidth="1"/>
    <col min="11017" max="11017" width="15.140625" customWidth="1"/>
    <col min="11018" max="11018" width="12.5703125" customWidth="1"/>
    <col min="11020" max="11020" width="15.140625" customWidth="1"/>
    <col min="11021" max="11021" width="16" customWidth="1"/>
    <col min="11022" max="11022" width="14.85546875" customWidth="1"/>
    <col min="11263" max="11263" width="50.42578125" bestFit="1" customWidth="1"/>
    <col min="11264" max="11264" width="14.85546875" bestFit="1" customWidth="1"/>
    <col min="11265" max="11265" width="9.7109375" customWidth="1"/>
    <col min="11266" max="11266" width="14.85546875" bestFit="1" customWidth="1"/>
    <col min="11267" max="11267" width="11.28515625" customWidth="1"/>
    <col min="11268" max="11269" width="0" hidden="1" customWidth="1"/>
    <col min="11270" max="11270" width="25.140625" customWidth="1"/>
    <col min="11271" max="11271" width="9.28515625" bestFit="1" customWidth="1"/>
    <col min="11272" max="11272" width="14.5703125" customWidth="1"/>
    <col min="11273" max="11273" width="15.140625" customWidth="1"/>
    <col min="11274" max="11274" width="12.5703125" customWidth="1"/>
    <col min="11276" max="11276" width="15.140625" customWidth="1"/>
    <col min="11277" max="11277" width="16" customWidth="1"/>
    <col min="11278" max="11278" width="14.85546875" customWidth="1"/>
    <col min="11519" max="11519" width="50.42578125" bestFit="1" customWidth="1"/>
    <col min="11520" max="11520" width="14.85546875" bestFit="1" customWidth="1"/>
    <col min="11521" max="11521" width="9.7109375" customWidth="1"/>
    <col min="11522" max="11522" width="14.85546875" bestFit="1" customWidth="1"/>
    <col min="11523" max="11523" width="11.28515625" customWidth="1"/>
    <col min="11524" max="11525" width="0" hidden="1" customWidth="1"/>
    <col min="11526" max="11526" width="25.140625" customWidth="1"/>
    <col min="11527" max="11527" width="9.28515625" bestFit="1" customWidth="1"/>
    <col min="11528" max="11528" width="14.5703125" customWidth="1"/>
    <col min="11529" max="11529" width="15.140625" customWidth="1"/>
    <col min="11530" max="11530" width="12.5703125" customWidth="1"/>
    <col min="11532" max="11532" width="15.140625" customWidth="1"/>
    <col min="11533" max="11533" width="16" customWidth="1"/>
    <col min="11534" max="11534" width="14.85546875" customWidth="1"/>
    <col min="11775" max="11775" width="50.42578125" bestFit="1" customWidth="1"/>
    <col min="11776" max="11776" width="14.85546875" bestFit="1" customWidth="1"/>
    <col min="11777" max="11777" width="9.7109375" customWidth="1"/>
    <col min="11778" max="11778" width="14.85546875" bestFit="1" customWidth="1"/>
    <col min="11779" max="11779" width="11.28515625" customWidth="1"/>
    <col min="11780" max="11781" width="0" hidden="1" customWidth="1"/>
    <col min="11782" max="11782" width="25.140625" customWidth="1"/>
    <col min="11783" max="11783" width="9.28515625" bestFit="1" customWidth="1"/>
    <col min="11784" max="11784" width="14.5703125" customWidth="1"/>
    <col min="11785" max="11785" width="15.140625" customWidth="1"/>
    <col min="11786" max="11786" width="12.5703125" customWidth="1"/>
    <col min="11788" max="11788" width="15.140625" customWidth="1"/>
    <col min="11789" max="11789" width="16" customWidth="1"/>
    <col min="11790" max="11790" width="14.85546875" customWidth="1"/>
    <col min="12031" max="12031" width="50.42578125" bestFit="1" customWidth="1"/>
    <col min="12032" max="12032" width="14.85546875" bestFit="1" customWidth="1"/>
    <col min="12033" max="12033" width="9.7109375" customWidth="1"/>
    <col min="12034" max="12034" width="14.85546875" bestFit="1" customWidth="1"/>
    <col min="12035" max="12035" width="11.28515625" customWidth="1"/>
    <col min="12036" max="12037" width="0" hidden="1" customWidth="1"/>
    <col min="12038" max="12038" width="25.140625" customWidth="1"/>
    <col min="12039" max="12039" width="9.28515625" bestFit="1" customWidth="1"/>
    <col min="12040" max="12040" width="14.5703125" customWidth="1"/>
    <col min="12041" max="12041" width="15.140625" customWidth="1"/>
    <col min="12042" max="12042" width="12.5703125" customWidth="1"/>
    <col min="12044" max="12044" width="15.140625" customWidth="1"/>
    <col min="12045" max="12045" width="16" customWidth="1"/>
    <col min="12046" max="12046" width="14.85546875" customWidth="1"/>
    <col min="12287" max="12287" width="50.42578125" bestFit="1" customWidth="1"/>
    <col min="12288" max="12288" width="14.85546875" bestFit="1" customWidth="1"/>
    <col min="12289" max="12289" width="9.7109375" customWidth="1"/>
    <col min="12290" max="12290" width="14.85546875" bestFit="1" customWidth="1"/>
    <col min="12291" max="12291" width="11.28515625" customWidth="1"/>
    <col min="12292" max="12293" width="0" hidden="1" customWidth="1"/>
    <col min="12294" max="12294" width="25.140625" customWidth="1"/>
    <col min="12295" max="12295" width="9.28515625" bestFit="1" customWidth="1"/>
    <col min="12296" max="12296" width="14.5703125" customWidth="1"/>
    <col min="12297" max="12297" width="15.140625" customWidth="1"/>
    <col min="12298" max="12298" width="12.5703125" customWidth="1"/>
    <col min="12300" max="12300" width="15.140625" customWidth="1"/>
    <col min="12301" max="12301" width="16" customWidth="1"/>
    <col min="12302" max="12302" width="14.85546875" customWidth="1"/>
    <col min="12543" max="12543" width="50.42578125" bestFit="1" customWidth="1"/>
    <col min="12544" max="12544" width="14.85546875" bestFit="1" customWidth="1"/>
    <col min="12545" max="12545" width="9.7109375" customWidth="1"/>
    <col min="12546" max="12546" width="14.85546875" bestFit="1" customWidth="1"/>
    <col min="12547" max="12547" width="11.28515625" customWidth="1"/>
    <col min="12548" max="12549" width="0" hidden="1" customWidth="1"/>
    <col min="12550" max="12550" width="25.140625" customWidth="1"/>
    <col min="12551" max="12551" width="9.28515625" bestFit="1" customWidth="1"/>
    <col min="12552" max="12552" width="14.5703125" customWidth="1"/>
    <col min="12553" max="12553" width="15.140625" customWidth="1"/>
    <col min="12554" max="12554" width="12.5703125" customWidth="1"/>
    <col min="12556" max="12556" width="15.140625" customWidth="1"/>
    <col min="12557" max="12557" width="16" customWidth="1"/>
    <col min="12558" max="12558" width="14.85546875" customWidth="1"/>
    <col min="12799" max="12799" width="50.42578125" bestFit="1" customWidth="1"/>
    <col min="12800" max="12800" width="14.85546875" bestFit="1" customWidth="1"/>
    <col min="12801" max="12801" width="9.7109375" customWidth="1"/>
    <col min="12802" max="12802" width="14.85546875" bestFit="1" customWidth="1"/>
    <col min="12803" max="12803" width="11.28515625" customWidth="1"/>
    <col min="12804" max="12805" width="0" hidden="1" customWidth="1"/>
    <col min="12806" max="12806" width="25.140625" customWidth="1"/>
    <col min="12807" max="12807" width="9.28515625" bestFit="1" customWidth="1"/>
    <col min="12808" max="12808" width="14.5703125" customWidth="1"/>
    <col min="12809" max="12809" width="15.140625" customWidth="1"/>
    <col min="12810" max="12810" width="12.5703125" customWidth="1"/>
    <col min="12812" max="12812" width="15.140625" customWidth="1"/>
    <col min="12813" max="12813" width="16" customWidth="1"/>
    <col min="12814" max="12814" width="14.85546875" customWidth="1"/>
    <col min="13055" max="13055" width="50.42578125" bestFit="1" customWidth="1"/>
    <col min="13056" max="13056" width="14.85546875" bestFit="1" customWidth="1"/>
    <col min="13057" max="13057" width="9.7109375" customWidth="1"/>
    <col min="13058" max="13058" width="14.85546875" bestFit="1" customWidth="1"/>
    <col min="13059" max="13059" width="11.28515625" customWidth="1"/>
    <col min="13060" max="13061" width="0" hidden="1" customWidth="1"/>
    <col min="13062" max="13062" width="25.140625" customWidth="1"/>
    <col min="13063" max="13063" width="9.28515625" bestFit="1" customWidth="1"/>
    <col min="13064" max="13064" width="14.5703125" customWidth="1"/>
    <col min="13065" max="13065" width="15.140625" customWidth="1"/>
    <col min="13066" max="13066" width="12.5703125" customWidth="1"/>
    <col min="13068" max="13068" width="15.140625" customWidth="1"/>
    <col min="13069" max="13069" width="16" customWidth="1"/>
    <col min="13070" max="13070" width="14.85546875" customWidth="1"/>
    <col min="13311" max="13311" width="50.42578125" bestFit="1" customWidth="1"/>
    <col min="13312" max="13312" width="14.85546875" bestFit="1" customWidth="1"/>
    <col min="13313" max="13313" width="9.7109375" customWidth="1"/>
    <col min="13314" max="13314" width="14.85546875" bestFit="1" customWidth="1"/>
    <col min="13315" max="13315" width="11.28515625" customWidth="1"/>
    <col min="13316" max="13317" width="0" hidden="1" customWidth="1"/>
    <col min="13318" max="13318" width="25.140625" customWidth="1"/>
    <col min="13319" max="13319" width="9.28515625" bestFit="1" customWidth="1"/>
    <col min="13320" max="13320" width="14.5703125" customWidth="1"/>
    <col min="13321" max="13321" width="15.140625" customWidth="1"/>
    <col min="13322" max="13322" width="12.5703125" customWidth="1"/>
    <col min="13324" max="13324" width="15.140625" customWidth="1"/>
    <col min="13325" max="13325" width="16" customWidth="1"/>
    <col min="13326" max="13326" width="14.85546875" customWidth="1"/>
    <col min="13567" max="13567" width="50.42578125" bestFit="1" customWidth="1"/>
    <col min="13568" max="13568" width="14.85546875" bestFit="1" customWidth="1"/>
    <col min="13569" max="13569" width="9.7109375" customWidth="1"/>
    <col min="13570" max="13570" width="14.85546875" bestFit="1" customWidth="1"/>
    <col min="13571" max="13571" width="11.28515625" customWidth="1"/>
    <col min="13572" max="13573" width="0" hidden="1" customWidth="1"/>
    <col min="13574" max="13574" width="25.140625" customWidth="1"/>
    <col min="13575" max="13575" width="9.28515625" bestFit="1" customWidth="1"/>
    <col min="13576" max="13576" width="14.5703125" customWidth="1"/>
    <col min="13577" max="13577" width="15.140625" customWidth="1"/>
    <col min="13578" max="13578" width="12.5703125" customWidth="1"/>
    <col min="13580" max="13580" width="15.140625" customWidth="1"/>
    <col min="13581" max="13581" width="16" customWidth="1"/>
    <col min="13582" max="13582" width="14.85546875" customWidth="1"/>
    <col min="13823" max="13823" width="50.42578125" bestFit="1" customWidth="1"/>
    <col min="13824" max="13824" width="14.85546875" bestFit="1" customWidth="1"/>
    <col min="13825" max="13825" width="9.7109375" customWidth="1"/>
    <col min="13826" max="13826" width="14.85546875" bestFit="1" customWidth="1"/>
    <col min="13827" max="13827" width="11.28515625" customWidth="1"/>
    <col min="13828" max="13829" width="0" hidden="1" customWidth="1"/>
    <col min="13830" max="13830" width="25.140625" customWidth="1"/>
    <col min="13831" max="13831" width="9.28515625" bestFit="1" customWidth="1"/>
    <col min="13832" max="13832" width="14.5703125" customWidth="1"/>
    <col min="13833" max="13833" width="15.140625" customWidth="1"/>
    <col min="13834" max="13834" width="12.5703125" customWidth="1"/>
    <col min="13836" max="13836" width="15.140625" customWidth="1"/>
    <col min="13837" max="13837" width="16" customWidth="1"/>
    <col min="13838" max="13838" width="14.85546875" customWidth="1"/>
    <col min="14079" max="14079" width="50.42578125" bestFit="1" customWidth="1"/>
    <col min="14080" max="14080" width="14.85546875" bestFit="1" customWidth="1"/>
    <col min="14081" max="14081" width="9.7109375" customWidth="1"/>
    <col min="14082" max="14082" width="14.85546875" bestFit="1" customWidth="1"/>
    <col min="14083" max="14083" width="11.28515625" customWidth="1"/>
    <col min="14084" max="14085" width="0" hidden="1" customWidth="1"/>
    <col min="14086" max="14086" width="25.140625" customWidth="1"/>
    <col min="14087" max="14087" width="9.28515625" bestFit="1" customWidth="1"/>
    <col min="14088" max="14088" width="14.5703125" customWidth="1"/>
    <col min="14089" max="14089" width="15.140625" customWidth="1"/>
    <col min="14090" max="14090" width="12.5703125" customWidth="1"/>
    <col min="14092" max="14092" width="15.140625" customWidth="1"/>
    <col min="14093" max="14093" width="16" customWidth="1"/>
    <col min="14094" max="14094" width="14.85546875" customWidth="1"/>
    <col min="14335" max="14335" width="50.42578125" bestFit="1" customWidth="1"/>
    <col min="14336" max="14336" width="14.85546875" bestFit="1" customWidth="1"/>
    <col min="14337" max="14337" width="9.7109375" customWidth="1"/>
    <col min="14338" max="14338" width="14.85546875" bestFit="1" customWidth="1"/>
    <col min="14339" max="14339" width="11.28515625" customWidth="1"/>
    <col min="14340" max="14341" width="0" hidden="1" customWidth="1"/>
    <col min="14342" max="14342" width="25.140625" customWidth="1"/>
    <col min="14343" max="14343" width="9.28515625" bestFit="1" customWidth="1"/>
    <col min="14344" max="14344" width="14.5703125" customWidth="1"/>
    <col min="14345" max="14345" width="15.140625" customWidth="1"/>
    <col min="14346" max="14346" width="12.5703125" customWidth="1"/>
    <col min="14348" max="14348" width="15.140625" customWidth="1"/>
    <col min="14349" max="14349" width="16" customWidth="1"/>
    <col min="14350" max="14350" width="14.85546875" customWidth="1"/>
    <col min="14591" max="14591" width="50.42578125" bestFit="1" customWidth="1"/>
    <col min="14592" max="14592" width="14.85546875" bestFit="1" customWidth="1"/>
    <col min="14593" max="14593" width="9.7109375" customWidth="1"/>
    <col min="14594" max="14594" width="14.85546875" bestFit="1" customWidth="1"/>
    <col min="14595" max="14595" width="11.28515625" customWidth="1"/>
    <col min="14596" max="14597" width="0" hidden="1" customWidth="1"/>
    <col min="14598" max="14598" width="25.140625" customWidth="1"/>
    <col min="14599" max="14599" width="9.28515625" bestFit="1" customWidth="1"/>
    <col min="14600" max="14600" width="14.5703125" customWidth="1"/>
    <col min="14601" max="14601" width="15.140625" customWidth="1"/>
    <col min="14602" max="14602" width="12.5703125" customWidth="1"/>
    <col min="14604" max="14604" width="15.140625" customWidth="1"/>
    <col min="14605" max="14605" width="16" customWidth="1"/>
    <col min="14606" max="14606" width="14.85546875" customWidth="1"/>
    <col min="14847" max="14847" width="50.42578125" bestFit="1" customWidth="1"/>
    <col min="14848" max="14848" width="14.85546875" bestFit="1" customWidth="1"/>
    <col min="14849" max="14849" width="9.7109375" customWidth="1"/>
    <col min="14850" max="14850" width="14.85546875" bestFit="1" customWidth="1"/>
    <col min="14851" max="14851" width="11.28515625" customWidth="1"/>
    <col min="14852" max="14853" width="0" hidden="1" customWidth="1"/>
    <col min="14854" max="14854" width="25.140625" customWidth="1"/>
    <col min="14855" max="14855" width="9.28515625" bestFit="1" customWidth="1"/>
    <col min="14856" max="14856" width="14.5703125" customWidth="1"/>
    <col min="14857" max="14857" width="15.140625" customWidth="1"/>
    <col min="14858" max="14858" width="12.5703125" customWidth="1"/>
    <col min="14860" max="14860" width="15.140625" customWidth="1"/>
    <col min="14861" max="14861" width="16" customWidth="1"/>
    <col min="14862" max="14862" width="14.85546875" customWidth="1"/>
    <col min="15103" max="15103" width="50.42578125" bestFit="1" customWidth="1"/>
    <col min="15104" max="15104" width="14.85546875" bestFit="1" customWidth="1"/>
    <col min="15105" max="15105" width="9.7109375" customWidth="1"/>
    <col min="15106" max="15106" width="14.85546875" bestFit="1" customWidth="1"/>
    <col min="15107" max="15107" width="11.28515625" customWidth="1"/>
    <col min="15108" max="15109" width="0" hidden="1" customWidth="1"/>
    <col min="15110" max="15110" width="25.140625" customWidth="1"/>
    <col min="15111" max="15111" width="9.28515625" bestFit="1" customWidth="1"/>
    <col min="15112" max="15112" width="14.5703125" customWidth="1"/>
    <col min="15113" max="15113" width="15.140625" customWidth="1"/>
    <col min="15114" max="15114" width="12.5703125" customWidth="1"/>
    <col min="15116" max="15116" width="15.140625" customWidth="1"/>
    <col min="15117" max="15117" width="16" customWidth="1"/>
    <col min="15118" max="15118" width="14.85546875" customWidth="1"/>
    <col min="15359" max="15359" width="50.42578125" bestFit="1" customWidth="1"/>
    <col min="15360" max="15360" width="14.85546875" bestFit="1" customWidth="1"/>
    <col min="15361" max="15361" width="9.7109375" customWidth="1"/>
    <col min="15362" max="15362" width="14.85546875" bestFit="1" customWidth="1"/>
    <col min="15363" max="15363" width="11.28515625" customWidth="1"/>
    <col min="15364" max="15365" width="0" hidden="1" customWidth="1"/>
    <col min="15366" max="15366" width="25.140625" customWidth="1"/>
    <col min="15367" max="15367" width="9.28515625" bestFit="1" customWidth="1"/>
    <col min="15368" max="15368" width="14.5703125" customWidth="1"/>
    <col min="15369" max="15369" width="15.140625" customWidth="1"/>
    <col min="15370" max="15370" width="12.5703125" customWidth="1"/>
    <col min="15372" max="15372" width="15.140625" customWidth="1"/>
    <col min="15373" max="15373" width="16" customWidth="1"/>
    <col min="15374" max="15374" width="14.85546875" customWidth="1"/>
    <col min="15615" max="15615" width="50.42578125" bestFit="1" customWidth="1"/>
    <col min="15616" max="15616" width="14.85546875" bestFit="1" customWidth="1"/>
    <col min="15617" max="15617" width="9.7109375" customWidth="1"/>
    <col min="15618" max="15618" width="14.85546875" bestFit="1" customWidth="1"/>
    <col min="15619" max="15619" width="11.28515625" customWidth="1"/>
    <col min="15620" max="15621" width="0" hidden="1" customWidth="1"/>
    <col min="15622" max="15622" width="25.140625" customWidth="1"/>
    <col min="15623" max="15623" width="9.28515625" bestFit="1" customWidth="1"/>
    <col min="15624" max="15624" width="14.5703125" customWidth="1"/>
    <col min="15625" max="15625" width="15.140625" customWidth="1"/>
    <col min="15626" max="15626" width="12.5703125" customWidth="1"/>
    <col min="15628" max="15628" width="15.140625" customWidth="1"/>
    <col min="15629" max="15629" width="16" customWidth="1"/>
    <col min="15630" max="15630" width="14.85546875" customWidth="1"/>
    <col min="15871" max="15871" width="50.42578125" bestFit="1" customWidth="1"/>
    <col min="15872" max="15872" width="14.85546875" bestFit="1" customWidth="1"/>
    <col min="15873" max="15873" width="9.7109375" customWidth="1"/>
    <col min="15874" max="15874" width="14.85546875" bestFit="1" customWidth="1"/>
    <col min="15875" max="15875" width="11.28515625" customWidth="1"/>
    <col min="15876" max="15877" width="0" hidden="1" customWidth="1"/>
    <col min="15878" max="15878" width="25.140625" customWidth="1"/>
    <col min="15879" max="15879" width="9.28515625" bestFit="1" customWidth="1"/>
    <col min="15880" max="15880" width="14.5703125" customWidth="1"/>
    <col min="15881" max="15881" width="15.140625" customWidth="1"/>
    <col min="15882" max="15882" width="12.5703125" customWidth="1"/>
    <col min="15884" max="15884" width="15.140625" customWidth="1"/>
    <col min="15885" max="15885" width="16" customWidth="1"/>
    <col min="15886" max="15886" width="14.85546875" customWidth="1"/>
    <col min="16127" max="16127" width="50.42578125" bestFit="1" customWidth="1"/>
    <col min="16128" max="16128" width="14.85546875" bestFit="1" customWidth="1"/>
    <col min="16129" max="16129" width="9.7109375" customWidth="1"/>
    <col min="16130" max="16130" width="14.85546875" bestFit="1" customWidth="1"/>
    <col min="16131" max="16131" width="11.28515625" customWidth="1"/>
    <col min="16132" max="16133" width="0" hidden="1" customWidth="1"/>
    <col min="16134" max="16134" width="25.140625" customWidth="1"/>
    <col min="16135" max="16135" width="9.28515625" bestFit="1" customWidth="1"/>
    <col min="16136" max="16136" width="14.5703125" customWidth="1"/>
    <col min="16137" max="16137" width="15.140625" customWidth="1"/>
    <col min="16138" max="16138" width="12.5703125" customWidth="1"/>
    <col min="16140" max="16140" width="15.140625" customWidth="1"/>
    <col min="16141" max="16141" width="16" customWidth="1"/>
    <col min="16142" max="16142" width="14.85546875" customWidth="1"/>
  </cols>
  <sheetData>
    <row r="1" spans="1:17" ht="15.75" thickBot="1" x14ac:dyDescent="0.3">
      <c r="A1" s="1" t="s">
        <v>0</v>
      </c>
      <c r="B1" s="2"/>
      <c r="C1" s="2"/>
      <c r="D1" s="2"/>
      <c r="E1" s="2"/>
      <c r="F1" t="s">
        <v>1</v>
      </c>
    </row>
    <row r="2" spans="1:17" ht="15.75" thickBot="1" x14ac:dyDescent="0.3">
      <c r="A2" s="3"/>
      <c r="B2" s="4" t="s">
        <v>82</v>
      </c>
      <c r="C2" s="5"/>
      <c r="D2" s="4" t="s">
        <v>2</v>
      </c>
      <c r="E2" s="5"/>
      <c r="H2" t="s">
        <v>3</v>
      </c>
      <c r="K2" t="s">
        <v>3</v>
      </c>
      <c r="L2" t="s">
        <v>4</v>
      </c>
    </row>
    <row r="3" spans="1:17" x14ac:dyDescent="0.25">
      <c r="A3" s="6" t="s">
        <v>5</v>
      </c>
      <c r="B3" s="7">
        <f>(G3*H3*L3)+(J3*K3*L3)</f>
        <v>1083411</v>
      </c>
      <c r="C3" s="8">
        <f>B3/$B$6</f>
        <v>1</v>
      </c>
      <c r="D3" s="9">
        <v>0</v>
      </c>
      <c r="E3" s="10">
        <f>D3/$D$6</f>
        <v>0</v>
      </c>
      <c r="F3" s="11" t="s">
        <v>6</v>
      </c>
      <c r="G3" s="12">
        <v>70</v>
      </c>
      <c r="H3" s="13">
        <v>52.25</v>
      </c>
      <c r="I3" s="11" t="s">
        <v>7</v>
      </c>
      <c r="J3" s="12">
        <v>10</v>
      </c>
      <c r="K3" s="13">
        <v>49.35</v>
      </c>
      <c r="L3" s="11">
        <v>261</v>
      </c>
    </row>
    <row r="4" spans="1:17" x14ac:dyDescent="0.25">
      <c r="A4" s="6" t="s">
        <v>8</v>
      </c>
      <c r="B4" s="7"/>
      <c r="C4" s="8">
        <f>B4/$B$6</f>
        <v>0</v>
      </c>
      <c r="D4" s="9">
        <f>(G4*H4*L4)+(J4*K4*L4)+(G5*H5*L4)</f>
        <v>1100323.8</v>
      </c>
      <c r="E4" s="10">
        <f>D4/$D$6</f>
        <v>0.76769140519582513</v>
      </c>
      <c r="F4" t="s">
        <v>9</v>
      </c>
      <c r="G4" s="14">
        <v>40</v>
      </c>
      <c r="H4" s="15">
        <v>48.77</v>
      </c>
      <c r="I4" t="s">
        <v>7</v>
      </c>
      <c r="J4" s="14">
        <v>20</v>
      </c>
      <c r="K4" s="15">
        <v>72.33</v>
      </c>
      <c r="L4">
        <v>261</v>
      </c>
    </row>
    <row r="5" spans="1:17" x14ac:dyDescent="0.25">
      <c r="A5" s="6" t="s">
        <v>10</v>
      </c>
      <c r="B5" s="7"/>
      <c r="C5" s="8"/>
      <c r="D5" s="9">
        <f>+L15</f>
        <v>332965.39999999997</v>
      </c>
      <c r="E5" s="10"/>
      <c r="F5" t="s">
        <v>11</v>
      </c>
      <c r="G5" s="14">
        <v>20</v>
      </c>
      <c r="H5" s="15">
        <v>40.92</v>
      </c>
      <c r="K5" s="15"/>
      <c r="O5" s="14"/>
    </row>
    <row r="6" spans="1:17" x14ac:dyDescent="0.25">
      <c r="A6" s="50" t="s">
        <v>12</v>
      </c>
      <c r="B6" s="51">
        <f>SUM(B3:B4)</f>
        <v>1083411</v>
      </c>
      <c r="C6" s="52">
        <f>B6/$B$6</f>
        <v>1</v>
      </c>
      <c r="D6" s="53">
        <f>SUM(D3:D5)</f>
        <v>1433289.2</v>
      </c>
      <c r="E6" s="54">
        <f>D6/$D$6</f>
        <v>1</v>
      </c>
    </row>
    <row r="7" spans="1:17" x14ac:dyDescent="0.25">
      <c r="A7" s="20" t="s">
        <v>13</v>
      </c>
      <c r="B7" s="16">
        <v>0</v>
      </c>
      <c r="C7" s="19">
        <f>B7/$B$6</f>
        <v>0</v>
      </c>
      <c r="D7" s="18">
        <v>0</v>
      </c>
      <c r="E7" s="21">
        <f>D7/$D$6</f>
        <v>0</v>
      </c>
      <c r="G7" t="s">
        <v>14</v>
      </c>
      <c r="J7" t="s">
        <v>15</v>
      </c>
      <c r="K7" t="s">
        <v>16</v>
      </c>
      <c r="M7" t="s">
        <v>17</v>
      </c>
      <c r="O7" t="s">
        <v>18</v>
      </c>
    </row>
    <row r="8" spans="1:17" x14ac:dyDescent="0.25">
      <c r="A8" s="22" t="s">
        <v>19</v>
      </c>
      <c r="B8" s="23">
        <f>B6-B7</f>
        <v>1083411</v>
      </c>
      <c r="C8" s="8">
        <f>B8/$B$6</f>
        <v>1</v>
      </c>
      <c r="D8" s="9">
        <f>D6-D7</f>
        <v>1433289.2</v>
      </c>
      <c r="E8" s="21">
        <f>D8/$D$6</f>
        <v>1</v>
      </c>
      <c r="H8" t="s">
        <v>20</v>
      </c>
      <c r="J8" s="24" t="s">
        <v>21</v>
      </c>
      <c r="K8">
        <v>80</v>
      </c>
      <c r="L8" s="24">
        <f>+(M8*N8)+(O8*P8)</f>
        <v>172203</v>
      </c>
      <c r="M8">
        <v>2217.1</v>
      </c>
      <c r="N8">
        <v>60</v>
      </c>
      <c r="O8" s="24">
        <v>1958.85</v>
      </c>
      <c r="P8">
        <v>20</v>
      </c>
    </row>
    <row r="9" spans="1:17" ht="15.75" thickBot="1" x14ac:dyDescent="0.3">
      <c r="A9" s="25" t="s">
        <v>22</v>
      </c>
      <c r="B9" s="26">
        <f>B8/$B$6</f>
        <v>1</v>
      </c>
      <c r="C9" s="27"/>
      <c r="D9" s="26">
        <f>D8/$D$6</f>
        <v>1</v>
      </c>
      <c r="E9" s="27"/>
      <c r="H9" t="s">
        <v>23</v>
      </c>
      <c r="J9">
        <v>2111.4899999999998</v>
      </c>
      <c r="K9">
        <v>80</v>
      </c>
      <c r="L9" s="15">
        <f>+J9*K9</f>
        <v>168919.19999999998</v>
      </c>
      <c r="M9">
        <v>8.09</v>
      </c>
      <c r="N9">
        <v>80</v>
      </c>
      <c r="O9">
        <f>+L4</f>
        <v>261</v>
      </c>
      <c r="Q9" t="s">
        <v>24</v>
      </c>
    </row>
    <row r="10" spans="1:17" x14ac:dyDescent="0.25">
      <c r="A10" s="6" t="s">
        <v>25</v>
      </c>
      <c r="B10" s="30">
        <f>'annexes salaires (2)'!E17</f>
        <v>633753.0784</v>
      </c>
      <c r="C10" s="8">
        <f t="shared" ref="C10:C33" si="0">B10/$B$6</f>
        <v>0.58496090440285353</v>
      </c>
      <c r="D10" s="28">
        <f>'annexes salaires (2)'!E17</f>
        <v>633753.0784</v>
      </c>
      <c r="E10" s="10">
        <f t="shared" ref="E10:E33" si="1">D10/$D$6</f>
        <v>0.44216692513974154</v>
      </c>
      <c r="G10" s="29"/>
      <c r="H10" t="s">
        <v>26</v>
      </c>
      <c r="J10">
        <v>773.04</v>
      </c>
      <c r="K10">
        <v>80</v>
      </c>
      <c r="L10" s="15">
        <f>+J10*K10</f>
        <v>61843.199999999997</v>
      </c>
    </row>
    <row r="11" spans="1:17" x14ac:dyDescent="0.25">
      <c r="A11" s="6" t="s">
        <v>27</v>
      </c>
      <c r="B11" s="30">
        <f>D11</f>
        <v>26845</v>
      </c>
      <c r="C11" s="8">
        <f t="shared" si="0"/>
        <v>2.4778223591970176E-2</v>
      </c>
      <c r="D11" s="28">
        <f>'annexes salaires (2)'!E32</f>
        <v>26845</v>
      </c>
      <c r="E11" s="10">
        <f t="shared" si="1"/>
        <v>1.8729646466323753E-2</v>
      </c>
      <c r="F11" s="29"/>
      <c r="H11" t="s">
        <v>28</v>
      </c>
    </row>
    <row r="12" spans="1:17" x14ac:dyDescent="0.25">
      <c r="A12" s="6" t="s">
        <v>29</v>
      </c>
      <c r="B12" s="30">
        <f>'annexes salaires (2)'!N17</f>
        <v>44179.199999999997</v>
      </c>
      <c r="C12" s="8">
        <f t="shared" si="0"/>
        <v>4.0777876539928058E-2</v>
      </c>
      <c r="D12" s="28">
        <f>'annexes salaires (2)'!N17</f>
        <v>44179.199999999997</v>
      </c>
      <c r="E12" s="10">
        <f t="shared" si="1"/>
        <v>3.082364675600709E-2</v>
      </c>
      <c r="F12" s="29"/>
      <c r="H12" t="s">
        <v>30</v>
      </c>
    </row>
    <row r="13" spans="1:17" x14ac:dyDescent="0.25">
      <c r="A13" s="6" t="s">
        <v>31</v>
      </c>
      <c r="B13" s="7">
        <v>8000</v>
      </c>
      <c r="C13" s="8">
        <f t="shared" si="0"/>
        <v>7.3840860024496704E-3</v>
      </c>
      <c r="D13" s="28">
        <v>8000</v>
      </c>
      <c r="E13" s="10">
        <f t="shared" si="1"/>
        <v>5.5815672091856974E-3</v>
      </c>
      <c r="H13" t="s">
        <v>32</v>
      </c>
    </row>
    <row r="14" spans="1:17" x14ac:dyDescent="0.25">
      <c r="A14" s="6" t="s">
        <v>33</v>
      </c>
      <c r="B14" s="7">
        <v>600</v>
      </c>
      <c r="C14" s="8">
        <f t="shared" si="0"/>
        <v>5.5380645018372526E-4</v>
      </c>
      <c r="D14" s="28">
        <v>600</v>
      </c>
      <c r="E14" s="10">
        <f t="shared" si="1"/>
        <v>4.1861754068892726E-4</v>
      </c>
      <c r="H14" t="s">
        <v>34</v>
      </c>
      <c r="L14" s="15">
        <v>-70000</v>
      </c>
      <c r="N14" s="30"/>
    </row>
    <row r="15" spans="1:17" x14ac:dyDescent="0.25">
      <c r="A15" s="6" t="s">
        <v>35</v>
      </c>
      <c r="B15" s="7">
        <v>11500</v>
      </c>
      <c r="C15" s="8">
        <f t="shared" si="0"/>
        <v>1.0614623628521402E-2</v>
      </c>
      <c r="D15" s="28">
        <v>11500</v>
      </c>
      <c r="E15" s="10">
        <f t="shared" si="1"/>
        <v>8.0235028632044385E-3</v>
      </c>
      <c r="I15" s="11"/>
      <c r="J15" s="11" t="s">
        <v>36</v>
      </c>
      <c r="K15" s="11"/>
      <c r="L15" s="31">
        <f>SUM(L8:L14)</f>
        <v>332965.39999999997</v>
      </c>
      <c r="N15" s="30"/>
    </row>
    <row r="16" spans="1:17" x14ac:dyDescent="0.25">
      <c r="A16" s="6" t="s">
        <v>37</v>
      </c>
      <c r="B16" s="7">
        <v>20000</v>
      </c>
      <c r="C16" s="8">
        <f t="shared" si="0"/>
        <v>1.8460215006124176E-2</v>
      </c>
      <c r="D16" s="28">
        <v>20000</v>
      </c>
      <c r="E16" s="10">
        <f t="shared" si="1"/>
        <v>1.3953918022964243E-2</v>
      </c>
      <c r="N16" s="30"/>
    </row>
    <row r="17" spans="1:14" x14ac:dyDescent="0.25">
      <c r="A17" s="6" t="s">
        <v>38</v>
      </c>
      <c r="B17" s="7">
        <v>5000</v>
      </c>
      <c r="C17" s="8">
        <f t="shared" si="0"/>
        <v>4.615053751531044E-3</v>
      </c>
      <c r="D17" s="28">
        <v>5000</v>
      </c>
      <c r="E17" s="10">
        <f t="shared" si="1"/>
        <v>3.4884795057410606E-3</v>
      </c>
      <c r="N17" s="30"/>
    </row>
    <row r="18" spans="1:14" x14ac:dyDescent="0.25">
      <c r="A18" s="6" t="s">
        <v>39</v>
      </c>
      <c r="B18" s="7">
        <v>6000</v>
      </c>
      <c r="C18" s="8">
        <f t="shared" si="0"/>
        <v>5.5380645018372528E-3</v>
      </c>
      <c r="D18" s="28">
        <v>6000</v>
      </c>
      <c r="E18" s="10">
        <f t="shared" si="1"/>
        <v>4.1861754068892726E-3</v>
      </c>
    </row>
    <row r="19" spans="1:14" x14ac:dyDescent="0.25">
      <c r="A19" s="6" t="s">
        <v>40</v>
      </c>
      <c r="B19" s="7">
        <v>6000</v>
      </c>
      <c r="C19" s="8">
        <f t="shared" si="0"/>
        <v>5.5380645018372528E-3</v>
      </c>
      <c r="D19" s="28">
        <v>6000</v>
      </c>
      <c r="E19" s="10">
        <f t="shared" si="1"/>
        <v>4.1861754068892726E-3</v>
      </c>
      <c r="N19" s="30"/>
    </row>
    <row r="20" spans="1:14" x14ac:dyDescent="0.25">
      <c r="A20" s="6" t="s">
        <v>41</v>
      </c>
      <c r="B20" s="7">
        <v>100</v>
      </c>
      <c r="C20" s="8">
        <f t="shared" si="0"/>
        <v>9.2301075030620886E-5</v>
      </c>
      <c r="D20" s="28">
        <v>100</v>
      </c>
      <c r="E20" s="10">
        <f t="shared" si="1"/>
        <v>6.9769590114821214E-5</v>
      </c>
    </row>
    <row r="21" spans="1:14" x14ac:dyDescent="0.25">
      <c r="A21" s="6" t="s">
        <v>42</v>
      </c>
      <c r="B21" s="7">
        <v>4000</v>
      </c>
      <c r="C21" s="8">
        <f t="shared" si="0"/>
        <v>3.6920430012248352E-3</v>
      </c>
      <c r="D21" s="28">
        <v>4000</v>
      </c>
      <c r="E21" s="10">
        <f t="shared" si="1"/>
        <v>2.7907836045928487E-3</v>
      </c>
      <c r="F21" t="s">
        <v>83</v>
      </c>
    </row>
    <row r="22" spans="1:14" x14ac:dyDescent="0.25">
      <c r="A22" s="6" t="s">
        <v>43</v>
      </c>
      <c r="B22" s="7">
        <f>K23*K22</f>
        <v>104400</v>
      </c>
      <c r="C22" s="8">
        <f t="shared" si="0"/>
        <v>9.6362322331968203E-2</v>
      </c>
      <c r="D22" s="28">
        <f>+K23*K22</f>
        <v>104400</v>
      </c>
      <c r="E22" s="10">
        <f t="shared" si="1"/>
        <v>7.2839452079873343E-2</v>
      </c>
      <c r="F22" t="s">
        <v>44</v>
      </c>
      <c r="G22" t="s">
        <v>45</v>
      </c>
      <c r="H22">
        <v>80</v>
      </c>
      <c r="I22" s="11">
        <v>261</v>
      </c>
      <c r="J22" t="s">
        <v>46</v>
      </c>
      <c r="K22">
        <f>+H22*I22</f>
        <v>20880</v>
      </c>
    </row>
    <row r="23" spans="1:14" x14ac:dyDescent="0.25">
      <c r="A23" s="6" t="s">
        <v>47</v>
      </c>
      <c r="B23" s="7">
        <v>5000</v>
      </c>
      <c r="C23" s="8">
        <f t="shared" si="0"/>
        <v>4.615053751531044E-3</v>
      </c>
      <c r="D23" s="28">
        <v>0</v>
      </c>
      <c r="E23" s="10">
        <f t="shared" si="1"/>
        <v>0</v>
      </c>
      <c r="I23" t="s">
        <v>48</v>
      </c>
      <c r="K23" s="15">
        <v>5</v>
      </c>
    </row>
    <row r="24" spans="1:14" x14ac:dyDescent="0.25">
      <c r="A24" s="6" t="s">
        <v>49</v>
      </c>
      <c r="B24" s="30">
        <v>16000</v>
      </c>
      <c r="C24" s="8">
        <f t="shared" si="0"/>
        <v>1.4768172004899341E-2</v>
      </c>
      <c r="D24" s="28">
        <v>20000</v>
      </c>
      <c r="E24" s="10">
        <f t="shared" si="1"/>
        <v>1.3953918022964243E-2</v>
      </c>
      <c r="H24" s="32"/>
    </row>
    <row r="25" spans="1:14" x14ac:dyDescent="0.25">
      <c r="A25" s="6" t="s">
        <v>50</v>
      </c>
      <c r="B25" s="7">
        <v>1200</v>
      </c>
      <c r="C25" s="8">
        <f t="shared" si="0"/>
        <v>1.1076129003674505E-3</v>
      </c>
      <c r="D25" s="28">
        <v>1200</v>
      </c>
      <c r="E25" s="10">
        <f t="shared" si="1"/>
        <v>8.3723508137785452E-4</v>
      </c>
      <c r="K25" s="15"/>
    </row>
    <row r="26" spans="1:14" x14ac:dyDescent="0.25">
      <c r="A26" s="6" t="s">
        <v>51</v>
      </c>
      <c r="B26" s="7">
        <v>180000</v>
      </c>
      <c r="C26" s="8">
        <f t="shared" si="0"/>
        <v>0.1661419350551176</v>
      </c>
      <c r="D26" s="28">
        <v>180000</v>
      </c>
      <c r="E26" s="10">
        <f t="shared" si="1"/>
        <v>0.12558526220667818</v>
      </c>
    </row>
    <row r="27" spans="1:14" x14ac:dyDescent="0.25">
      <c r="A27" s="6" t="s">
        <v>52</v>
      </c>
      <c r="B27" s="7">
        <v>6000</v>
      </c>
      <c r="C27" s="8">
        <f t="shared" si="0"/>
        <v>5.5380645018372528E-3</v>
      </c>
      <c r="D27" s="28">
        <v>6000</v>
      </c>
      <c r="E27" s="10">
        <f t="shared" si="1"/>
        <v>4.1861754068892726E-3</v>
      </c>
    </row>
    <row r="28" spans="1:14" x14ac:dyDescent="0.25">
      <c r="A28" s="6" t="s">
        <v>53</v>
      </c>
      <c r="B28" s="7">
        <v>4500</v>
      </c>
      <c r="C28" s="8">
        <f t="shared" si="0"/>
        <v>4.1535483763779401E-3</v>
      </c>
      <c r="D28" s="28">
        <v>4500</v>
      </c>
      <c r="E28" s="10">
        <f t="shared" si="1"/>
        <v>3.1396315551669544E-3</v>
      </c>
    </row>
    <row r="29" spans="1:14" x14ac:dyDescent="0.25">
      <c r="A29" s="6" t="s">
        <v>54</v>
      </c>
      <c r="B29" s="30">
        <v>5000</v>
      </c>
      <c r="C29" s="8">
        <f t="shared" si="0"/>
        <v>4.615053751531044E-3</v>
      </c>
      <c r="D29" s="9">
        <v>5000</v>
      </c>
      <c r="E29" s="10">
        <f t="shared" si="1"/>
        <v>3.4884795057410606E-3</v>
      </c>
    </row>
    <row r="30" spans="1:14" x14ac:dyDescent="0.25">
      <c r="A30" s="20" t="s">
        <v>55</v>
      </c>
      <c r="B30" s="16">
        <f>SUM(B10:B29)</f>
        <v>1088077.2784</v>
      </c>
      <c r="C30" s="17">
        <f t="shared" si="0"/>
        <v>1.0043070251271216</v>
      </c>
      <c r="D30" s="18">
        <f>SUM(D10:D29)</f>
        <v>1087077.2784</v>
      </c>
      <c r="E30" s="19">
        <f t="shared" si="1"/>
        <v>0.7584493613710338</v>
      </c>
      <c r="F30" s="7"/>
      <c r="G30" s="7"/>
    </row>
    <row r="31" spans="1:14" x14ac:dyDescent="0.25">
      <c r="A31" s="6" t="s">
        <v>56</v>
      </c>
      <c r="B31" s="7">
        <f>B8-B30</f>
        <v>-4666.2783999999519</v>
      </c>
      <c r="C31" s="8">
        <f t="shared" si="0"/>
        <v>-4.3070251271216109E-3</v>
      </c>
      <c r="D31" s="9">
        <f>D8-D30</f>
        <v>346211.9216</v>
      </c>
      <c r="E31" s="10">
        <f t="shared" si="1"/>
        <v>0.24155063862896617</v>
      </c>
    </row>
    <row r="32" spans="1:14" x14ac:dyDescent="0.25">
      <c r="A32" s="6" t="s">
        <v>57</v>
      </c>
      <c r="B32" s="7">
        <f>IF(B31&lt;0,0,B31*19%)</f>
        <v>0</v>
      </c>
      <c r="C32" s="8">
        <f t="shared" si="0"/>
        <v>0</v>
      </c>
      <c r="D32" s="9">
        <f>IF(D31&lt;0,0,D31*19%)</f>
        <v>65780.265104000006</v>
      </c>
      <c r="E32" s="10">
        <f t="shared" si="1"/>
        <v>4.5894621339503575E-2</v>
      </c>
    </row>
    <row r="33" spans="1:13" x14ac:dyDescent="0.25">
      <c r="A33" s="22" t="s">
        <v>58</v>
      </c>
      <c r="B33" s="7">
        <f>B31-B32</f>
        <v>-4666.2783999999519</v>
      </c>
      <c r="C33" s="8">
        <f t="shared" si="0"/>
        <v>-4.3070251271216109E-3</v>
      </c>
      <c r="D33" s="9">
        <f>D31-D32</f>
        <v>280431.65649600001</v>
      </c>
      <c r="E33" s="10">
        <f t="shared" si="1"/>
        <v>0.19565601728946261</v>
      </c>
    </row>
    <row r="34" spans="1:13" ht="15.75" thickBot="1" x14ac:dyDescent="0.3">
      <c r="A34" s="25" t="s">
        <v>59</v>
      </c>
      <c r="B34" s="26">
        <f>B33/B6</f>
        <v>-4.3070251271216109E-3</v>
      </c>
      <c r="C34" s="27"/>
      <c r="D34" s="26">
        <f>D33/D6</f>
        <v>0.19565601728946261</v>
      </c>
      <c r="E34" s="27"/>
    </row>
    <row r="35" spans="1:13" ht="15.75" thickBot="1" x14ac:dyDescent="0.3">
      <c r="A35" s="33"/>
      <c r="B35" s="34"/>
      <c r="C35" s="35"/>
      <c r="D35" s="34"/>
      <c r="E35" s="35"/>
    </row>
    <row r="36" spans="1:13" x14ac:dyDescent="0.25">
      <c r="A36" s="36"/>
      <c r="B36" s="37" t="str">
        <f>B2</f>
        <v>Garderie non-Subventionnée</v>
      </c>
      <c r="C36" s="38"/>
      <c r="D36" s="37" t="str">
        <f>D2</f>
        <v xml:space="preserve"> Garderie  Subventionnée</v>
      </c>
      <c r="E36" s="38"/>
      <c r="K36" s="39"/>
      <c r="M36" s="8"/>
    </row>
    <row r="37" spans="1:13" x14ac:dyDescent="0.25">
      <c r="A37" s="6" t="s">
        <v>60</v>
      </c>
      <c r="B37" s="40">
        <f>B33+B29+B32</f>
        <v>333.72160000004806</v>
      </c>
      <c r="C37" s="41"/>
      <c r="D37" s="40">
        <f>D33+D29+D32</f>
        <v>351211.9216</v>
      </c>
      <c r="E37" s="41"/>
      <c r="K37" s="39"/>
      <c r="M37" s="8"/>
    </row>
    <row r="38" spans="1:13" ht="15.75" thickBot="1" x14ac:dyDescent="0.3">
      <c r="A38" s="42"/>
      <c r="B38" s="43"/>
      <c r="C38" s="44"/>
      <c r="D38" s="43"/>
      <c r="E38" s="44"/>
    </row>
    <row r="39" spans="1:13" x14ac:dyDescent="0.25">
      <c r="B39" s="7"/>
      <c r="C39" s="7"/>
    </row>
    <row r="40" spans="1:13" x14ac:dyDescent="0.25">
      <c r="B40" s="7"/>
      <c r="C40" s="7"/>
    </row>
    <row r="41" spans="1:13" x14ac:dyDescent="0.25">
      <c r="B41" s="7"/>
      <c r="C41" s="7"/>
    </row>
    <row r="42" spans="1:13" x14ac:dyDescent="0.25">
      <c r="B42" s="7"/>
      <c r="C42" s="7"/>
    </row>
    <row r="43" spans="1:13" x14ac:dyDescent="0.25">
      <c r="B43" s="7"/>
      <c r="C43" s="7"/>
    </row>
    <row r="44" spans="1:13" x14ac:dyDescent="0.25">
      <c r="B44" s="7"/>
      <c r="C44" s="7"/>
    </row>
    <row r="45" spans="1:13" x14ac:dyDescent="0.25">
      <c r="B45" s="7"/>
      <c r="C45" s="7"/>
    </row>
    <row r="46" spans="1:13" x14ac:dyDescent="0.25">
      <c r="B46" s="7"/>
      <c r="C46" s="7"/>
    </row>
  </sheetData>
  <mergeCells count="13">
    <mergeCell ref="B37:C37"/>
    <mergeCell ref="D37:E37"/>
    <mergeCell ref="B38:C38"/>
    <mergeCell ref="D38:E38"/>
    <mergeCell ref="B34:C34"/>
    <mergeCell ref="D34:E34"/>
    <mergeCell ref="B36:C36"/>
    <mergeCell ref="D36:E36"/>
    <mergeCell ref="A1:E1"/>
    <mergeCell ref="B2:C2"/>
    <mergeCell ref="D2:E2"/>
    <mergeCell ref="B9:C9"/>
    <mergeCell ref="D9:E9"/>
  </mergeCells>
  <pageMargins left="0.7" right="0.7" top="0.75" bottom="0.75" header="0.3" footer="0.3"/>
  <pageSetup paperSize="168" scale="8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50E9-F1F0-4420-AC40-775A96D3C03B}">
  <dimension ref="A2:O32"/>
  <sheetViews>
    <sheetView workbookViewId="0">
      <selection activeCell="E39" sqref="E39"/>
    </sheetView>
  </sheetViews>
  <sheetFormatPr baseColWidth="10" defaultColWidth="10.85546875" defaultRowHeight="15" x14ac:dyDescent="0.25"/>
  <cols>
    <col min="1" max="1" width="19.5703125" customWidth="1"/>
    <col min="2" max="2" width="14.42578125" customWidth="1"/>
    <col min="3" max="3" width="15.85546875" customWidth="1"/>
    <col min="4" max="4" width="15" customWidth="1"/>
    <col min="5" max="5" width="15.85546875" customWidth="1"/>
    <col min="6" max="8" width="10.85546875" customWidth="1"/>
    <col min="9" max="9" width="13.140625" customWidth="1"/>
    <col min="10" max="10" width="14.5703125" customWidth="1"/>
    <col min="11" max="13" width="10.85546875" customWidth="1"/>
    <col min="14" max="14" width="13.28515625" customWidth="1"/>
    <col min="257" max="257" width="19.5703125" customWidth="1"/>
    <col min="258" max="258" width="14.42578125" customWidth="1"/>
    <col min="259" max="259" width="15.85546875" customWidth="1"/>
    <col min="260" max="260" width="15" customWidth="1"/>
    <col min="261" max="261" width="15.85546875" customWidth="1"/>
    <col min="265" max="265" width="13.140625" customWidth="1"/>
    <col min="266" max="266" width="14.5703125" customWidth="1"/>
    <col min="270" max="270" width="13.28515625" customWidth="1"/>
    <col min="513" max="513" width="19.5703125" customWidth="1"/>
    <col min="514" max="514" width="14.42578125" customWidth="1"/>
    <col min="515" max="515" width="15.85546875" customWidth="1"/>
    <col min="516" max="516" width="15" customWidth="1"/>
    <col min="517" max="517" width="15.85546875" customWidth="1"/>
    <col min="521" max="521" width="13.140625" customWidth="1"/>
    <col min="522" max="522" width="14.5703125" customWidth="1"/>
    <col min="526" max="526" width="13.28515625" customWidth="1"/>
    <col min="769" max="769" width="19.5703125" customWidth="1"/>
    <col min="770" max="770" width="14.42578125" customWidth="1"/>
    <col min="771" max="771" width="15.85546875" customWidth="1"/>
    <col min="772" max="772" width="15" customWidth="1"/>
    <col min="773" max="773" width="15.85546875" customWidth="1"/>
    <col min="777" max="777" width="13.140625" customWidth="1"/>
    <col min="778" max="778" width="14.5703125" customWidth="1"/>
    <col min="782" max="782" width="13.28515625" customWidth="1"/>
    <col min="1025" max="1025" width="19.5703125" customWidth="1"/>
    <col min="1026" max="1026" width="14.42578125" customWidth="1"/>
    <col min="1027" max="1027" width="15.85546875" customWidth="1"/>
    <col min="1028" max="1028" width="15" customWidth="1"/>
    <col min="1029" max="1029" width="15.85546875" customWidth="1"/>
    <col min="1033" max="1033" width="13.140625" customWidth="1"/>
    <col min="1034" max="1034" width="14.5703125" customWidth="1"/>
    <col min="1038" max="1038" width="13.28515625" customWidth="1"/>
    <col min="1281" max="1281" width="19.5703125" customWidth="1"/>
    <col min="1282" max="1282" width="14.42578125" customWidth="1"/>
    <col min="1283" max="1283" width="15.85546875" customWidth="1"/>
    <col min="1284" max="1284" width="15" customWidth="1"/>
    <col min="1285" max="1285" width="15.85546875" customWidth="1"/>
    <col min="1289" max="1289" width="13.140625" customWidth="1"/>
    <col min="1290" max="1290" width="14.5703125" customWidth="1"/>
    <col min="1294" max="1294" width="13.28515625" customWidth="1"/>
    <col min="1537" max="1537" width="19.5703125" customWidth="1"/>
    <col min="1538" max="1538" width="14.42578125" customWidth="1"/>
    <col min="1539" max="1539" width="15.85546875" customWidth="1"/>
    <col min="1540" max="1540" width="15" customWidth="1"/>
    <col min="1541" max="1541" width="15.85546875" customWidth="1"/>
    <col min="1545" max="1545" width="13.140625" customWidth="1"/>
    <col min="1546" max="1546" width="14.5703125" customWidth="1"/>
    <col min="1550" max="1550" width="13.28515625" customWidth="1"/>
    <col min="1793" max="1793" width="19.5703125" customWidth="1"/>
    <col min="1794" max="1794" width="14.42578125" customWidth="1"/>
    <col min="1795" max="1795" width="15.85546875" customWidth="1"/>
    <col min="1796" max="1796" width="15" customWidth="1"/>
    <col min="1797" max="1797" width="15.85546875" customWidth="1"/>
    <col min="1801" max="1801" width="13.140625" customWidth="1"/>
    <col min="1802" max="1802" width="14.5703125" customWidth="1"/>
    <col min="1806" max="1806" width="13.28515625" customWidth="1"/>
    <col min="2049" max="2049" width="19.5703125" customWidth="1"/>
    <col min="2050" max="2050" width="14.42578125" customWidth="1"/>
    <col min="2051" max="2051" width="15.85546875" customWidth="1"/>
    <col min="2052" max="2052" width="15" customWidth="1"/>
    <col min="2053" max="2053" width="15.85546875" customWidth="1"/>
    <col min="2057" max="2057" width="13.140625" customWidth="1"/>
    <col min="2058" max="2058" width="14.5703125" customWidth="1"/>
    <col min="2062" max="2062" width="13.28515625" customWidth="1"/>
    <col min="2305" max="2305" width="19.5703125" customWidth="1"/>
    <col min="2306" max="2306" width="14.42578125" customWidth="1"/>
    <col min="2307" max="2307" width="15.85546875" customWidth="1"/>
    <col min="2308" max="2308" width="15" customWidth="1"/>
    <col min="2309" max="2309" width="15.85546875" customWidth="1"/>
    <col min="2313" max="2313" width="13.140625" customWidth="1"/>
    <col min="2314" max="2314" width="14.5703125" customWidth="1"/>
    <col min="2318" max="2318" width="13.28515625" customWidth="1"/>
    <col min="2561" max="2561" width="19.5703125" customWidth="1"/>
    <col min="2562" max="2562" width="14.42578125" customWidth="1"/>
    <col min="2563" max="2563" width="15.85546875" customWidth="1"/>
    <col min="2564" max="2564" width="15" customWidth="1"/>
    <col min="2565" max="2565" width="15.85546875" customWidth="1"/>
    <col min="2569" max="2569" width="13.140625" customWidth="1"/>
    <col min="2570" max="2570" width="14.5703125" customWidth="1"/>
    <col min="2574" max="2574" width="13.28515625" customWidth="1"/>
    <col min="2817" max="2817" width="19.5703125" customWidth="1"/>
    <col min="2818" max="2818" width="14.42578125" customWidth="1"/>
    <col min="2819" max="2819" width="15.85546875" customWidth="1"/>
    <col min="2820" max="2820" width="15" customWidth="1"/>
    <col min="2821" max="2821" width="15.85546875" customWidth="1"/>
    <col min="2825" max="2825" width="13.140625" customWidth="1"/>
    <col min="2826" max="2826" width="14.5703125" customWidth="1"/>
    <col min="2830" max="2830" width="13.28515625" customWidth="1"/>
    <col min="3073" max="3073" width="19.5703125" customWidth="1"/>
    <col min="3074" max="3074" width="14.42578125" customWidth="1"/>
    <col min="3075" max="3075" width="15.85546875" customWidth="1"/>
    <col min="3076" max="3076" width="15" customWidth="1"/>
    <col min="3077" max="3077" width="15.85546875" customWidth="1"/>
    <col min="3081" max="3081" width="13.140625" customWidth="1"/>
    <col min="3082" max="3082" width="14.5703125" customWidth="1"/>
    <col min="3086" max="3086" width="13.28515625" customWidth="1"/>
    <col min="3329" max="3329" width="19.5703125" customWidth="1"/>
    <col min="3330" max="3330" width="14.42578125" customWidth="1"/>
    <col min="3331" max="3331" width="15.85546875" customWidth="1"/>
    <col min="3332" max="3332" width="15" customWidth="1"/>
    <col min="3333" max="3333" width="15.85546875" customWidth="1"/>
    <col min="3337" max="3337" width="13.140625" customWidth="1"/>
    <col min="3338" max="3338" width="14.5703125" customWidth="1"/>
    <col min="3342" max="3342" width="13.28515625" customWidth="1"/>
    <col min="3585" max="3585" width="19.5703125" customWidth="1"/>
    <col min="3586" max="3586" width="14.42578125" customWidth="1"/>
    <col min="3587" max="3587" width="15.85546875" customWidth="1"/>
    <col min="3588" max="3588" width="15" customWidth="1"/>
    <col min="3589" max="3589" width="15.85546875" customWidth="1"/>
    <col min="3593" max="3593" width="13.140625" customWidth="1"/>
    <col min="3594" max="3594" width="14.5703125" customWidth="1"/>
    <col min="3598" max="3598" width="13.28515625" customWidth="1"/>
    <col min="3841" max="3841" width="19.5703125" customWidth="1"/>
    <col min="3842" max="3842" width="14.42578125" customWidth="1"/>
    <col min="3843" max="3843" width="15.85546875" customWidth="1"/>
    <col min="3844" max="3844" width="15" customWidth="1"/>
    <col min="3845" max="3845" width="15.85546875" customWidth="1"/>
    <col min="3849" max="3849" width="13.140625" customWidth="1"/>
    <col min="3850" max="3850" width="14.5703125" customWidth="1"/>
    <col min="3854" max="3854" width="13.28515625" customWidth="1"/>
    <col min="4097" max="4097" width="19.5703125" customWidth="1"/>
    <col min="4098" max="4098" width="14.42578125" customWidth="1"/>
    <col min="4099" max="4099" width="15.85546875" customWidth="1"/>
    <col min="4100" max="4100" width="15" customWidth="1"/>
    <col min="4101" max="4101" width="15.85546875" customWidth="1"/>
    <col min="4105" max="4105" width="13.140625" customWidth="1"/>
    <col min="4106" max="4106" width="14.5703125" customWidth="1"/>
    <col min="4110" max="4110" width="13.28515625" customWidth="1"/>
    <col min="4353" max="4353" width="19.5703125" customWidth="1"/>
    <col min="4354" max="4354" width="14.42578125" customWidth="1"/>
    <col min="4355" max="4355" width="15.85546875" customWidth="1"/>
    <col min="4356" max="4356" width="15" customWidth="1"/>
    <col min="4357" max="4357" width="15.85546875" customWidth="1"/>
    <col min="4361" max="4361" width="13.140625" customWidth="1"/>
    <col min="4362" max="4362" width="14.5703125" customWidth="1"/>
    <col min="4366" max="4366" width="13.28515625" customWidth="1"/>
    <col min="4609" max="4609" width="19.5703125" customWidth="1"/>
    <col min="4610" max="4610" width="14.42578125" customWidth="1"/>
    <col min="4611" max="4611" width="15.85546875" customWidth="1"/>
    <col min="4612" max="4612" width="15" customWidth="1"/>
    <col min="4613" max="4613" width="15.85546875" customWidth="1"/>
    <col min="4617" max="4617" width="13.140625" customWidth="1"/>
    <col min="4618" max="4618" width="14.5703125" customWidth="1"/>
    <col min="4622" max="4622" width="13.28515625" customWidth="1"/>
    <col min="4865" max="4865" width="19.5703125" customWidth="1"/>
    <col min="4866" max="4866" width="14.42578125" customWidth="1"/>
    <col min="4867" max="4867" width="15.85546875" customWidth="1"/>
    <col min="4868" max="4868" width="15" customWidth="1"/>
    <col min="4869" max="4869" width="15.85546875" customWidth="1"/>
    <col min="4873" max="4873" width="13.140625" customWidth="1"/>
    <col min="4874" max="4874" width="14.5703125" customWidth="1"/>
    <col min="4878" max="4878" width="13.28515625" customWidth="1"/>
    <col min="5121" max="5121" width="19.5703125" customWidth="1"/>
    <col min="5122" max="5122" width="14.42578125" customWidth="1"/>
    <col min="5123" max="5123" width="15.85546875" customWidth="1"/>
    <col min="5124" max="5124" width="15" customWidth="1"/>
    <col min="5125" max="5125" width="15.85546875" customWidth="1"/>
    <col min="5129" max="5129" width="13.140625" customWidth="1"/>
    <col min="5130" max="5130" width="14.5703125" customWidth="1"/>
    <col min="5134" max="5134" width="13.28515625" customWidth="1"/>
    <col min="5377" max="5377" width="19.5703125" customWidth="1"/>
    <col min="5378" max="5378" width="14.42578125" customWidth="1"/>
    <col min="5379" max="5379" width="15.85546875" customWidth="1"/>
    <col min="5380" max="5380" width="15" customWidth="1"/>
    <col min="5381" max="5381" width="15.85546875" customWidth="1"/>
    <col min="5385" max="5385" width="13.140625" customWidth="1"/>
    <col min="5386" max="5386" width="14.5703125" customWidth="1"/>
    <col min="5390" max="5390" width="13.28515625" customWidth="1"/>
    <col min="5633" max="5633" width="19.5703125" customWidth="1"/>
    <col min="5634" max="5634" width="14.42578125" customWidth="1"/>
    <col min="5635" max="5635" width="15.85546875" customWidth="1"/>
    <col min="5636" max="5636" width="15" customWidth="1"/>
    <col min="5637" max="5637" width="15.85546875" customWidth="1"/>
    <col min="5641" max="5641" width="13.140625" customWidth="1"/>
    <col min="5642" max="5642" width="14.5703125" customWidth="1"/>
    <col min="5646" max="5646" width="13.28515625" customWidth="1"/>
    <col min="5889" max="5889" width="19.5703125" customWidth="1"/>
    <col min="5890" max="5890" width="14.42578125" customWidth="1"/>
    <col min="5891" max="5891" width="15.85546875" customWidth="1"/>
    <col min="5892" max="5892" width="15" customWidth="1"/>
    <col min="5893" max="5893" width="15.85546875" customWidth="1"/>
    <col min="5897" max="5897" width="13.140625" customWidth="1"/>
    <col min="5898" max="5898" width="14.5703125" customWidth="1"/>
    <col min="5902" max="5902" width="13.28515625" customWidth="1"/>
    <col min="6145" max="6145" width="19.5703125" customWidth="1"/>
    <col min="6146" max="6146" width="14.42578125" customWidth="1"/>
    <col min="6147" max="6147" width="15.85546875" customWidth="1"/>
    <col min="6148" max="6148" width="15" customWidth="1"/>
    <col min="6149" max="6149" width="15.85546875" customWidth="1"/>
    <col min="6153" max="6153" width="13.140625" customWidth="1"/>
    <col min="6154" max="6154" width="14.5703125" customWidth="1"/>
    <col min="6158" max="6158" width="13.28515625" customWidth="1"/>
    <col min="6401" max="6401" width="19.5703125" customWidth="1"/>
    <col min="6402" max="6402" width="14.42578125" customWidth="1"/>
    <col min="6403" max="6403" width="15.85546875" customWidth="1"/>
    <col min="6404" max="6404" width="15" customWidth="1"/>
    <col min="6405" max="6405" width="15.85546875" customWidth="1"/>
    <col min="6409" max="6409" width="13.140625" customWidth="1"/>
    <col min="6410" max="6410" width="14.5703125" customWidth="1"/>
    <col min="6414" max="6414" width="13.28515625" customWidth="1"/>
    <col min="6657" max="6657" width="19.5703125" customWidth="1"/>
    <col min="6658" max="6658" width="14.42578125" customWidth="1"/>
    <col min="6659" max="6659" width="15.85546875" customWidth="1"/>
    <col min="6660" max="6660" width="15" customWidth="1"/>
    <col min="6661" max="6661" width="15.85546875" customWidth="1"/>
    <col min="6665" max="6665" width="13.140625" customWidth="1"/>
    <col min="6666" max="6666" width="14.5703125" customWidth="1"/>
    <col min="6670" max="6670" width="13.28515625" customWidth="1"/>
    <col min="6913" max="6913" width="19.5703125" customWidth="1"/>
    <col min="6914" max="6914" width="14.42578125" customWidth="1"/>
    <col min="6915" max="6915" width="15.85546875" customWidth="1"/>
    <col min="6916" max="6916" width="15" customWidth="1"/>
    <col min="6917" max="6917" width="15.85546875" customWidth="1"/>
    <col min="6921" max="6921" width="13.140625" customWidth="1"/>
    <col min="6922" max="6922" width="14.5703125" customWidth="1"/>
    <col min="6926" max="6926" width="13.28515625" customWidth="1"/>
    <col min="7169" max="7169" width="19.5703125" customWidth="1"/>
    <col min="7170" max="7170" width="14.42578125" customWidth="1"/>
    <col min="7171" max="7171" width="15.85546875" customWidth="1"/>
    <col min="7172" max="7172" width="15" customWidth="1"/>
    <col min="7173" max="7173" width="15.85546875" customWidth="1"/>
    <col min="7177" max="7177" width="13.140625" customWidth="1"/>
    <col min="7178" max="7178" width="14.5703125" customWidth="1"/>
    <col min="7182" max="7182" width="13.28515625" customWidth="1"/>
    <col min="7425" max="7425" width="19.5703125" customWidth="1"/>
    <col min="7426" max="7426" width="14.42578125" customWidth="1"/>
    <col min="7427" max="7427" width="15.85546875" customWidth="1"/>
    <col min="7428" max="7428" width="15" customWidth="1"/>
    <col min="7429" max="7429" width="15.85546875" customWidth="1"/>
    <col min="7433" max="7433" width="13.140625" customWidth="1"/>
    <col min="7434" max="7434" width="14.5703125" customWidth="1"/>
    <col min="7438" max="7438" width="13.28515625" customWidth="1"/>
    <col min="7681" max="7681" width="19.5703125" customWidth="1"/>
    <col min="7682" max="7682" width="14.42578125" customWidth="1"/>
    <col min="7683" max="7683" width="15.85546875" customWidth="1"/>
    <col min="7684" max="7684" width="15" customWidth="1"/>
    <col min="7685" max="7685" width="15.85546875" customWidth="1"/>
    <col min="7689" max="7689" width="13.140625" customWidth="1"/>
    <col min="7690" max="7690" width="14.5703125" customWidth="1"/>
    <col min="7694" max="7694" width="13.28515625" customWidth="1"/>
    <col min="7937" max="7937" width="19.5703125" customWidth="1"/>
    <col min="7938" max="7938" width="14.42578125" customWidth="1"/>
    <col min="7939" max="7939" width="15.85546875" customWidth="1"/>
    <col min="7940" max="7940" width="15" customWidth="1"/>
    <col min="7941" max="7941" width="15.85546875" customWidth="1"/>
    <col min="7945" max="7945" width="13.140625" customWidth="1"/>
    <col min="7946" max="7946" width="14.5703125" customWidth="1"/>
    <col min="7950" max="7950" width="13.28515625" customWidth="1"/>
    <col min="8193" max="8193" width="19.5703125" customWidth="1"/>
    <col min="8194" max="8194" width="14.42578125" customWidth="1"/>
    <col min="8195" max="8195" width="15.85546875" customWidth="1"/>
    <col min="8196" max="8196" width="15" customWidth="1"/>
    <col min="8197" max="8197" width="15.85546875" customWidth="1"/>
    <col min="8201" max="8201" width="13.140625" customWidth="1"/>
    <col min="8202" max="8202" width="14.5703125" customWidth="1"/>
    <col min="8206" max="8206" width="13.28515625" customWidth="1"/>
    <col min="8449" max="8449" width="19.5703125" customWidth="1"/>
    <col min="8450" max="8450" width="14.42578125" customWidth="1"/>
    <col min="8451" max="8451" width="15.85546875" customWidth="1"/>
    <col min="8452" max="8452" width="15" customWidth="1"/>
    <col min="8453" max="8453" width="15.85546875" customWidth="1"/>
    <col min="8457" max="8457" width="13.140625" customWidth="1"/>
    <col min="8458" max="8458" width="14.5703125" customWidth="1"/>
    <col min="8462" max="8462" width="13.28515625" customWidth="1"/>
    <col min="8705" max="8705" width="19.5703125" customWidth="1"/>
    <col min="8706" max="8706" width="14.42578125" customWidth="1"/>
    <col min="8707" max="8707" width="15.85546875" customWidth="1"/>
    <col min="8708" max="8708" width="15" customWidth="1"/>
    <col min="8709" max="8709" width="15.85546875" customWidth="1"/>
    <col min="8713" max="8713" width="13.140625" customWidth="1"/>
    <col min="8714" max="8714" width="14.5703125" customWidth="1"/>
    <col min="8718" max="8718" width="13.28515625" customWidth="1"/>
    <col min="8961" max="8961" width="19.5703125" customWidth="1"/>
    <col min="8962" max="8962" width="14.42578125" customWidth="1"/>
    <col min="8963" max="8963" width="15.85546875" customWidth="1"/>
    <col min="8964" max="8964" width="15" customWidth="1"/>
    <col min="8965" max="8965" width="15.85546875" customWidth="1"/>
    <col min="8969" max="8969" width="13.140625" customWidth="1"/>
    <col min="8970" max="8970" width="14.5703125" customWidth="1"/>
    <col min="8974" max="8974" width="13.28515625" customWidth="1"/>
    <col min="9217" max="9217" width="19.5703125" customWidth="1"/>
    <col min="9218" max="9218" width="14.42578125" customWidth="1"/>
    <col min="9219" max="9219" width="15.85546875" customWidth="1"/>
    <col min="9220" max="9220" width="15" customWidth="1"/>
    <col min="9221" max="9221" width="15.85546875" customWidth="1"/>
    <col min="9225" max="9225" width="13.140625" customWidth="1"/>
    <col min="9226" max="9226" width="14.5703125" customWidth="1"/>
    <col min="9230" max="9230" width="13.28515625" customWidth="1"/>
    <col min="9473" max="9473" width="19.5703125" customWidth="1"/>
    <col min="9474" max="9474" width="14.42578125" customWidth="1"/>
    <col min="9475" max="9475" width="15.85546875" customWidth="1"/>
    <col min="9476" max="9476" width="15" customWidth="1"/>
    <col min="9477" max="9477" width="15.85546875" customWidth="1"/>
    <col min="9481" max="9481" width="13.140625" customWidth="1"/>
    <col min="9482" max="9482" width="14.5703125" customWidth="1"/>
    <col min="9486" max="9486" width="13.28515625" customWidth="1"/>
    <col min="9729" max="9729" width="19.5703125" customWidth="1"/>
    <col min="9730" max="9730" width="14.42578125" customWidth="1"/>
    <col min="9731" max="9731" width="15.85546875" customWidth="1"/>
    <col min="9732" max="9732" width="15" customWidth="1"/>
    <col min="9733" max="9733" width="15.85546875" customWidth="1"/>
    <col min="9737" max="9737" width="13.140625" customWidth="1"/>
    <col min="9738" max="9738" width="14.5703125" customWidth="1"/>
    <col min="9742" max="9742" width="13.28515625" customWidth="1"/>
    <col min="9985" max="9985" width="19.5703125" customWidth="1"/>
    <col min="9986" max="9986" width="14.42578125" customWidth="1"/>
    <col min="9987" max="9987" width="15.85546875" customWidth="1"/>
    <col min="9988" max="9988" width="15" customWidth="1"/>
    <col min="9989" max="9989" width="15.85546875" customWidth="1"/>
    <col min="9993" max="9993" width="13.140625" customWidth="1"/>
    <col min="9994" max="9994" width="14.5703125" customWidth="1"/>
    <col min="9998" max="9998" width="13.28515625" customWidth="1"/>
    <col min="10241" max="10241" width="19.5703125" customWidth="1"/>
    <col min="10242" max="10242" width="14.42578125" customWidth="1"/>
    <col min="10243" max="10243" width="15.85546875" customWidth="1"/>
    <col min="10244" max="10244" width="15" customWidth="1"/>
    <col min="10245" max="10245" width="15.85546875" customWidth="1"/>
    <col min="10249" max="10249" width="13.140625" customWidth="1"/>
    <col min="10250" max="10250" width="14.5703125" customWidth="1"/>
    <col min="10254" max="10254" width="13.28515625" customWidth="1"/>
    <col min="10497" max="10497" width="19.5703125" customWidth="1"/>
    <col min="10498" max="10498" width="14.42578125" customWidth="1"/>
    <col min="10499" max="10499" width="15.85546875" customWidth="1"/>
    <col min="10500" max="10500" width="15" customWidth="1"/>
    <col min="10501" max="10501" width="15.85546875" customWidth="1"/>
    <col min="10505" max="10505" width="13.140625" customWidth="1"/>
    <col min="10506" max="10506" width="14.5703125" customWidth="1"/>
    <col min="10510" max="10510" width="13.28515625" customWidth="1"/>
    <col min="10753" max="10753" width="19.5703125" customWidth="1"/>
    <col min="10754" max="10754" width="14.42578125" customWidth="1"/>
    <col min="10755" max="10755" width="15.85546875" customWidth="1"/>
    <col min="10756" max="10756" width="15" customWidth="1"/>
    <col min="10757" max="10757" width="15.85546875" customWidth="1"/>
    <col min="10761" max="10761" width="13.140625" customWidth="1"/>
    <col min="10762" max="10762" width="14.5703125" customWidth="1"/>
    <col min="10766" max="10766" width="13.28515625" customWidth="1"/>
    <col min="11009" max="11009" width="19.5703125" customWidth="1"/>
    <col min="11010" max="11010" width="14.42578125" customWidth="1"/>
    <col min="11011" max="11011" width="15.85546875" customWidth="1"/>
    <col min="11012" max="11012" width="15" customWidth="1"/>
    <col min="11013" max="11013" width="15.85546875" customWidth="1"/>
    <col min="11017" max="11017" width="13.140625" customWidth="1"/>
    <col min="11018" max="11018" width="14.5703125" customWidth="1"/>
    <col min="11022" max="11022" width="13.28515625" customWidth="1"/>
    <col min="11265" max="11265" width="19.5703125" customWidth="1"/>
    <col min="11266" max="11266" width="14.42578125" customWidth="1"/>
    <col min="11267" max="11267" width="15.85546875" customWidth="1"/>
    <col min="11268" max="11268" width="15" customWidth="1"/>
    <col min="11269" max="11269" width="15.85546875" customWidth="1"/>
    <col min="11273" max="11273" width="13.140625" customWidth="1"/>
    <col min="11274" max="11274" width="14.5703125" customWidth="1"/>
    <col min="11278" max="11278" width="13.28515625" customWidth="1"/>
    <col min="11521" max="11521" width="19.5703125" customWidth="1"/>
    <col min="11522" max="11522" width="14.42578125" customWidth="1"/>
    <col min="11523" max="11523" width="15.85546875" customWidth="1"/>
    <col min="11524" max="11524" width="15" customWidth="1"/>
    <col min="11525" max="11525" width="15.85546875" customWidth="1"/>
    <col min="11529" max="11529" width="13.140625" customWidth="1"/>
    <col min="11530" max="11530" width="14.5703125" customWidth="1"/>
    <col min="11534" max="11534" width="13.28515625" customWidth="1"/>
    <col min="11777" max="11777" width="19.5703125" customWidth="1"/>
    <col min="11778" max="11778" width="14.42578125" customWidth="1"/>
    <col min="11779" max="11779" width="15.85546875" customWidth="1"/>
    <col min="11780" max="11780" width="15" customWidth="1"/>
    <col min="11781" max="11781" width="15.85546875" customWidth="1"/>
    <col min="11785" max="11785" width="13.140625" customWidth="1"/>
    <col min="11786" max="11786" width="14.5703125" customWidth="1"/>
    <col min="11790" max="11790" width="13.28515625" customWidth="1"/>
    <col min="12033" max="12033" width="19.5703125" customWidth="1"/>
    <col min="12034" max="12034" width="14.42578125" customWidth="1"/>
    <col min="12035" max="12035" width="15.85546875" customWidth="1"/>
    <col min="12036" max="12036" width="15" customWidth="1"/>
    <col min="12037" max="12037" width="15.85546875" customWidth="1"/>
    <col min="12041" max="12041" width="13.140625" customWidth="1"/>
    <col min="12042" max="12042" width="14.5703125" customWidth="1"/>
    <col min="12046" max="12046" width="13.28515625" customWidth="1"/>
    <col min="12289" max="12289" width="19.5703125" customWidth="1"/>
    <col min="12290" max="12290" width="14.42578125" customWidth="1"/>
    <col min="12291" max="12291" width="15.85546875" customWidth="1"/>
    <col min="12292" max="12292" width="15" customWidth="1"/>
    <col min="12293" max="12293" width="15.85546875" customWidth="1"/>
    <col min="12297" max="12297" width="13.140625" customWidth="1"/>
    <col min="12298" max="12298" width="14.5703125" customWidth="1"/>
    <col min="12302" max="12302" width="13.28515625" customWidth="1"/>
    <col min="12545" max="12545" width="19.5703125" customWidth="1"/>
    <col min="12546" max="12546" width="14.42578125" customWidth="1"/>
    <col min="12547" max="12547" width="15.85546875" customWidth="1"/>
    <col min="12548" max="12548" width="15" customWidth="1"/>
    <col min="12549" max="12549" width="15.85546875" customWidth="1"/>
    <col min="12553" max="12553" width="13.140625" customWidth="1"/>
    <col min="12554" max="12554" width="14.5703125" customWidth="1"/>
    <col min="12558" max="12558" width="13.28515625" customWidth="1"/>
    <col min="12801" max="12801" width="19.5703125" customWidth="1"/>
    <col min="12802" max="12802" width="14.42578125" customWidth="1"/>
    <col min="12803" max="12803" width="15.85546875" customWidth="1"/>
    <col min="12804" max="12804" width="15" customWidth="1"/>
    <col min="12805" max="12805" width="15.85546875" customWidth="1"/>
    <col min="12809" max="12809" width="13.140625" customWidth="1"/>
    <col min="12810" max="12810" width="14.5703125" customWidth="1"/>
    <col min="12814" max="12814" width="13.28515625" customWidth="1"/>
    <col min="13057" max="13057" width="19.5703125" customWidth="1"/>
    <col min="13058" max="13058" width="14.42578125" customWidth="1"/>
    <col min="13059" max="13059" width="15.85546875" customWidth="1"/>
    <col min="13060" max="13060" width="15" customWidth="1"/>
    <col min="13061" max="13061" width="15.85546875" customWidth="1"/>
    <col min="13065" max="13065" width="13.140625" customWidth="1"/>
    <col min="13066" max="13066" width="14.5703125" customWidth="1"/>
    <col min="13070" max="13070" width="13.28515625" customWidth="1"/>
    <col min="13313" max="13313" width="19.5703125" customWidth="1"/>
    <col min="13314" max="13314" width="14.42578125" customWidth="1"/>
    <col min="13315" max="13315" width="15.85546875" customWidth="1"/>
    <col min="13316" max="13316" width="15" customWidth="1"/>
    <col min="13317" max="13317" width="15.85546875" customWidth="1"/>
    <col min="13321" max="13321" width="13.140625" customWidth="1"/>
    <col min="13322" max="13322" width="14.5703125" customWidth="1"/>
    <col min="13326" max="13326" width="13.28515625" customWidth="1"/>
    <col min="13569" max="13569" width="19.5703125" customWidth="1"/>
    <col min="13570" max="13570" width="14.42578125" customWidth="1"/>
    <col min="13571" max="13571" width="15.85546875" customWidth="1"/>
    <col min="13572" max="13572" width="15" customWidth="1"/>
    <col min="13573" max="13573" width="15.85546875" customWidth="1"/>
    <col min="13577" max="13577" width="13.140625" customWidth="1"/>
    <col min="13578" max="13578" width="14.5703125" customWidth="1"/>
    <col min="13582" max="13582" width="13.28515625" customWidth="1"/>
    <col min="13825" max="13825" width="19.5703125" customWidth="1"/>
    <col min="13826" max="13826" width="14.42578125" customWidth="1"/>
    <col min="13827" max="13827" width="15.85546875" customWidth="1"/>
    <col min="13828" max="13828" width="15" customWidth="1"/>
    <col min="13829" max="13829" width="15.85546875" customWidth="1"/>
    <col min="13833" max="13833" width="13.140625" customWidth="1"/>
    <col min="13834" max="13834" width="14.5703125" customWidth="1"/>
    <col min="13838" max="13838" width="13.28515625" customWidth="1"/>
    <col min="14081" max="14081" width="19.5703125" customWidth="1"/>
    <col min="14082" max="14082" width="14.42578125" customWidth="1"/>
    <col min="14083" max="14083" width="15.85546875" customWidth="1"/>
    <col min="14084" max="14084" width="15" customWidth="1"/>
    <col min="14085" max="14085" width="15.85546875" customWidth="1"/>
    <col min="14089" max="14089" width="13.140625" customWidth="1"/>
    <col min="14090" max="14090" width="14.5703125" customWidth="1"/>
    <col min="14094" max="14094" width="13.28515625" customWidth="1"/>
    <col min="14337" max="14337" width="19.5703125" customWidth="1"/>
    <col min="14338" max="14338" width="14.42578125" customWidth="1"/>
    <col min="14339" max="14339" width="15.85546875" customWidth="1"/>
    <col min="14340" max="14340" width="15" customWidth="1"/>
    <col min="14341" max="14341" width="15.85546875" customWidth="1"/>
    <col min="14345" max="14345" width="13.140625" customWidth="1"/>
    <col min="14346" max="14346" width="14.5703125" customWidth="1"/>
    <col min="14350" max="14350" width="13.28515625" customWidth="1"/>
    <col min="14593" max="14593" width="19.5703125" customWidth="1"/>
    <col min="14594" max="14594" width="14.42578125" customWidth="1"/>
    <col min="14595" max="14595" width="15.85546875" customWidth="1"/>
    <col min="14596" max="14596" width="15" customWidth="1"/>
    <col min="14597" max="14597" width="15.85546875" customWidth="1"/>
    <col min="14601" max="14601" width="13.140625" customWidth="1"/>
    <col min="14602" max="14602" width="14.5703125" customWidth="1"/>
    <col min="14606" max="14606" width="13.28515625" customWidth="1"/>
    <col min="14849" max="14849" width="19.5703125" customWidth="1"/>
    <col min="14850" max="14850" width="14.42578125" customWidth="1"/>
    <col min="14851" max="14851" width="15.85546875" customWidth="1"/>
    <col min="14852" max="14852" width="15" customWidth="1"/>
    <col min="14853" max="14853" width="15.85546875" customWidth="1"/>
    <col min="14857" max="14857" width="13.140625" customWidth="1"/>
    <col min="14858" max="14858" width="14.5703125" customWidth="1"/>
    <col min="14862" max="14862" width="13.28515625" customWidth="1"/>
    <col min="15105" max="15105" width="19.5703125" customWidth="1"/>
    <col min="15106" max="15106" width="14.42578125" customWidth="1"/>
    <col min="15107" max="15107" width="15.85546875" customWidth="1"/>
    <col min="15108" max="15108" width="15" customWidth="1"/>
    <col min="15109" max="15109" width="15.85546875" customWidth="1"/>
    <col min="15113" max="15113" width="13.140625" customWidth="1"/>
    <col min="15114" max="15114" width="14.5703125" customWidth="1"/>
    <col min="15118" max="15118" width="13.28515625" customWidth="1"/>
    <col min="15361" max="15361" width="19.5703125" customWidth="1"/>
    <col min="15362" max="15362" width="14.42578125" customWidth="1"/>
    <col min="15363" max="15363" width="15.85546875" customWidth="1"/>
    <col min="15364" max="15364" width="15" customWidth="1"/>
    <col min="15365" max="15365" width="15.85546875" customWidth="1"/>
    <col min="15369" max="15369" width="13.140625" customWidth="1"/>
    <col min="15370" max="15370" width="14.5703125" customWidth="1"/>
    <col min="15374" max="15374" width="13.28515625" customWidth="1"/>
    <col min="15617" max="15617" width="19.5703125" customWidth="1"/>
    <col min="15618" max="15618" width="14.42578125" customWidth="1"/>
    <col min="15619" max="15619" width="15.85546875" customWidth="1"/>
    <col min="15620" max="15620" width="15" customWidth="1"/>
    <col min="15621" max="15621" width="15.85546875" customWidth="1"/>
    <col min="15625" max="15625" width="13.140625" customWidth="1"/>
    <col min="15626" max="15626" width="14.5703125" customWidth="1"/>
    <col min="15630" max="15630" width="13.28515625" customWidth="1"/>
    <col min="15873" max="15873" width="19.5703125" customWidth="1"/>
    <col min="15874" max="15874" width="14.42578125" customWidth="1"/>
    <col min="15875" max="15875" width="15.85546875" customWidth="1"/>
    <col min="15876" max="15876" width="15" customWidth="1"/>
    <col min="15877" max="15877" width="15.85546875" customWidth="1"/>
    <col min="15881" max="15881" width="13.140625" customWidth="1"/>
    <col min="15882" max="15882" width="14.5703125" customWidth="1"/>
    <col min="15886" max="15886" width="13.28515625" customWidth="1"/>
    <col min="16129" max="16129" width="19.5703125" customWidth="1"/>
    <col min="16130" max="16130" width="14.42578125" customWidth="1"/>
    <col min="16131" max="16131" width="15.85546875" customWidth="1"/>
    <col min="16132" max="16132" width="15" customWidth="1"/>
    <col min="16133" max="16133" width="15.85546875" customWidth="1"/>
    <col min="16137" max="16137" width="13.140625" customWidth="1"/>
    <col min="16138" max="16138" width="14.5703125" customWidth="1"/>
    <col min="16142" max="16142" width="13.28515625" customWidth="1"/>
  </cols>
  <sheetData>
    <row r="2" spans="1:15" x14ac:dyDescent="0.25">
      <c r="A2" t="s">
        <v>61</v>
      </c>
      <c r="B2" t="s">
        <v>62</v>
      </c>
    </row>
    <row r="4" spans="1:15" x14ac:dyDescent="0.25">
      <c r="A4" t="s">
        <v>63</v>
      </c>
    </row>
    <row r="5" spans="1:15" x14ac:dyDescent="0.25">
      <c r="A5" t="s">
        <v>64</v>
      </c>
      <c r="C5" t="s">
        <v>65</v>
      </c>
      <c r="J5" t="s">
        <v>64</v>
      </c>
      <c r="L5" t="s">
        <v>66</v>
      </c>
    </row>
    <row r="6" spans="1:15" x14ac:dyDescent="0.25">
      <c r="A6" s="45"/>
      <c r="B6" s="45" t="s">
        <v>67</v>
      </c>
      <c r="C6" s="45" t="s">
        <v>68</v>
      </c>
      <c r="D6" s="45" t="s">
        <v>69</v>
      </c>
      <c r="E6" s="45" t="s">
        <v>70</v>
      </c>
      <c r="J6" s="45"/>
      <c r="K6" s="45" t="s">
        <v>67</v>
      </c>
      <c r="L6" s="45" t="s">
        <v>68</v>
      </c>
      <c r="M6" s="45" t="s">
        <v>69</v>
      </c>
      <c r="N6" s="45" t="s">
        <v>70</v>
      </c>
    </row>
    <row r="7" spans="1:15" x14ac:dyDescent="0.25">
      <c r="A7" s="45" t="s">
        <v>71</v>
      </c>
      <c r="B7" s="45" t="s">
        <v>72</v>
      </c>
      <c r="C7" s="45" t="s">
        <v>73</v>
      </c>
      <c r="D7" s="45" t="s">
        <v>74</v>
      </c>
      <c r="E7" s="45" t="s">
        <v>75</v>
      </c>
      <c r="J7" s="45" t="s">
        <v>71</v>
      </c>
      <c r="K7" s="45" t="s">
        <v>72</v>
      </c>
      <c r="L7" s="45" t="s">
        <v>73</v>
      </c>
      <c r="M7" s="45" t="s">
        <v>74</v>
      </c>
      <c r="N7" s="45" t="s">
        <v>75</v>
      </c>
    </row>
    <row r="8" spans="1:15" x14ac:dyDescent="0.25">
      <c r="A8" s="46">
        <v>10</v>
      </c>
      <c r="B8" s="46">
        <v>22.04</v>
      </c>
      <c r="C8" s="46">
        <v>36</v>
      </c>
      <c r="D8" s="46">
        <v>52</v>
      </c>
      <c r="E8" s="47">
        <f t="shared" ref="E8:E14" si="0">+((B8*C8)*D8)*A8</f>
        <v>412588.79999999999</v>
      </c>
      <c r="J8" s="46">
        <v>1</v>
      </c>
      <c r="K8" s="46">
        <v>18</v>
      </c>
      <c r="L8" s="46">
        <v>40</v>
      </c>
      <c r="M8" s="46">
        <v>52</v>
      </c>
      <c r="N8" s="47">
        <f>+((K8*L8)*M8)*J8</f>
        <v>37440</v>
      </c>
    </row>
    <row r="9" spans="1:15" x14ac:dyDescent="0.25">
      <c r="A9" s="46">
        <v>3</v>
      </c>
      <c r="B9" s="46">
        <v>20.2</v>
      </c>
      <c r="C9" s="46">
        <v>25</v>
      </c>
      <c r="D9" s="46">
        <v>52</v>
      </c>
      <c r="E9" s="47">
        <f t="shared" si="0"/>
        <v>78780</v>
      </c>
      <c r="J9" s="46"/>
      <c r="K9" s="46"/>
      <c r="L9" s="46"/>
      <c r="M9" s="46"/>
      <c r="N9" s="47"/>
    </row>
    <row r="10" spans="1:15" x14ac:dyDescent="0.25">
      <c r="A10" s="46">
        <v>1</v>
      </c>
      <c r="B10" s="46">
        <v>27.47</v>
      </c>
      <c r="C10" s="46">
        <v>32</v>
      </c>
      <c r="D10" s="46">
        <v>52</v>
      </c>
      <c r="E10" s="47">
        <f t="shared" si="0"/>
        <v>45710.080000000002</v>
      </c>
      <c r="J10" s="46"/>
      <c r="K10" s="46"/>
      <c r="L10" s="46"/>
      <c r="M10" s="46"/>
      <c r="N10" s="47">
        <f t="shared" ref="N9:N14" si="1">+((K10*L10)*M10)*J10</f>
        <v>0</v>
      </c>
    </row>
    <row r="11" spans="1:15" x14ac:dyDescent="0.25">
      <c r="A11" s="46"/>
      <c r="B11" s="46"/>
      <c r="C11" s="46"/>
      <c r="D11" s="46"/>
      <c r="E11" s="47">
        <f t="shared" si="0"/>
        <v>0</v>
      </c>
      <c r="J11" s="46"/>
      <c r="K11" s="46"/>
      <c r="L11" s="46"/>
      <c r="M11" s="46"/>
      <c r="N11" s="47">
        <f t="shared" si="1"/>
        <v>0</v>
      </c>
    </row>
    <row r="12" spans="1:15" x14ac:dyDescent="0.25">
      <c r="A12" s="46"/>
      <c r="B12" s="46"/>
      <c r="C12" s="46"/>
      <c r="D12" s="46"/>
      <c r="E12" s="47">
        <f t="shared" si="0"/>
        <v>0</v>
      </c>
      <c r="J12" s="46"/>
      <c r="K12" s="46"/>
      <c r="L12" s="46"/>
      <c r="M12" s="46"/>
      <c r="N12" s="47">
        <f t="shared" si="1"/>
        <v>0</v>
      </c>
    </row>
    <row r="13" spans="1:15" x14ac:dyDescent="0.25">
      <c r="A13" s="46"/>
      <c r="B13" s="46"/>
      <c r="C13" s="46"/>
      <c r="D13" s="46"/>
      <c r="E13" s="47">
        <f t="shared" si="0"/>
        <v>0</v>
      </c>
      <c r="J13" s="46"/>
      <c r="K13" s="46"/>
      <c r="L13" s="46"/>
      <c r="M13" s="46"/>
      <c r="N13" s="47">
        <f t="shared" si="1"/>
        <v>0</v>
      </c>
    </row>
    <row r="14" spans="1:15" x14ac:dyDescent="0.25">
      <c r="A14" s="46"/>
      <c r="B14" s="46"/>
      <c r="C14" s="46"/>
      <c r="D14" s="46"/>
      <c r="E14" s="47">
        <f t="shared" si="0"/>
        <v>0</v>
      </c>
      <c r="J14" s="46"/>
      <c r="K14" s="46"/>
      <c r="L14" s="46"/>
      <c r="M14" s="46"/>
      <c r="N14" s="47">
        <f t="shared" si="1"/>
        <v>0</v>
      </c>
    </row>
    <row r="15" spans="1:15" x14ac:dyDescent="0.25">
      <c r="A15" s="46"/>
      <c r="B15" s="46"/>
      <c r="C15" s="46"/>
      <c r="D15" s="46" t="s">
        <v>76</v>
      </c>
      <c r="E15" s="47">
        <f>SUM(E8:E14)</f>
        <v>537078.88</v>
      </c>
      <c r="J15" s="46"/>
      <c r="K15" s="46"/>
      <c r="L15" s="46"/>
      <c r="M15" s="46" t="s">
        <v>76</v>
      </c>
      <c r="N15" s="47">
        <f>SUM(N8:N14)</f>
        <v>37440</v>
      </c>
    </row>
    <row r="16" spans="1:15" x14ac:dyDescent="0.25">
      <c r="A16" s="46"/>
      <c r="B16" s="46"/>
      <c r="C16" s="46"/>
      <c r="D16" s="46" t="s">
        <v>77</v>
      </c>
      <c r="E16" s="47">
        <f>+E15*F16</f>
        <v>96674.198399999994</v>
      </c>
      <c r="F16" s="48">
        <v>0.18</v>
      </c>
      <c r="J16" s="46"/>
      <c r="K16" s="46"/>
      <c r="L16" s="46"/>
      <c r="M16" s="46" t="s">
        <v>77</v>
      </c>
      <c r="N16" s="47">
        <f>+N15*O16</f>
        <v>6739.2</v>
      </c>
      <c r="O16" s="48">
        <v>0.18</v>
      </c>
    </row>
    <row r="17" spans="1:14" x14ac:dyDescent="0.25">
      <c r="A17" s="46"/>
      <c r="B17" s="46"/>
      <c r="C17" s="46"/>
      <c r="D17" s="46" t="s">
        <v>76</v>
      </c>
      <c r="E17" s="49">
        <f>+E15+E16</f>
        <v>633753.0784</v>
      </c>
      <c r="J17" s="46"/>
      <c r="K17" s="46"/>
      <c r="L17" s="46"/>
      <c r="M17" s="46" t="s">
        <v>76</v>
      </c>
      <c r="N17" s="49">
        <f>+N15+N16</f>
        <v>44179.199999999997</v>
      </c>
    </row>
    <row r="19" spans="1:14" x14ac:dyDescent="0.25">
      <c r="A19" t="s">
        <v>78</v>
      </c>
      <c r="B19" t="s">
        <v>79</v>
      </c>
    </row>
    <row r="20" spans="1:14" x14ac:dyDescent="0.25">
      <c r="A20" s="45"/>
      <c r="B20" s="45" t="s">
        <v>67</v>
      </c>
      <c r="C20" s="45" t="s">
        <v>68</v>
      </c>
      <c r="D20" s="45" t="s">
        <v>69</v>
      </c>
      <c r="E20" s="45" t="s">
        <v>70</v>
      </c>
    </row>
    <row r="21" spans="1:14" x14ac:dyDescent="0.25">
      <c r="A21" t="s">
        <v>71</v>
      </c>
      <c r="B21" t="s">
        <v>72</v>
      </c>
      <c r="C21" t="s">
        <v>73</v>
      </c>
      <c r="D21" t="s">
        <v>74</v>
      </c>
      <c r="E21" t="s">
        <v>75</v>
      </c>
    </row>
    <row r="22" spans="1:14" x14ac:dyDescent="0.25">
      <c r="A22" s="46">
        <v>1</v>
      </c>
      <c r="B22" s="46">
        <v>17.5</v>
      </c>
      <c r="C22" s="46">
        <v>25</v>
      </c>
      <c r="D22" s="46">
        <v>52</v>
      </c>
      <c r="E22" s="47">
        <f>+((B22*C22)*D22)*A22</f>
        <v>22750</v>
      </c>
    </row>
    <row r="23" spans="1:14" x14ac:dyDescent="0.25">
      <c r="A23" s="46"/>
      <c r="B23" s="46"/>
      <c r="C23" s="46"/>
      <c r="D23" s="46"/>
      <c r="E23" s="47">
        <f t="shared" ref="E23:E28" si="2">+((B23*C23)*D23)*A23</f>
        <v>0</v>
      </c>
    </row>
    <row r="24" spans="1:14" x14ac:dyDescent="0.25">
      <c r="A24" s="46"/>
      <c r="B24" s="46"/>
      <c r="C24" s="46"/>
      <c r="D24" s="46"/>
      <c r="E24" s="47">
        <f t="shared" si="2"/>
        <v>0</v>
      </c>
    </row>
    <row r="25" spans="1:14" x14ac:dyDescent="0.25">
      <c r="A25" s="46"/>
      <c r="B25" s="46"/>
      <c r="C25" s="46"/>
      <c r="D25" s="46"/>
      <c r="E25" s="47">
        <f t="shared" si="2"/>
        <v>0</v>
      </c>
    </row>
    <row r="26" spans="1:14" x14ac:dyDescent="0.25">
      <c r="A26" s="46"/>
      <c r="B26" s="46"/>
      <c r="C26" s="46"/>
      <c r="D26" s="46"/>
      <c r="E26" s="47">
        <f t="shared" si="2"/>
        <v>0</v>
      </c>
    </row>
    <row r="27" spans="1:14" x14ac:dyDescent="0.25">
      <c r="A27" s="46"/>
      <c r="B27" s="46"/>
      <c r="C27" s="46"/>
      <c r="D27" s="46"/>
      <c r="E27" s="47">
        <f t="shared" si="2"/>
        <v>0</v>
      </c>
    </row>
    <row r="28" spans="1:14" x14ac:dyDescent="0.25">
      <c r="A28" s="46"/>
      <c r="B28" s="46"/>
      <c r="C28" s="46"/>
      <c r="D28" s="46"/>
      <c r="E28" s="47">
        <f t="shared" si="2"/>
        <v>0</v>
      </c>
    </row>
    <row r="29" spans="1:14" x14ac:dyDescent="0.25">
      <c r="A29" s="46"/>
      <c r="B29" s="46"/>
      <c r="C29" s="46"/>
      <c r="D29" s="46"/>
      <c r="E29" s="47"/>
    </row>
    <row r="30" spans="1:14" x14ac:dyDescent="0.25">
      <c r="A30" s="46"/>
      <c r="B30" s="46"/>
      <c r="C30" s="46"/>
      <c r="D30" s="46" t="s">
        <v>80</v>
      </c>
      <c r="E30" s="47">
        <f>SUM(E22:E29)</f>
        <v>22750</v>
      </c>
    </row>
    <row r="31" spans="1:14" x14ac:dyDescent="0.25">
      <c r="A31" s="46"/>
      <c r="B31" s="46"/>
      <c r="C31" s="46"/>
      <c r="D31" s="46" t="s">
        <v>81</v>
      </c>
      <c r="E31" s="47">
        <f>+E30*F31</f>
        <v>4095</v>
      </c>
      <c r="F31" s="48">
        <f>+F16</f>
        <v>0.18</v>
      </c>
    </row>
    <row r="32" spans="1:14" x14ac:dyDescent="0.25">
      <c r="D32" t="s">
        <v>80</v>
      </c>
      <c r="E32" s="30">
        <f>+E30+E31</f>
        <v>26845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4894-7987-47A2-9AD8-9F7876951A8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DC Document transitoire" ma:contentTypeID="0x010100C085E17D6B1D4387A3F3C27C8D7960FB00F2A8A740CF7446059192580CA6A9C26900B6F6A9DCF411924E9548A9B5D0C10C43" ma:contentTypeVersion="25" ma:contentTypeDescription="BDC Document transitoire" ma:contentTypeScope="" ma:versionID="bd3077387819febef58096c0486dd30d">
  <xsd:schema xmlns:xsd="http://www.w3.org/2001/XMLSchema" xmlns:xs="http://www.w3.org/2001/XMLSchema" xmlns:p="http://schemas.microsoft.com/office/2006/metadata/properties" xmlns:ns2="1dec4731-9845-4c5c-9c13-5cbe24bc0acd" targetNamespace="http://schemas.microsoft.com/office/2006/metadata/properties" ma:root="true" ma:fieldsID="c536ccec239f8fc5be639f795baa3746" ns2:_="">
    <xsd:import namespace="1dec4731-9845-4c5c-9c13-5cbe24bc0acd"/>
    <xsd:element name="properties">
      <xsd:complexType>
        <xsd:sequence>
          <xsd:element name="documentManagement">
            <xsd:complexType>
              <xsd:all>
                <xsd:element ref="ns2:BDCECM_PersonalInformation" minOccurs="0"/>
                <xsd:element ref="ns2:BDCECM_EssentialRecord" minOccurs="0"/>
                <xsd:element ref="ns2:BDCECMMailOriginalSubject" minOccurs="0"/>
                <xsd:element ref="ns2:BDCECM_BusinessStatus" minOccurs="0"/>
                <xsd:element ref="ns2:BDCECM_ClosingDate" minOccurs="0"/>
                <xsd:element ref="ns2:BDCECMMailObject" minOccurs="0"/>
                <xsd:element ref="ns2:BDCECMMailDate" minOccurs="0"/>
                <xsd:element ref="ns2:BDCECMMailFrom" minOccurs="0"/>
                <xsd:element ref="ns2:BDCECMMailTo" minOccurs="0"/>
                <xsd:element ref="ns2:BDCECMMailAttachments" minOccurs="0"/>
                <xsd:element ref="ns2:BDCECMMailCc" minOccurs="0"/>
                <xsd:element ref="ns2:BDCECMMailImportance" minOccurs="0"/>
                <xsd:element ref="ns2:BDCECMMailReplyTo" minOccurs="0"/>
                <xsd:element ref="ns2:nafdf7a42f644c5e834b860c7ffaece5" minOccurs="0"/>
                <xsd:element ref="ns2:TaxCatchAll" minOccurs="0"/>
                <xsd:element ref="ns2:nd3594618ca347b0830edb8d861d1405" minOccurs="0"/>
                <xsd:element ref="ns2:TaxCatchAllLabel" minOccurs="0"/>
                <xsd:element ref="ns2:p1d5d90637b843e89d9c4445e3979fd3" minOccurs="0"/>
                <xsd:element ref="ns2:j9ae1621eadf48c487cc3d45cc4e09c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c4731-9845-4c5c-9c13-5cbe24bc0acd" elementFormDefault="qualified">
    <xsd:import namespace="http://schemas.microsoft.com/office/2006/documentManagement/types"/>
    <xsd:import namespace="http://schemas.microsoft.com/office/infopath/2007/PartnerControls"/>
    <xsd:element name="BDCECM_PersonalInformation" ma:index="3" nillable="true" ma:displayName="Renseignements personnels" ma:default="0" ma:internalName="BDCECM_PersonalInformation">
      <xsd:simpleType>
        <xsd:restriction base="dms:Boolean"/>
      </xsd:simpleType>
    </xsd:element>
    <xsd:element name="BDCECM_EssentialRecord" ma:index="4" nillable="true" ma:displayName="Document essentiel" ma:default="0" ma:internalName="BDCECM_EssentialRecord">
      <xsd:simpleType>
        <xsd:restriction base="dms:Boolean"/>
      </xsd:simpleType>
    </xsd:element>
    <xsd:element name="BDCECMMailOriginalSubject" ma:index="6" nillable="true" ma:displayName="Sujet original du courriel" ma:internalName="BDCECMMailOriginalSubject">
      <xsd:simpleType>
        <xsd:restriction base="dms:Text">
          <xsd:maxLength value="255"/>
        </xsd:restriction>
      </xsd:simpleType>
    </xsd:element>
    <xsd:element name="BDCECM_BusinessStatus" ma:index="7" nillable="true" ma:displayName="Statut d'affaire" ma:internalName="BDCECM_BusinessStatus" ma:readOnly="false">
      <xsd:simpleType>
        <xsd:restriction base="dms:Text">
          <xsd:maxLength value="255"/>
        </xsd:restriction>
      </xsd:simpleType>
    </xsd:element>
    <xsd:element name="BDCECM_ClosingDate" ma:index="8" nillable="true" ma:displayName="Date de clôture" ma:format="DateOnly" ma:internalName="BDCECM_ClosingDate">
      <xsd:simpleType>
        <xsd:restriction base="dms:DateTime"/>
      </xsd:simpleType>
    </xsd:element>
    <xsd:element name="BDCECMMailObject" ma:index="11" nillable="true" ma:displayName="Sujet" ma:internalName="BDCECMMailObject">
      <xsd:simpleType>
        <xsd:restriction base="dms:Text">
          <xsd:maxLength value="255"/>
        </xsd:restriction>
      </xsd:simpleType>
    </xsd:element>
    <xsd:element name="BDCECMMailDate" ma:index="12" nillable="true" ma:displayName="Date du courriel" ma:format="DateOnly" ma:indexed="true" ma:internalName="BDCECMMailDate">
      <xsd:simpleType>
        <xsd:restriction base="dms:DateTime"/>
      </xsd:simpleType>
    </xsd:element>
    <xsd:element name="BDCECMMailFrom" ma:index="13" nillable="true" ma:displayName="De" ma:internalName="BDCECMMailFrom">
      <xsd:simpleType>
        <xsd:restriction base="dms:Text">
          <xsd:maxLength value="255"/>
        </xsd:restriction>
      </xsd:simpleType>
    </xsd:element>
    <xsd:element name="BDCECMMailTo" ma:index="14" nillable="true" ma:displayName="À" ma:internalName="BDCECMMailTo">
      <xsd:simpleType>
        <xsd:restriction base="dms:Text">
          <xsd:maxLength value="255"/>
        </xsd:restriction>
      </xsd:simpleType>
    </xsd:element>
    <xsd:element name="BDCECMMailAttachments" ma:index="15" nillable="true" ma:displayName="Pièces jointes" ma:default="0" ma:internalName="BDCECMMailAttachments">
      <xsd:simpleType>
        <xsd:restriction base="dms:Boolean"/>
      </xsd:simpleType>
    </xsd:element>
    <xsd:element name="BDCECMMailCc" ma:index="16" nillable="true" ma:displayName="En copie à" ma:internalName="BDCECMMailCc">
      <xsd:simpleType>
        <xsd:restriction base="dms:Text">
          <xsd:maxLength value="255"/>
        </xsd:restriction>
      </xsd:simpleType>
    </xsd:element>
    <xsd:element name="BDCECMMailImportance" ma:index="17" nillable="true" ma:displayName="Importance" ma:internalName="BDCECMMailImportance">
      <xsd:simpleType>
        <xsd:restriction base="dms:Text">
          <xsd:maxLength value="255"/>
        </xsd:restriction>
      </xsd:simpleType>
    </xsd:element>
    <xsd:element name="BDCECMMailReplyTo" ma:index="18" nillable="true" ma:displayName="Répondre à" ma:internalName="BDCECMMailReplyTo">
      <xsd:simpleType>
        <xsd:restriction base="dms:Text">
          <xsd:maxLength value="255"/>
        </xsd:restriction>
      </xsd:simpleType>
    </xsd:element>
    <xsd:element name="nafdf7a42f644c5e834b860c7ffaece5" ma:index="23" nillable="true" ma:taxonomy="true" ma:internalName="nafdf7a42f644c5e834b860c7ffaece5" ma:taxonomyFieldName="BDCECM_RecordSeries" ma:displayName="Série documentaire" ma:default="" ma:fieldId="{7afdf7a4-2f64-4c5e-834b-860c7ffaece5}" ma:sspId="810e7a61-09d7-4dba-9ecd-2c17461f1b87" ma:termSetId="3ec1736a-1696-4339-a19f-9b937aa7531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674c34e-6bea-491a-a805-4ae8df4b95b0}" ma:internalName="TaxCatchAll" ma:showField="CatchAllData" ma:web="e7f24824-1771-4889-9ce3-3d338d455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d3594618ca347b0830edb8d861d1405" ma:index="26" nillable="true" ma:taxonomy="true" ma:internalName="nd3594618ca347b0830edb8d861d1405" ma:taxonomyFieldName="BDCECM_SMCFunc" ma:displayName="Fonction haute direction" ma:default="" ma:fieldId="{7d359461-8ca3-47b0-830e-db8d861d1405}" ma:sspId="810e7a61-09d7-4dba-9ecd-2c17461f1b87" ma:termSetId="e54a0684-1ead-42b5-9977-99a6fd14018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27" nillable="true" ma:displayName="Taxonomy Catch All Column1" ma:hidden="true" ma:list="{2674c34e-6bea-491a-a805-4ae8df4b95b0}" ma:internalName="TaxCatchAllLabel" ma:readOnly="true" ma:showField="CatchAllDataLabel" ma:web="e7f24824-1771-4889-9ce3-3d338d455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1d5d90637b843e89d9c4445e3979fd3" ma:index="28" nillable="true" ma:taxonomy="true" ma:internalName="p1d5d90637b843e89d9c4445e3979fd3" ma:taxonomyFieldName="BDCECM_InformationSecurityCategorization" ma:displayName="Catégorisation de la sécurité de l'information" ma:default="" ma:fieldId="{91d5d906-37b8-43e8-9d9c-4445e3979fd3}" ma:sspId="810e7a61-09d7-4dba-9ecd-2c17461f1b87" ma:termSetId="16f48825-0f82-4b35-9735-195c1943399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9ae1621eadf48c487cc3d45cc4e09cc" ma:index="29" nillable="true" ma:taxonomy="true" ma:internalName="j9ae1621eadf48c487cc3d45cc4e09cc" ma:taxonomyFieldName="BDCECM_DispApprover" ma:displayName="Personne autorisant la destruction" ma:readOnly="false" ma:default="" ma:fieldId="{39ae1621-eadf-48c4-87cc-3d45cc4e09cc}" ma:sspId="810e7a61-09d7-4dba-9ecd-2c17461f1b87" ma:termSetId="e54a0684-1ead-42b5-9977-99a6fd14018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fdf7a42f644c5e834b860c7ffaece5 xmlns="1dec4731-9845-4c5c-9c13-5cbe24bc0acd">
      <Terms xmlns="http://schemas.microsoft.com/office/infopath/2007/PartnerControls">
        <TermInfo xmlns="http://schemas.microsoft.com/office/infopath/2007/PartnerControls">
          <TermName xmlns="http://schemas.microsoft.com/office/infopath/2007/PartnerControls">9999-99 - Transitory Documents</TermName>
          <TermId xmlns="http://schemas.microsoft.com/office/infopath/2007/PartnerControls">5dbf7795-a9b8-4c72-91a7-95e1dbfc2e18</TermId>
        </TermInfo>
      </Terms>
    </nafdf7a42f644c5e834b860c7ffaece5>
    <BDCECMMailTo xmlns="1dec4731-9845-4c5c-9c13-5cbe24bc0acd" xsi:nil="true"/>
    <BDCECMMailDate xmlns="1dec4731-9845-4c5c-9c13-5cbe24bc0acd" xsi:nil="true"/>
    <p1d5d90637b843e89d9c4445e3979fd3 xmlns="1dec4731-9845-4c5c-9c13-5cbe24bc0acd">
      <Terms xmlns="http://schemas.microsoft.com/office/infopath/2007/PartnerControls">
        <TermInfo xmlns="http://schemas.microsoft.com/office/infopath/2007/PartnerControls">
          <TermName xmlns="http://schemas.microsoft.com/office/infopath/2007/PartnerControls">Limited</TermName>
          <TermId xmlns="http://schemas.microsoft.com/office/infopath/2007/PartnerControls">df490007-b3cd-426a-8013-ffab46985cca</TermId>
        </TermInfo>
      </Terms>
    </p1d5d90637b843e89d9c4445e3979fd3>
    <BDCECMMailReplyTo xmlns="1dec4731-9845-4c5c-9c13-5cbe24bc0acd" xsi:nil="true"/>
    <BDCECM_PersonalInformation xmlns="1dec4731-9845-4c5c-9c13-5cbe24bc0acd">false</BDCECM_PersonalInformation>
    <j9ae1621eadf48c487cc3d45cc4e09cc xmlns="1dec4731-9845-4c5c-9c13-5cbe24bc0ac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Secteur Montréal</TermName>
          <TermId xmlns="http://schemas.microsoft.com/office/infopath/2007/PartnerControls">7a249b1a-9ed9-49d6-aaab-378859a24534</TermId>
        </TermInfo>
      </Terms>
    </j9ae1621eadf48c487cc3d45cc4e09cc>
    <BDCECMMailCc xmlns="1dec4731-9845-4c5c-9c13-5cbe24bc0acd" xsi:nil="true"/>
    <BDCECMMailAttachments xmlns="1dec4731-9845-4c5c-9c13-5cbe24bc0acd">false</BDCECMMailAttachments>
    <BDCECMMailOriginalSubject xmlns="1dec4731-9845-4c5c-9c13-5cbe24bc0acd" xsi:nil="true"/>
    <nd3594618ca347b0830edb8d861d1405 xmlns="1dec4731-9845-4c5c-9c13-5cbe24bc0acd">
      <Terms xmlns="http://schemas.microsoft.com/office/infopath/2007/PartnerControls">
        <TermInfo xmlns="http://schemas.microsoft.com/office/infopath/2007/PartnerControls">
          <TermName xmlns="http://schemas.microsoft.com/office/infopath/2007/PartnerControls">EVP and COO</TermName>
          <TermId xmlns="http://schemas.microsoft.com/office/infopath/2007/PartnerControls">baca45e1-eb2c-4968-b0c9-5c69ba041618</TermId>
        </TermInfo>
      </Terms>
    </nd3594618ca347b0830edb8d861d1405>
    <BDCECMMailObject xmlns="1dec4731-9845-4c5c-9c13-5cbe24bc0acd" xsi:nil="true"/>
    <BDCECMMailFrom xmlns="1dec4731-9845-4c5c-9c13-5cbe24bc0acd" xsi:nil="true"/>
    <BDCECM_BusinessStatus xmlns="1dec4731-9845-4c5c-9c13-5cbe24bc0acd" xsi:nil="true"/>
    <BDCECM_ClosingDate xmlns="1dec4731-9845-4c5c-9c13-5cbe24bc0acd" xsi:nil="true"/>
    <BDCECMMailImportance xmlns="1dec4731-9845-4c5c-9c13-5cbe24bc0acd" xsi:nil="true"/>
    <TaxCatchAll xmlns="1dec4731-9845-4c5c-9c13-5cbe24bc0acd">
      <Value>5</Value>
      <Value>3</Value>
      <Value>2</Value>
      <Value>1</Value>
    </TaxCatchAll>
    <BDCECM_EssentialRecord xmlns="1dec4731-9845-4c5c-9c13-5cbe24bc0acd">false</BDCECM_EssentialRecord>
  </documentManagement>
</p:properties>
</file>

<file path=customXml/itemProps1.xml><?xml version="1.0" encoding="utf-8"?>
<ds:datastoreItem xmlns:ds="http://schemas.openxmlformats.org/officeDocument/2006/customXml" ds:itemID="{67B597BA-4A76-4172-8CB6-59645C78AACC}"/>
</file>

<file path=customXml/itemProps2.xml><?xml version="1.0" encoding="utf-8"?>
<ds:datastoreItem xmlns:ds="http://schemas.openxmlformats.org/officeDocument/2006/customXml" ds:itemID="{569B2792-01C6-4488-B423-BE979B3FBE8C}"/>
</file>

<file path=customXml/itemProps3.xml><?xml version="1.0" encoding="utf-8"?>
<ds:datastoreItem xmlns:ds="http://schemas.openxmlformats.org/officeDocument/2006/customXml" ds:itemID="{1EB0E141-02A8-4B51-AAE7-612ACE71F5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Prévisionnels (2)</vt:lpstr>
      <vt:lpstr>annexes salaires (2)</vt:lpstr>
      <vt:lpstr>Feuil1</vt:lpstr>
      <vt:lpstr>'Prévisionnels (2)'!Zone_d_impression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GAGNÉ CLAUDE, Patricia (VAUDREUIL)</dc:creator>
  <cp:lastModifiedBy>GAGNÉ CLAUDE, Patricia (VAUDREUIL)</cp:lastModifiedBy>
  <dcterms:created xsi:type="dcterms:W3CDTF">2023-08-31T12:52:26Z</dcterms:created>
  <dcterms:modified xsi:type="dcterms:W3CDTF">2023-08-31T13:20:09Z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BDCECM_InformationSecurityCategorization">
    <vt:lpwstr>5;#Limited|df490007-b3cd-426a-8013-ffab46985cca</vt:lpwstr>
  </property>
  <property fmtid="{D5CDD505-2E9C-101B-9397-08002B2CF9AE}" pid="4" name="ContentTypeId">
    <vt:lpwstr>0x010100C085E17D6B1D4387A3F3C27C8D7960FB00F2A8A740CF7446059192580CA6A9C26900B6F6A9DCF411924E9548A9B5D0C10C43</vt:lpwstr>
  </property>
  <property fmtid="{D5CDD505-2E9C-101B-9397-08002B2CF9AE}" pid="5" name="BDCECM_SMCFunc">
    <vt:lpwstr>3;#EVP and COO|baca45e1-eb2c-4968-b0c9-5c69ba041618</vt:lpwstr>
  </property>
  <property fmtid="{D5CDD505-2E9C-101B-9397-08002B2CF9AE}" pid="6" name="BDCECM_DispApprover">
    <vt:lpwstr>2;#Secteur Montréal|7a249b1a-9ed9-49d6-aaab-378859a24534</vt:lpwstr>
  </property>
  <property fmtid="{D5CDD505-2E9C-101B-9397-08002B2CF9AE}" pid="7" name="BDCECM_RecordSeries">
    <vt:lpwstr>1;#9999-99 - Transitory Documents|5dbf7795-a9b8-4c72-91a7-95e1dbfc2e18</vt:lpwstr>
  </property>
  <property fmtid="{D5CDD505-2E9C-101B-9397-08002B2CF9AE}" pid="8" name="lcf76f155ced4ddcb4097134ff3c332f">
    <vt:lpwstr/>
  </property>
</Properties>
</file>