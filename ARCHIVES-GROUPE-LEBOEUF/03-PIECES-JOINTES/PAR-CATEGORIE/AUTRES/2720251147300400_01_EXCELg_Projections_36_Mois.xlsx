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an-Samuel\Downloads\"/>
    </mc:Choice>
  </mc:AlternateContent>
  <xr:revisionPtr revIDLastSave="0" documentId="8_{53577DB8-308D-450C-ABEB-F40873053E0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Parametres" sheetId="1" r:id="rId1"/>
    <sheet name="Conservateur" sheetId="2" r:id="rId2"/>
    <sheet name="Realiste" sheetId="3" r:id="rId3"/>
    <sheet name="Optimis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4" l="1"/>
  <c r="J40" i="4"/>
  <c r="I40" i="4"/>
  <c r="E40" i="4"/>
  <c r="D40" i="4"/>
  <c r="C40" i="4"/>
  <c r="F40" i="4" s="1"/>
  <c r="K39" i="4"/>
  <c r="J39" i="4"/>
  <c r="I39" i="4"/>
  <c r="E39" i="4"/>
  <c r="D39" i="4"/>
  <c r="C39" i="4"/>
  <c r="K38" i="4"/>
  <c r="J38" i="4"/>
  <c r="I38" i="4"/>
  <c r="F38" i="4"/>
  <c r="E38" i="4"/>
  <c r="D38" i="4"/>
  <c r="C38" i="4"/>
  <c r="K37" i="4"/>
  <c r="J37" i="4"/>
  <c r="I37" i="4"/>
  <c r="F37" i="4"/>
  <c r="E37" i="4"/>
  <c r="D37" i="4"/>
  <c r="C37" i="4"/>
  <c r="N36" i="4"/>
  <c r="K36" i="4"/>
  <c r="J36" i="4"/>
  <c r="I36" i="4"/>
  <c r="E36" i="4"/>
  <c r="D36" i="4"/>
  <c r="F36" i="4" s="1"/>
  <c r="C36" i="4"/>
  <c r="N35" i="4"/>
  <c r="K35" i="4"/>
  <c r="J35" i="4"/>
  <c r="I35" i="4"/>
  <c r="E35" i="4"/>
  <c r="D35" i="4"/>
  <c r="C35" i="4"/>
  <c r="F35" i="4" s="1"/>
  <c r="K34" i="4"/>
  <c r="J34" i="4"/>
  <c r="I34" i="4"/>
  <c r="E34" i="4"/>
  <c r="D34" i="4"/>
  <c r="C34" i="4"/>
  <c r="O33" i="4"/>
  <c r="N33" i="4"/>
  <c r="K33" i="4"/>
  <c r="J33" i="4"/>
  <c r="I33" i="4"/>
  <c r="H33" i="4"/>
  <c r="L33" i="4" s="1"/>
  <c r="E33" i="4"/>
  <c r="D33" i="4"/>
  <c r="C33" i="4"/>
  <c r="F33" i="4" s="1"/>
  <c r="G33" i="4" s="1"/>
  <c r="K32" i="4"/>
  <c r="J32" i="4"/>
  <c r="I32" i="4"/>
  <c r="E32" i="4"/>
  <c r="D32" i="4"/>
  <c r="C32" i="4"/>
  <c r="F32" i="4" s="1"/>
  <c r="K31" i="4"/>
  <c r="J31" i="4"/>
  <c r="I31" i="4"/>
  <c r="G31" i="4"/>
  <c r="E31" i="4"/>
  <c r="D31" i="4"/>
  <c r="F31" i="4" s="1"/>
  <c r="C31" i="4"/>
  <c r="K30" i="4"/>
  <c r="J30" i="4"/>
  <c r="I30" i="4"/>
  <c r="E30" i="4"/>
  <c r="D30" i="4"/>
  <c r="C30" i="4"/>
  <c r="K29" i="4"/>
  <c r="J29" i="4"/>
  <c r="I29" i="4"/>
  <c r="H29" i="4"/>
  <c r="E29" i="4"/>
  <c r="D29" i="4"/>
  <c r="C29" i="4"/>
  <c r="F29" i="4" s="1"/>
  <c r="J28" i="4"/>
  <c r="I28" i="4"/>
  <c r="E28" i="4"/>
  <c r="D28" i="4"/>
  <c r="C28" i="4"/>
  <c r="O27" i="4"/>
  <c r="N27" i="4"/>
  <c r="J27" i="4"/>
  <c r="I27" i="4"/>
  <c r="H27" i="4"/>
  <c r="E27" i="4"/>
  <c r="D27" i="4"/>
  <c r="C27" i="4"/>
  <c r="F27" i="4" s="1"/>
  <c r="G27" i="4" s="1"/>
  <c r="J26" i="4"/>
  <c r="I26" i="4"/>
  <c r="F26" i="4"/>
  <c r="E26" i="4"/>
  <c r="D26" i="4"/>
  <c r="C26" i="4"/>
  <c r="J25" i="4"/>
  <c r="I25" i="4"/>
  <c r="E25" i="4"/>
  <c r="D25" i="4"/>
  <c r="F25" i="4" s="1"/>
  <c r="C25" i="4"/>
  <c r="J24" i="4"/>
  <c r="I24" i="4"/>
  <c r="E24" i="4"/>
  <c r="D24" i="4"/>
  <c r="F24" i="4" s="1"/>
  <c r="C24" i="4"/>
  <c r="N23" i="4"/>
  <c r="J23" i="4"/>
  <c r="I23" i="4"/>
  <c r="E23" i="4"/>
  <c r="D23" i="4"/>
  <c r="C23" i="4"/>
  <c r="F23" i="4" s="1"/>
  <c r="N22" i="4"/>
  <c r="J22" i="4"/>
  <c r="I22" i="4"/>
  <c r="G22" i="4"/>
  <c r="E22" i="4"/>
  <c r="D22" i="4"/>
  <c r="C22" i="4"/>
  <c r="F22" i="4" s="1"/>
  <c r="O21" i="4"/>
  <c r="J21" i="4"/>
  <c r="I21" i="4"/>
  <c r="H21" i="4"/>
  <c r="E21" i="4"/>
  <c r="D21" i="4"/>
  <c r="C21" i="4"/>
  <c r="F21" i="4" s="1"/>
  <c r="J20" i="4"/>
  <c r="I20" i="4"/>
  <c r="F20" i="4"/>
  <c r="E20" i="4"/>
  <c r="D20" i="4"/>
  <c r="C20" i="4"/>
  <c r="J19" i="4"/>
  <c r="I19" i="4"/>
  <c r="F19" i="4"/>
  <c r="E19" i="4"/>
  <c r="D19" i="4"/>
  <c r="C19" i="4"/>
  <c r="J18" i="4"/>
  <c r="I18" i="4"/>
  <c r="E18" i="4"/>
  <c r="D18" i="4"/>
  <c r="F18" i="4" s="1"/>
  <c r="C18" i="4"/>
  <c r="N17" i="4"/>
  <c r="J17" i="4"/>
  <c r="I17" i="4"/>
  <c r="E17" i="4"/>
  <c r="D17" i="4"/>
  <c r="C17" i="4"/>
  <c r="F17" i="4" s="1"/>
  <c r="J16" i="4"/>
  <c r="I16" i="4"/>
  <c r="E16" i="4"/>
  <c r="D16" i="4"/>
  <c r="F16" i="4" s="1"/>
  <c r="C16" i="4"/>
  <c r="J15" i="4"/>
  <c r="I15" i="4"/>
  <c r="E15" i="4"/>
  <c r="D15" i="4"/>
  <c r="C15" i="4"/>
  <c r="J14" i="4"/>
  <c r="I14" i="4"/>
  <c r="H14" i="4"/>
  <c r="F14" i="4"/>
  <c r="E14" i="4"/>
  <c r="D14" i="4"/>
  <c r="C14" i="4"/>
  <c r="J13" i="4"/>
  <c r="I13" i="4"/>
  <c r="F13" i="4"/>
  <c r="E13" i="4"/>
  <c r="D13" i="4"/>
  <c r="C13" i="4"/>
  <c r="J12" i="4"/>
  <c r="I12" i="4"/>
  <c r="F12" i="4"/>
  <c r="E12" i="4"/>
  <c r="D12" i="4"/>
  <c r="C12" i="4"/>
  <c r="J11" i="4"/>
  <c r="I11" i="4"/>
  <c r="G11" i="4"/>
  <c r="E11" i="4"/>
  <c r="D11" i="4"/>
  <c r="C11" i="4"/>
  <c r="F11" i="4" s="1"/>
  <c r="P10" i="4"/>
  <c r="J10" i="4"/>
  <c r="I10" i="4"/>
  <c r="E10" i="4"/>
  <c r="D10" i="4"/>
  <c r="C10" i="4"/>
  <c r="F10" i="4" s="1"/>
  <c r="P9" i="4"/>
  <c r="J9" i="4"/>
  <c r="I9" i="4"/>
  <c r="E9" i="4"/>
  <c r="D9" i="4"/>
  <c r="C9" i="4"/>
  <c r="F9" i="4" s="1"/>
  <c r="P8" i="4"/>
  <c r="K8" i="4"/>
  <c r="J8" i="4"/>
  <c r="I8" i="4"/>
  <c r="H8" i="4"/>
  <c r="E8" i="4"/>
  <c r="D8" i="4"/>
  <c r="C8" i="4"/>
  <c r="F8" i="4" s="1"/>
  <c r="P7" i="4"/>
  <c r="K7" i="4"/>
  <c r="J7" i="4"/>
  <c r="I7" i="4"/>
  <c r="G7" i="4"/>
  <c r="E7" i="4"/>
  <c r="D7" i="4"/>
  <c r="F7" i="4" s="1"/>
  <c r="C7" i="4"/>
  <c r="P6" i="4"/>
  <c r="K6" i="4"/>
  <c r="J6" i="4"/>
  <c r="I6" i="4"/>
  <c r="E6" i="4"/>
  <c r="D6" i="4"/>
  <c r="C6" i="4"/>
  <c r="F6" i="4" s="1"/>
  <c r="P5" i="4"/>
  <c r="K5" i="4"/>
  <c r="J5" i="4"/>
  <c r="I5" i="4"/>
  <c r="E5" i="4"/>
  <c r="D5" i="4"/>
  <c r="C5" i="4"/>
  <c r="K40" i="3"/>
  <c r="J40" i="3"/>
  <c r="I40" i="3"/>
  <c r="E40" i="3"/>
  <c r="F40" i="3" s="1"/>
  <c r="D40" i="3"/>
  <c r="C40" i="3"/>
  <c r="O39" i="3"/>
  <c r="K39" i="3"/>
  <c r="J39" i="3"/>
  <c r="I39" i="3"/>
  <c r="E39" i="3"/>
  <c r="D39" i="3"/>
  <c r="C39" i="3"/>
  <c r="F39" i="3" s="1"/>
  <c r="K38" i="3"/>
  <c r="J38" i="3"/>
  <c r="I38" i="3"/>
  <c r="E38" i="3"/>
  <c r="D38" i="3"/>
  <c r="C38" i="3"/>
  <c r="K37" i="3"/>
  <c r="J37" i="3"/>
  <c r="I37" i="3"/>
  <c r="E37" i="3"/>
  <c r="D37" i="3"/>
  <c r="C37" i="3"/>
  <c r="F37" i="3" s="1"/>
  <c r="O37" i="3" s="1"/>
  <c r="K36" i="3"/>
  <c r="J36" i="3"/>
  <c r="I36" i="3"/>
  <c r="E36" i="3"/>
  <c r="D36" i="3"/>
  <c r="F36" i="3" s="1"/>
  <c r="C36" i="3"/>
  <c r="K35" i="3"/>
  <c r="J35" i="3"/>
  <c r="I35" i="3"/>
  <c r="E35" i="3"/>
  <c r="D35" i="3"/>
  <c r="C35" i="3"/>
  <c r="N34" i="3"/>
  <c r="K34" i="3"/>
  <c r="J34" i="3"/>
  <c r="I34" i="3"/>
  <c r="G34" i="3"/>
  <c r="E34" i="3"/>
  <c r="F34" i="3" s="1"/>
  <c r="O34" i="3" s="1"/>
  <c r="D34" i="3"/>
  <c r="C34" i="3"/>
  <c r="K33" i="3"/>
  <c r="J33" i="3"/>
  <c r="I33" i="3"/>
  <c r="E33" i="3"/>
  <c r="D33" i="3"/>
  <c r="F33" i="3" s="1"/>
  <c r="C33" i="3"/>
  <c r="K32" i="3"/>
  <c r="J32" i="3"/>
  <c r="I32" i="3"/>
  <c r="E32" i="3"/>
  <c r="D32" i="3"/>
  <c r="C32" i="3"/>
  <c r="N31" i="3"/>
  <c r="K31" i="3"/>
  <c r="J31" i="3"/>
  <c r="I31" i="3"/>
  <c r="E31" i="3"/>
  <c r="D31" i="3"/>
  <c r="F31" i="3" s="1"/>
  <c r="C31" i="3"/>
  <c r="K30" i="3"/>
  <c r="J30" i="3"/>
  <c r="I30" i="3"/>
  <c r="F30" i="3"/>
  <c r="E30" i="3"/>
  <c r="D30" i="3"/>
  <c r="C30" i="3"/>
  <c r="O29" i="3"/>
  <c r="K29" i="3"/>
  <c r="J29" i="3"/>
  <c r="I29" i="3"/>
  <c r="E29" i="3"/>
  <c r="D29" i="3"/>
  <c r="C29" i="3"/>
  <c r="F29" i="3" s="1"/>
  <c r="J28" i="3"/>
  <c r="I28" i="3"/>
  <c r="E28" i="3"/>
  <c r="F28" i="3" s="1"/>
  <c r="D28" i="3"/>
  <c r="C28" i="3"/>
  <c r="K27" i="3"/>
  <c r="J27" i="3"/>
  <c r="I27" i="3"/>
  <c r="E27" i="3"/>
  <c r="D27" i="3"/>
  <c r="C27" i="3"/>
  <c r="F27" i="3" s="1"/>
  <c r="O27" i="3" s="1"/>
  <c r="J26" i="3"/>
  <c r="I26" i="3"/>
  <c r="E26" i="3"/>
  <c r="D26" i="3"/>
  <c r="C26" i="3"/>
  <c r="J25" i="3"/>
  <c r="I25" i="3"/>
  <c r="F25" i="3"/>
  <c r="H25" i="3" s="1"/>
  <c r="E25" i="3"/>
  <c r="D25" i="3"/>
  <c r="C25" i="3"/>
  <c r="J24" i="3"/>
  <c r="I24" i="3"/>
  <c r="E24" i="3"/>
  <c r="D24" i="3"/>
  <c r="C24" i="3"/>
  <c r="F24" i="3" s="1"/>
  <c r="O24" i="3" s="1"/>
  <c r="J23" i="3"/>
  <c r="I23" i="3"/>
  <c r="E23" i="3"/>
  <c r="D23" i="3"/>
  <c r="C23" i="3"/>
  <c r="N22" i="3"/>
  <c r="J22" i="3"/>
  <c r="I22" i="3"/>
  <c r="E22" i="3"/>
  <c r="F22" i="3" s="1"/>
  <c r="D22" i="3"/>
  <c r="C22" i="3"/>
  <c r="J21" i="3"/>
  <c r="I21" i="3"/>
  <c r="E21" i="3"/>
  <c r="D21" i="3"/>
  <c r="F21" i="3" s="1"/>
  <c r="C21" i="3"/>
  <c r="J20" i="3"/>
  <c r="I20" i="3"/>
  <c r="E20" i="3"/>
  <c r="F20" i="3" s="1"/>
  <c r="D20" i="3"/>
  <c r="C20" i="3"/>
  <c r="N19" i="3"/>
  <c r="K19" i="3"/>
  <c r="J19" i="3"/>
  <c r="I19" i="3"/>
  <c r="E19" i="3"/>
  <c r="D19" i="3"/>
  <c r="F19" i="3" s="1"/>
  <c r="C19" i="3"/>
  <c r="K18" i="3"/>
  <c r="J18" i="3"/>
  <c r="I18" i="3"/>
  <c r="F18" i="3"/>
  <c r="E18" i="3"/>
  <c r="D18" i="3"/>
  <c r="C18" i="3"/>
  <c r="O17" i="3"/>
  <c r="N17" i="3"/>
  <c r="K17" i="3"/>
  <c r="J17" i="3"/>
  <c r="I17" i="3"/>
  <c r="E17" i="3"/>
  <c r="D17" i="3"/>
  <c r="C17" i="3"/>
  <c r="F17" i="3" s="1"/>
  <c r="H17" i="3" s="1"/>
  <c r="N16" i="3"/>
  <c r="J16" i="3"/>
  <c r="I16" i="3"/>
  <c r="E16" i="3"/>
  <c r="F16" i="3" s="1"/>
  <c r="D16" i="3"/>
  <c r="C16" i="3"/>
  <c r="J15" i="3"/>
  <c r="I15" i="3"/>
  <c r="E15" i="3"/>
  <c r="D15" i="3"/>
  <c r="C15" i="3"/>
  <c r="F15" i="3" s="1"/>
  <c r="J14" i="3"/>
  <c r="I14" i="3"/>
  <c r="E14" i="3"/>
  <c r="D14" i="3"/>
  <c r="F14" i="3" s="1"/>
  <c r="C14" i="3"/>
  <c r="J13" i="3"/>
  <c r="I13" i="3"/>
  <c r="E13" i="3"/>
  <c r="F13" i="3" s="1"/>
  <c r="H13" i="3" s="1"/>
  <c r="D13" i="3"/>
  <c r="C13" i="3"/>
  <c r="N12" i="3"/>
  <c r="K12" i="3"/>
  <c r="L12" i="3" s="1"/>
  <c r="J12" i="3"/>
  <c r="I12" i="3"/>
  <c r="G12" i="3"/>
  <c r="E12" i="3"/>
  <c r="D12" i="3"/>
  <c r="C12" i="3"/>
  <c r="F12" i="3" s="1"/>
  <c r="H12" i="3" s="1"/>
  <c r="K11" i="3"/>
  <c r="J11" i="3"/>
  <c r="I11" i="3"/>
  <c r="E11" i="3"/>
  <c r="D11" i="3"/>
  <c r="C11" i="3"/>
  <c r="F11" i="3" s="1"/>
  <c r="P10" i="3"/>
  <c r="J10" i="3"/>
  <c r="I10" i="3"/>
  <c r="G10" i="3"/>
  <c r="F10" i="3"/>
  <c r="E10" i="3"/>
  <c r="D10" i="3"/>
  <c r="C10" i="3"/>
  <c r="P9" i="3"/>
  <c r="J9" i="3"/>
  <c r="I9" i="3"/>
  <c r="E9" i="3"/>
  <c r="D9" i="3"/>
  <c r="F9" i="3" s="1"/>
  <c r="C9" i="3"/>
  <c r="P8" i="3"/>
  <c r="K8" i="3"/>
  <c r="J8" i="3"/>
  <c r="I8" i="3"/>
  <c r="E8" i="3"/>
  <c r="D8" i="3"/>
  <c r="F8" i="3" s="1"/>
  <c r="C8" i="3"/>
  <c r="P7" i="3"/>
  <c r="N7" i="3"/>
  <c r="L7" i="3"/>
  <c r="K7" i="3"/>
  <c r="J7" i="3"/>
  <c r="I7" i="3"/>
  <c r="G7" i="3"/>
  <c r="E7" i="3"/>
  <c r="D7" i="3"/>
  <c r="C7" i="3"/>
  <c r="F7" i="3" s="1"/>
  <c r="H7" i="3" s="1"/>
  <c r="P6" i="3"/>
  <c r="K6" i="3"/>
  <c r="J6" i="3"/>
  <c r="I6" i="3"/>
  <c r="E6" i="3"/>
  <c r="D6" i="3"/>
  <c r="C6" i="3"/>
  <c r="P5" i="3"/>
  <c r="K5" i="3"/>
  <c r="J5" i="3"/>
  <c r="J41" i="3" s="1"/>
  <c r="I5" i="3"/>
  <c r="E5" i="3"/>
  <c r="D5" i="3"/>
  <c r="C5" i="3"/>
  <c r="K40" i="2"/>
  <c r="J40" i="2"/>
  <c r="I40" i="2"/>
  <c r="E40" i="2"/>
  <c r="F40" i="2" s="1"/>
  <c r="D40" i="2"/>
  <c r="C40" i="2"/>
  <c r="K39" i="2"/>
  <c r="J39" i="2"/>
  <c r="I39" i="2"/>
  <c r="E39" i="2"/>
  <c r="D39" i="2"/>
  <c r="C39" i="2"/>
  <c r="F39" i="2" s="1"/>
  <c r="K38" i="2"/>
  <c r="J38" i="2"/>
  <c r="I38" i="2"/>
  <c r="E38" i="2"/>
  <c r="D38" i="2"/>
  <c r="C38" i="2"/>
  <c r="N37" i="2"/>
  <c r="K37" i="2"/>
  <c r="J37" i="2"/>
  <c r="I37" i="2"/>
  <c r="E37" i="2"/>
  <c r="D37" i="2"/>
  <c r="C37" i="2"/>
  <c r="F37" i="2" s="1"/>
  <c r="K36" i="2"/>
  <c r="J36" i="2"/>
  <c r="I36" i="2"/>
  <c r="F36" i="2"/>
  <c r="E36" i="2"/>
  <c r="D36" i="2"/>
  <c r="C36" i="2"/>
  <c r="O35" i="2"/>
  <c r="K35" i="2"/>
  <c r="J35" i="2"/>
  <c r="I35" i="2"/>
  <c r="E35" i="2"/>
  <c r="D35" i="2"/>
  <c r="C35" i="2"/>
  <c r="F35" i="2" s="1"/>
  <c r="K34" i="2"/>
  <c r="J34" i="2"/>
  <c r="I34" i="2"/>
  <c r="F34" i="2"/>
  <c r="G34" i="2" s="1"/>
  <c r="E34" i="2"/>
  <c r="D34" i="2"/>
  <c r="C34" i="2"/>
  <c r="K33" i="2"/>
  <c r="J33" i="2"/>
  <c r="I33" i="2"/>
  <c r="E33" i="2"/>
  <c r="D33" i="2"/>
  <c r="F33" i="2" s="1"/>
  <c r="C33" i="2"/>
  <c r="N32" i="2"/>
  <c r="K32" i="2"/>
  <c r="J32" i="2"/>
  <c r="I32" i="2"/>
  <c r="F32" i="2"/>
  <c r="E32" i="2"/>
  <c r="D32" i="2"/>
  <c r="C32" i="2"/>
  <c r="K31" i="2"/>
  <c r="J31" i="2"/>
  <c r="I31" i="2"/>
  <c r="H31" i="2"/>
  <c r="F31" i="2"/>
  <c r="O31" i="2" s="1"/>
  <c r="E31" i="2"/>
  <c r="D31" i="2"/>
  <c r="C31" i="2"/>
  <c r="K30" i="2"/>
  <c r="J30" i="2"/>
  <c r="I30" i="2"/>
  <c r="E30" i="2"/>
  <c r="D30" i="2"/>
  <c r="C30" i="2"/>
  <c r="K29" i="2"/>
  <c r="J29" i="2"/>
  <c r="I29" i="2"/>
  <c r="E29" i="2"/>
  <c r="D29" i="2"/>
  <c r="C29" i="2"/>
  <c r="F29" i="2" s="1"/>
  <c r="K28" i="2"/>
  <c r="J28" i="2"/>
  <c r="I28" i="2"/>
  <c r="F28" i="2"/>
  <c r="E28" i="2"/>
  <c r="D28" i="2"/>
  <c r="C28" i="2"/>
  <c r="N27" i="2"/>
  <c r="K27" i="2"/>
  <c r="J27" i="2"/>
  <c r="I27" i="2"/>
  <c r="E27" i="2"/>
  <c r="D27" i="2"/>
  <c r="F27" i="2" s="1"/>
  <c r="C27" i="2"/>
  <c r="K26" i="2"/>
  <c r="J26" i="2"/>
  <c r="I26" i="2"/>
  <c r="E26" i="2"/>
  <c r="D26" i="2"/>
  <c r="F26" i="2" s="1"/>
  <c r="C26" i="2"/>
  <c r="J25" i="2"/>
  <c r="I25" i="2"/>
  <c r="E25" i="2"/>
  <c r="F25" i="2" s="1"/>
  <c r="D25" i="2"/>
  <c r="C25" i="2"/>
  <c r="N24" i="2"/>
  <c r="J24" i="2"/>
  <c r="I24" i="2"/>
  <c r="E24" i="2"/>
  <c r="D24" i="2"/>
  <c r="C24" i="2"/>
  <c r="F24" i="2" s="1"/>
  <c r="K23" i="2"/>
  <c r="J23" i="2"/>
  <c r="I23" i="2"/>
  <c r="H23" i="2"/>
  <c r="F23" i="2"/>
  <c r="G23" i="2" s="1"/>
  <c r="E23" i="2"/>
  <c r="D23" i="2"/>
  <c r="C23" i="2"/>
  <c r="K22" i="2"/>
  <c r="J22" i="2"/>
  <c r="I22" i="2"/>
  <c r="E22" i="2"/>
  <c r="D22" i="2"/>
  <c r="F22" i="2" s="1"/>
  <c r="C22" i="2"/>
  <c r="O21" i="2"/>
  <c r="N21" i="2"/>
  <c r="K21" i="2"/>
  <c r="J21" i="2"/>
  <c r="I21" i="2"/>
  <c r="E21" i="2"/>
  <c r="D21" i="2"/>
  <c r="C21" i="2"/>
  <c r="F21" i="2" s="1"/>
  <c r="K20" i="2"/>
  <c r="J20" i="2"/>
  <c r="I20" i="2"/>
  <c r="E20" i="2"/>
  <c r="D20" i="2"/>
  <c r="C20" i="2"/>
  <c r="F20" i="2" s="1"/>
  <c r="K19" i="2"/>
  <c r="J19" i="2"/>
  <c r="I19" i="2"/>
  <c r="E19" i="2"/>
  <c r="D19" i="2"/>
  <c r="C19" i="2"/>
  <c r="F19" i="2" s="1"/>
  <c r="K18" i="2"/>
  <c r="J18" i="2"/>
  <c r="I18" i="2"/>
  <c r="E18" i="2"/>
  <c r="F18" i="2" s="1"/>
  <c r="D18" i="2"/>
  <c r="C18" i="2"/>
  <c r="K17" i="2"/>
  <c r="J17" i="2"/>
  <c r="I17" i="2"/>
  <c r="G17" i="2"/>
  <c r="F17" i="2"/>
  <c r="E17" i="2"/>
  <c r="D17" i="2"/>
  <c r="C17" i="2"/>
  <c r="J16" i="2"/>
  <c r="I16" i="2"/>
  <c r="E16" i="2"/>
  <c r="D16" i="2"/>
  <c r="F16" i="2" s="1"/>
  <c r="C16" i="2"/>
  <c r="K15" i="2"/>
  <c r="J15" i="2"/>
  <c r="I15" i="2"/>
  <c r="E15" i="2"/>
  <c r="D15" i="2"/>
  <c r="C15" i="2"/>
  <c r="F15" i="2" s="1"/>
  <c r="K14" i="2"/>
  <c r="J14" i="2"/>
  <c r="I14" i="2"/>
  <c r="E14" i="2"/>
  <c r="D14" i="2"/>
  <c r="C14" i="2"/>
  <c r="F14" i="2" s="1"/>
  <c r="K13" i="2"/>
  <c r="J13" i="2"/>
  <c r="I13" i="2"/>
  <c r="E13" i="2"/>
  <c r="D13" i="2"/>
  <c r="C13" i="2"/>
  <c r="F13" i="2" s="1"/>
  <c r="K12" i="2"/>
  <c r="J12" i="2"/>
  <c r="I12" i="2"/>
  <c r="E12" i="2"/>
  <c r="F12" i="2" s="1"/>
  <c r="D12" i="2"/>
  <c r="C12" i="2"/>
  <c r="K11" i="2"/>
  <c r="J11" i="2"/>
  <c r="I11" i="2"/>
  <c r="F11" i="2"/>
  <c r="E11" i="2"/>
  <c r="D11" i="2"/>
  <c r="C11" i="2"/>
  <c r="P10" i="2"/>
  <c r="J10" i="2"/>
  <c r="I10" i="2"/>
  <c r="E10" i="2"/>
  <c r="D10" i="2"/>
  <c r="C10" i="2"/>
  <c r="P9" i="2"/>
  <c r="K9" i="2"/>
  <c r="J9" i="2"/>
  <c r="I9" i="2"/>
  <c r="E9" i="2"/>
  <c r="D9" i="2"/>
  <c r="C9" i="2"/>
  <c r="F9" i="2" s="1"/>
  <c r="O9" i="2" s="1"/>
  <c r="P8" i="2"/>
  <c r="K8" i="2"/>
  <c r="J8" i="2"/>
  <c r="I8" i="2"/>
  <c r="E8" i="2"/>
  <c r="D8" i="2"/>
  <c r="C8" i="2"/>
  <c r="F8" i="2" s="1"/>
  <c r="P7" i="2"/>
  <c r="K7" i="2"/>
  <c r="J7" i="2"/>
  <c r="I7" i="2"/>
  <c r="E7" i="2"/>
  <c r="D7" i="2"/>
  <c r="C7" i="2"/>
  <c r="F7" i="2" s="1"/>
  <c r="P6" i="2"/>
  <c r="K6" i="2"/>
  <c r="J6" i="2"/>
  <c r="I6" i="2"/>
  <c r="E6" i="2"/>
  <c r="F6" i="2" s="1"/>
  <c r="D6" i="2"/>
  <c r="C6" i="2"/>
  <c r="P5" i="2"/>
  <c r="K5" i="2"/>
  <c r="J5" i="2"/>
  <c r="I5" i="2"/>
  <c r="G5" i="2"/>
  <c r="F5" i="2"/>
  <c r="E5" i="2"/>
  <c r="D5" i="2"/>
  <c r="C5" i="2"/>
  <c r="B14" i="1"/>
  <c r="K22" i="3" s="1"/>
  <c r="O25" i="2" l="1"/>
  <c r="N25" i="2"/>
  <c r="H25" i="2"/>
  <c r="G25" i="2"/>
  <c r="L25" i="2" s="1"/>
  <c r="O40" i="2"/>
  <c r="N40" i="2"/>
  <c r="H40" i="2"/>
  <c r="G40" i="2"/>
  <c r="L40" i="2" s="1"/>
  <c r="Q12" i="3"/>
  <c r="P12" i="3"/>
  <c r="M12" i="3"/>
  <c r="G12" i="2"/>
  <c r="O12" i="2"/>
  <c r="N12" i="2"/>
  <c r="L12" i="2"/>
  <c r="M12" i="2" s="1"/>
  <c r="H15" i="2"/>
  <c r="L15" i="2" s="1"/>
  <c r="G15" i="2"/>
  <c r="G22" i="2"/>
  <c r="L22" i="2" s="1"/>
  <c r="O22" i="2"/>
  <c r="N22" i="2"/>
  <c r="H22" i="2"/>
  <c r="O36" i="2"/>
  <c r="N36" i="2"/>
  <c r="H36" i="2"/>
  <c r="G39" i="2"/>
  <c r="H39" i="2"/>
  <c r="O39" i="2"/>
  <c r="N39" i="2"/>
  <c r="O28" i="3"/>
  <c r="H28" i="3"/>
  <c r="L28" i="3" s="1"/>
  <c r="N28" i="3"/>
  <c r="G28" i="3"/>
  <c r="H7" i="2"/>
  <c r="L7" i="2" s="1"/>
  <c r="G7" i="2"/>
  <c r="O7" i="2"/>
  <c r="N7" i="2"/>
  <c r="H12" i="2"/>
  <c r="G35" i="2"/>
  <c r="L35" i="2"/>
  <c r="M35" i="2" s="1"/>
  <c r="H35" i="2"/>
  <c r="G36" i="2"/>
  <c r="L36" i="2" s="1"/>
  <c r="H20" i="3"/>
  <c r="O20" i="3"/>
  <c r="N20" i="3"/>
  <c r="G20" i="3"/>
  <c r="G28" i="2"/>
  <c r="L28" i="2" s="1"/>
  <c r="O28" i="2"/>
  <c r="N28" i="2"/>
  <c r="O14" i="3"/>
  <c r="N14" i="3"/>
  <c r="H14" i="3"/>
  <c r="G14" i="3"/>
  <c r="I41" i="2"/>
  <c r="O26" i="2"/>
  <c r="H26" i="2"/>
  <c r="G26" i="2"/>
  <c r="L26" i="2" s="1"/>
  <c r="N26" i="2"/>
  <c r="O33" i="2"/>
  <c r="N33" i="2"/>
  <c r="H33" i="2"/>
  <c r="G33" i="2"/>
  <c r="L33" i="2" s="1"/>
  <c r="G13" i="3"/>
  <c r="L13" i="3" s="1"/>
  <c r="H8" i="2"/>
  <c r="L8" i="2" s="1"/>
  <c r="O8" i="2"/>
  <c r="G8" i="2"/>
  <c r="N8" i="2"/>
  <c r="G8" i="3"/>
  <c r="L8" i="3" s="1"/>
  <c r="O8" i="3"/>
  <c r="N8" i="3"/>
  <c r="H8" i="3"/>
  <c r="N9" i="2"/>
  <c r="O11" i="2"/>
  <c r="N11" i="2"/>
  <c r="L11" i="2"/>
  <c r="H11" i="2"/>
  <c r="H14" i="2"/>
  <c r="G14" i="2"/>
  <c r="L14" i="2" s="1"/>
  <c r="O14" i="2"/>
  <c r="N14" i="2"/>
  <c r="G18" i="2"/>
  <c r="L18" i="2" s="1"/>
  <c r="O18" i="2"/>
  <c r="N18" i="2"/>
  <c r="L21" i="2"/>
  <c r="H21" i="2"/>
  <c r="G21" i="2"/>
  <c r="H28" i="2"/>
  <c r="H10" i="4"/>
  <c r="O10" i="4"/>
  <c r="G10" i="4"/>
  <c r="L10" i="4" s="1"/>
  <c r="N10" i="4"/>
  <c r="N9" i="3"/>
  <c r="H9" i="3"/>
  <c r="L9" i="3" s="1"/>
  <c r="G9" i="3"/>
  <c r="O9" i="3"/>
  <c r="G11" i="2"/>
  <c r="H18" i="2"/>
  <c r="O27" i="2"/>
  <c r="L27" i="2"/>
  <c r="M27" i="2" s="1"/>
  <c r="H27" i="2"/>
  <c r="G27" i="2"/>
  <c r="D41" i="3"/>
  <c r="G6" i="2"/>
  <c r="O6" i="2"/>
  <c r="N6" i="2"/>
  <c r="L6" i="2"/>
  <c r="H24" i="2"/>
  <c r="G24" i="2"/>
  <c r="L24" i="2" s="1"/>
  <c r="O24" i="2"/>
  <c r="O16" i="3"/>
  <c r="H16" i="3"/>
  <c r="G16" i="3"/>
  <c r="L16" i="3" s="1"/>
  <c r="H9" i="2"/>
  <c r="G9" i="2"/>
  <c r="L9" i="2" s="1"/>
  <c r="N13" i="3"/>
  <c r="O13" i="3"/>
  <c r="O16" i="2"/>
  <c r="N16" i="2"/>
  <c r="L16" i="2"/>
  <c r="H16" i="2"/>
  <c r="G16" i="2"/>
  <c r="G29" i="2"/>
  <c r="L29" i="2" s="1"/>
  <c r="H29" i="2"/>
  <c r="O29" i="2"/>
  <c r="N29" i="2"/>
  <c r="N33" i="3"/>
  <c r="O33" i="3"/>
  <c r="H33" i="3"/>
  <c r="G33" i="3"/>
  <c r="L33" i="3" s="1"/>
  <c r="J41" i="2"/>
  <c r="H19" i="2"/>
  <c r="G19" i="2"/>
  <c r="L19" i="2" s="1"/>
  <c r="O19" i="2"/>
  <c r="N19" i="2"/>
  <c r="E41" i="2"/>
  <c r="H6" i="2"/>
  <c r="F10" i="2"/>
  <c r="N15" i="2"/>
  <c r="O17" i="2"/>
  <c r="N17" i="2"/>
  <c r="H17" i="2"/>
  <c r="L17" i="2" s="1"/>
  <c r="H20" i="2"/>
  <c r="G20" i="2"/>
  <c r="O20" i="2"/>
  <c r="N20" i="2"/>
  <c r="F30" i="2"/>
  <c r="L39" i="2"/>
  <c r="N10" i="3"/>
  <c r="H10" i="3"/>
  <c r="O10" i="3"/>
  <c r="L10" i="3"/>
  <c r="H36" i="3"/>
  <c r="L36" i="3" s="1"/>
  <c r="G36" i="3"/>
  <c r="O36" i="3"/>
  <c r="N36" i="3"/>
  <c r="O5" i="2"/>
  <c r="N5" i="2"/>
  <c r="F41" i="2"/>
  <c r="H5" i="2"/>
  <c r="L5" i="2" s="1"/>
  <c r="H13" i="2"/>
  <c r="L13" i="2" s="1"/>
  <c r="G13" i="2"/>
  <c r="O13" i="2"/>
  <c r="N13" i="2"/>
  <c r="O15" i="2"/>
  <c r="N35" i="2"/>
  <c r="G37" i="2"/>
  <c r="O37" i="2"/>
  <c r="H37" i="2"/>
  <c r="M39" i="2"/>
  <c r="M7" i="3"/>
  <c r="N21" i="3"/>
  <c r="H21" i="3"/>
  <c r="G21" i="3"/>
  <c r="L21" i="3" s="1"/>
  <c r="O21" i="3"/>
  <c r="O31" i="3"/>
  <c r="H31" i="3"/>
  <c r="G31" i="3"/>
  <c r="L31" i="3" s="1"/>
  <c r="G25" i="3"/>
  <c r="C41" i="4"/>
  <c r="F5" i="4"/>
  <c r="G26" i="4"/>
  <c r="H26" i="4"/>
  <c r="L26" i="4" s="1"/>
  <c r="O26" i="4"/>
  <c r="N26" i="4"/>
  <c r="N11" i="3"/>
  <c r="N15" i="3"/>
  <c r="G15" i="3"/>
  <c r="H15" i="3"/>
  <c r="D41" i="4"/>
  <c r="O12" i="4"/>
  <c r="H12" i="4"/>
  <c r="L12" i="4" s="1"/>
  <c r="N12" i="4"/>
  <c r="G12" i="4"/>
  <c r="H16" i="4"/>
  <c r="N16" i="4"/>
  <c r="O16" i="4"/>
  <c r="L23" i="2"/>
  <c r="L31" i="2"/>
  <c r="M34" i="2"/>
  <c r="F6" i="3"/>
  <c r="O7" i="3"/>
  <c r="R7" i="3" s="1"/>
  <c r="K10" i="3"/>
  <c r="O12" i="3"/>
  <c r="R12" i="3" s="1"/>
  <c r="O22" i="3"/>
  <c r="G22" i="3"/>
  <c r="H22" i="3"/>
  <c r="L22" i="3" s="1"/>
  <c r="E41" i="4"/>
  <c r="M23" i="2"/>
  <c r="N31" i="2"/>
  <c r="N34" i="2"/>
  <c r="N37" i="3"/>
  <c r="N39" i="3"/>
  <c r="H39" i="3"/>
  <c r="G39" i="3"/>
  <c r="L39" i="3" s="1"/>
  <c r="O40" i="3"/>
  <c r="H40" i="3"/>
  <c r="N40" i="3"/>
  <c r="L40" i="3"/>
  <c r="M40" i="3" s="1"/>
  <c r="G9" i="4"/>
  <c r="L9" i="4" s="1"/>
  <c r="H9" i="4"/>
  <c r="N9" i="4"/>
  <c r="O9" i="4"/>
  <c r="G16" i="4"/>
  <c r="L16" i="4" s="1"/>
  <c r="N23" i="2"/>
  <c r="O32" i="2"/>
  <c r="O34" i="2"/>
  <c r="I41" i="3"/>
  <c r="G11" i="3"/>
  <c r="L11" i="3" s="1"/>
  <c r="O19" i="3"/>
  <c r="H19" i="3"/>
  <c r="G19" i="3"/>
  <c r="L19" i="3" s="1"/>
  <c r="N24" i="3"/>
  <c r="K25" i="3"/>
  <c r="N29" i="3"/>
  <c r="H29" i="3"/>
  <c r="G29" i="3"/>
  <c r="L29" i="3" s="1"/>
  <c r="G40" i="3"/>
  <c r="H11" i="4"/>
  <c r="L11" i="4" s="1"/>
  <c r="O11" i="4"/>
  <c r="N11" i="4"/>
  <c r="N25" i="3"/>
  <c r="O25" i="3"/>
  <c r="L25" i="3"/>
  <c r="O6" i="4"/>
  <c r="H6" i="4"/>
  <c r="G6" i="4"/>
  <c r="L6" i="4" s="1"/>
  <c r="K10" i="2"/>
  <c r="K41" i="2" s="1"/>
  <c r="K16" i="2"/>
  <c r="O23" i="2"/>
  <c r="G32" i="2"/>
  <c r="F5" i="3"/>
  <c r="H11" i="3"/>
  <c r="N6" i="4"/>
  <c r="G8" i="4"/>
  <c r="O8" i="4"/>
  <c r="N8" i="4"/>
  <c r="L8" i="4"/>
  <c r="O25" i="4"/>
  <c r="N25" i="4"/>
  <c r="H25" i="4"/>
  <c r="G25" i="4"/>
  <c r="K28" i="4"/>
  <c r="K22" i="4"/>
  <c r="K16" i="4"/>
  <c r="K10" i="4"/>
  <c r="K23" i="4"/>
  <c r="K17" i="4"/>
  <c r="K11" i="4"/>
  <c r="K26" i="3"/>
  <c r="K20" i="3"/>
  <c r="L20" i="3" s="1"/>
  <c r="K20" i="4"/>
  <c r="K18" i="4"/>
  <c r="K26" i="4"/>
  <c r="K24" i="4"/>
  <c r="K15" i="4"/>
  <c r="K9" i="3"/>
  <c r="K41" i="3" s="1"/>
  <c r="K19" i="4"/>
  <c r="K12" i="4"/>
  <c r="K21" i="4"/>
  <c r="L21" i="4" s="1"/>
  <c r="K27" i="4"/>
  <c r="K24" i="3"/>
  <c r="K15" i="3"/>
  <c r="L15" i="3" s="1"/>
  <c r="K21" i="3"/>
  <c r="K13" i="3"/>
  <c r="K24" i="2"/>
  <c r="K14" i="4"/>
  <c r="K25" i="4"/>
  <c r="L25" i="4" s="1"/>
  <c r="K13" i="4"/>
  <c r="K9" i="4"/>
  <c r="K41" i="4" s="1"/>
  <c r="K23" i="3"/>
  <c r="K16" i="3"/>
  <c r="K25" i="2"/>
  <c r="K28" i="3"/>
  <c r="H32" i="2"/>
  <c r="K14" i="3"/>
  <c r="L14" i="3" s="1"/>
  <c r="C41" i="2"/>
  <c r="E41" i="3"/>
  <c r="H18" i="3"/>
  <c r="G18" i="3"/>
  <c r="L18" i="3" s="1"/>
  <c r="O18" i="3"/>
  <c r="N18" i="3"/>
  <c r="N27" i="3"/>
  <c r="H27" i="3"/>
  <c r="G27" i="3"/>
  <c r="L27" i="3" s="1"/>
  <c r="H30" i="3"/>
  <c r="G30" i="3"/>
  <c r="L30" i="3" s="1"/>
  <c r="O30" i="3"/>
  <c r="N30" i="3"/>
  <c r="O13" i="4"/>
  <c r="N13" i="4"/>
  <c r="G13" i="4"/>
  <c r="L13" i="4" s="1"/>
  <c r="H13" i="4"/>
  <c r="D41" i="2"/>
  <c r="F38" i="2"/>
  <c r="O15" i="3"/>
  <c r="F26" i="3"/>
  <c r="G37" i="3"/>
  <c r="L37" i="3" s="1"/>
  <c r="H37" i="3"/>
  <c r="C41" i="3"/>
  <c r="G31" i="2"/>
  <c r="H34" i="2"/>
  <c r="L34" i="2" s="1"/>
  <c r="O11" i="3"/>
  <c r="F23" i="3"/>
  <c r="H24" i="3"/>
  <c r="G24" i="3"/>
  <c r="L24" i="3" s="1"/>
  <c r="G14" i="4"/>
  <c r="N14" i="4"/>
  <c r="L14" i="4"/>
  <c r="M14" i="4" s="1"/>
  <c r="G20" i="4"/>
  <c r="H20" i="4"/>
  <c r="L20" i="4" s="1"/>
  <c r="O20" i="4"/>
  <c r="J41" i="4"/>
  <c r="O24" i="4"/>
  <c r="L24" i="4"/>
  <c r="N24" i="4"/>
  <c r="H40" i="4"/>
  <c r="L40" i="4"/>
  <c r="O40" i="4"/>
  <c r="N40" i="4"/>
  <c r="G40" i="4"/>
  <c r="O18" i="4"/>
  <c r="H18" i="4"/>
  <c r="L18" i="4" s="1"/>
  <c r="O19" i="4"/>
  <c r="N19" i="4"/>
  <c r="M19" i="4"/>
  <c r="H19" i="4"/>
  <c r="G19" i="4"/>
  <c r="G23" i="4"/>
  <c r="O23" i="4"/>
  <c r="G32" i="4"/>
  <c r="L32" i="4" s="1"/>
  <c r="O32" i="4"/>
  <c r="N32" i="4"/>
  <c r="R33" i="4"/>
  <c r="Q33" i="4"/>
  <c r="P33" i="4"/>
  <c r="G24" i="4"/>
  <c r="F28" i="4"/>
  <c r="O36" i="4"/>
  <c r="H36" i="4"/>
  <c r="G36" i="4"/>
  <c r="L36" i="4" s="1"/>
  <c r="F32" i="3"/>
  <c r="O17" i="4"/>
  <c r="G17" i="4"/>
  <c r="L17" i="4" s="1"/>
  <c r="G18" i="4"/>
  <c r="N20" i="4"/>
  <c r="H24" i="4"/>
  <c r="G17" i="3"/>
  <c r="L17" i="3" s="1"/>
  <c r="H34" i="3"/>
  <c r="L34" i="3" s="1"/>
  <c r="F35" i="3"/>
  <c r="I41" i="4"/>
  <c r="L19" i="4"/>
  <c r="H22" i="4"/>
  <c r="L22" i="4" s="1"/>
  <c r="O22" i="4"/>
  <c r="H23" i="4"/>
  <c r="H32" i="4"/>
  <c r="F38" i="3"/>
  <c r="O7" i="4"/>
  <c r="N7" i="4"/>
  <c r="H7" i="4"/>
  <c r="L7" i="4" s="1"/>
  <c r="O14" i="4"/>
  <c r="L35" i="4"/>
  <c r="O35" i="4"/>
  <c r="H35" i="4"/>
  <c r="G35" i="4"/>
  <c r="H17" i="4"/>
  <c r="N18" i="4"/>
  <c r="G21" i="4"/>
  <c r="N21" i="4"/>
  <c r="L27" i="4"/>
  <c r="O31" i="4"/>
  <c r="N31" i="4"/>
  <c r="H31" i="4"/>
  <c r="L31" i="4" s="1"/>
  <c r="G29" i="4"/>
  <c r="L29" i="4" s="1"/>
  <c r="N29" i="4"/>
  <c r="F30" i="4"/>
  <c r="G38" i="4"/>
  <c r="H38" i="4"/>
  <c r="N38" i="4"/>
  <c r="O37" i="4"/>
  <c r="N37" i="4"/>
  <c r="H37" i="4"/>
  <c r="L37" i="4" s="1"/>
  <c r="G37" i="4"/>
  <c r="O29" i="4"/>
  <c r="O38" i="4"/>
  <c r="F34" i="4"/>
  <c r="M33" i="4"/>
  <c r="F39" i="4"/>
  <c r="F15" i="4"/>
  <c r="Q13" i="4" l="1"/>
  <c r="R13" i="4"/>
  <c r="P13" i="4"/>
  <c r="M13" i="4"/>
  <c r="R18" i="3"/>
  <c r="Q18" i="3"/>
  <c r="P18" i="3"/>
  <c r="M18" i="3"/>
  <c r="Q25" i="4"/>
  <c r="R25" i="4"/>
  <c r="P25" i="4"/>
  <c r="M25" i="4"/>
  <c r="T12" i="3"/>
  <c r="S12" i="3"/>
  <c r="R12" i="4"/>
  <c r="P12" i="4"/>
  <c r="Q12" i="4"/>
  <c r="M12" i="4"/>
  <c r="Q28" i="2"/>
  <c r="R28" i="2"/>
  <c r="P28" i="2"/>
  <c r="M28" i="2"/>
  <c r="Q36" i="4"/>
  <c r="R36" i="4"/>
  <c r="P36" i="4"/>
  <c r="M36" i="4"/>
  <c r="R11" i="4"/>
  <c r="P11" i="4"/>
  <c r="Q11" i="4"/>
  <c r="M11" i="4"/>
  <c r="R39" i="3"/>
  <c r="Q39" i="3"/>
  <c r="P39" i="3"/>
  <c r="M39" i="3"/>
  <c r="R7" i="2"/>
  <c r="Q7" i="2"/>
  <c r="M7" i="2"/>
  <c r="T7" i="3"/>
  <c r="S7" i="3"/>
  <c r="U7" i="3" s="1"/>
  <c r="W7" i="3" s="1"/>
  <c r="P31" i="3"/>
  <c r="R31" i="3"/>
  <c r="Q31" i="3"/>
  <c r="M31" i="3"/>
  <c r="Q17" i="2"/>
  <c r="P17" i="2"/>
  <c r="R17" i="2"/>
  <c r="M17" i="2"/>
  <c r="P33" i="3"/>
  <c r="R33" i="3"/>
  <c r="Q33" i="3"/>
  <c r="M33" i="3"/>
  <c r="Q9" i="3"/>
  <c r="R9" i="3"/>
  <c r="M9" i="3"/>
  <c r="R18" i="2"/>
  <c r="Q18" i="2"/>
  <c r="P18" i="2"/>
  <c r="M18" i="2"/>
  <c r="R26" i="2"/>
  <c r="Q26" i="2"/>
  <c r="P26" i="2"/>
  <c r="M26" i="2"/>
  <c r="R40" i="2"/>
  <c r="Q40" i="2"/>
  <c r="P40" i="2"/>
  <c r="M40" i="2"/>
  <c r="Q31" i="4"/>
  <c r="R31" i="4"/>
  <c r="P31" i="4"/>
  <c r="M31" i="4"/>
  <c r="R36" i="3"/>
  <c r="Q36" i="3"/>
  <c r="P36" i="3"/>
  <c r="M36" i="3"/>
  <c r="R8" i="3"/>
  <c r="Q8" i="3"/>
  <c r="M8" i="3"/>
  <c r="P22" i="4"/>
  <c r="R22" i="4"/>
  <c r="Q22" i="4"/>
  <c r="M22" i="4"/>
  <c r="R11" i="3"/>
  <c r="Q11" i="3"/>
  <c r="P11" i="3"/>
  <c r="M11" i="3"/>
  <c r="R19" i="2"/>
  <c r="Q19" i="2"/>
  <c r="P19" i="2"/>
  <c r="M19" i="2"/>
  <c r="R7" i="4"/>
  <c r="Q7" i="4"/>
  <c r="M7" i="4"/>
  <c r="P14" i="3"/>
  <c r="Q14" i="3"/>
  <c r="R14" i="3"/>
  <c r="M14" i="3"/>
  <c r="R16" i="4"/>
  <c r="P16" i="4"/>
  <c r="Q16" i="4"/>
  <c r="M16" i="4"/>
  <c r="P28" i="3"/>
  <c r="R28" i="3"/>
  <c r="Q28" i="3"/>
  <c r="M28" i="3"/>
  <c r="P22" i="2"/>
  <c r="R22" i="2"/>
  <c r="Q22" i="2"/>
  <c r="M22" i="2"/>
  <c r="R24" i="2"/>
  <c r="Q24" i="2"/>
  <c r="P24" i="2"/>
  <c r="M24" i="2"/>
  <c r="R18" i="4"/>
  <c r="Q18" i="4"/>
  <c r="P18" i="4"/>
  <c r="M18" i="4"/>
  <c r="Q20" i="4"/>
  <c r="P20" i="4"/>
  <c r="R20" i="4"/>
  <c r="M20" i="4"/>
  <c r="P15" i="3"/>
  <c r="R15" i="3"/>
  <c r="Q15" i="3"/>
  <c r="M15" i="3"/>
  <c r="R20" i="3"/>
  <c r="Q20" i="3"/>
  <c r="P20" i="3"/>
  <c r="M20" i="3"/>
  <c r="R6" i="4"/>
  <c r="Q6" i="4"/>
  <c r="M6" i="4"/>
  <c r="R9" i="2"/>
  <c r="Q9" i="2"/>
  <c r="M9" i="2"/>
  <c r="R10" i="4"/>
  <c r="Q10" i="4"/>
  <c r="M10" i="4"/>
  <c r="Q36" i="2"/>
  <c r="R36" i="2"/>
  <c r="P36" i="2"/>
  <c r="M36" i="2"/>
  <c r="Q37" i="4"/>
  <c r="R37" i="4"/>
  <c r="P37" i="4"/>
  <c r="M37" i="4"/>
  <c r="R15" i="2"/>
  <c r="Q15" i="2"/>
  <c r="P15" i="2"/>
  <c r="M15" i="2"/>
  <c r="R13" i="2"/>
  <c r="Q13" i="2"/>
  <c r="P13" i="2"/>
  <c r="M13" i="2"/>
  <c r="P16" i="3"/>
  <c r="Q16" i="3"/>
  <c r="R16" i="3"/>
  <c r="M16" i="3"/>
  <c r="R8" i="2"/>
  <c r="Q8" i="2"/>
  <c r="M8" i="2"/>
  <c r="P17" i="4"/>
  <c r="R17" i="4"/>
  <c r="Q17" i="4"/>
  <c r="M17" i="4"/>
  <c r="R21" i="4"/>
  <c r="P21" i="4"/>
  <c r="Q21" i="4"/>
  <c r="M21" i="4"/>
  <c r="R9" i="4"/>
  <c r="Q9" i="4"/>
  <c r="M9" i="4"/>
  <c r="Q5" i="2"/>
  <c r="R5" i="2"/>
  <c r="M5" i="2"/>
  <c r="R13" i="3"/>
  <c r="Q13" i="3"/>
  <c r="P13" i="3"/>
  <c r="M13" i="3"/>
  <c r="R24" i="3"/>
  <c r="Q24" i="3"/>
  <c r="P24" i="3"/>
  <c r="M24" i="3"/>
  <c r="R37" i="3"/>
  <c r="Q37" i="3"/>
  <c r="P37" i="3"/>
  <c r="M37" i="3"/>
  <c r="Q21" i="3"/>
  <c r="P21" i="3"/>
  <c r="R21" i="3"/>
  <c r="M21" i="3"/>
  <c r="R25" i="2"/>
  <c r="Q25" i="2"/>
  <c r="P25" i="2"/>
  <c r="M25" i="2"/>
  <c r="Q32" i="4"/>
  <c r="P32" i="4"/>
  <c r="R32" i="4"/>
  <c r="M32" i="4"/>
  <c r="P22" i="3"/>
  <c r="R22" i="3"/>
  <c r="Q22" i="3"/>
  <c r="M22" i="3"/>
  <c r="Q26" i="4"/>
  <c r="P26" i="4"/>
  <c r="R26" i="4"/>
  <c r="M26" i="4"/>
  <c r="R29" i="2"/>
  <c r="Q29" i="2"/>
  <c r="P29" i="2"/>
  <c r="M29" i="2"/>
  <c r="Q33" i="2"/>
  <c r="P33" i="2"/>
  <c r="R33" i="2"/>
  <c r="M33" i="2"/>
  <c r="Q8" i="4"/>
  <c r="R8" i="4"/>
  <c r="R27" i="4"/>
  <c r="Q27" i="4"/>
  <c r="M27" i="4"/>
  <c r="P27" i="4"/>
  <c r="H6" i="3"/>
  <c r="O6" i="3"/>
  <c r="N6" i="3"/>
  <c r="G6" i="3"/>
  <c r="L6" i="3" s="1"/>
  <c r="M8" i="4"/>
  <c r="R23" i="2"/>
  <c r="Q23" i="2"/>
  <c r="P23" i="2"/>
  <c r="L37" i="2"/>
  <c r="R6" i="2"/>
  <c r="Q6" i="2"/>
  <c r="G39" i="4"/>
  <c r="O39" i="4"/>
  <c r="L39" i="4"/>
  <c r="M39" i="4" s="1"/>
  <c r="H39" i="4"/>
  <c r="N39" i="4"/>
  <c r="G26" i="3"/>
  <c r="L26" i="3" s="1"/>
  <c r="N26" i="3"/>
  <c r="H26" i="3"/>
  <c r="O26" i="3"/>
  <c r="G32" i="3"/>
  <c r="L32" i="3" s="1"/>
  <c r="H32" i="3"/>
  <c r="N32" i="3"/>
  <c r="O32" i="3"/>
  <c r="R24" i="4"/>
  <c r="P24" i="4"/>
  <c r="Q24" i="4"/>
  <c r="Q27" i="3"/>
  <c r="R27" i="3"/>
  <c r="P27" i="3"/>
  <c r="R29" i="3"/>
  <c r="Q29" i="3"/>
  <c r="M29" i="3"/>
  <c r="P29" i="3"/>
  <c r="P34" i="3"/>
  <c r="R34" i="3"/>
  <c r="Q34" i="3"/>
  <c r="M34" i="3"/>
  <c r="M24" i="4"/>
  <c r="O23" i="3"/>
  <c r="N23" i="3"/>
  <c r="H23" i="3"/>
  <c r="L23" i="3" s="1"/>
  <c r="G23" i="3"/>
  <c r="M6" i="2"/>
  <c r="O30" i="4"/>
  <c r="L30" i="4"/>
  <c r="N30" i="4"/>
  <c r="G30" i="4"/>
  <c r="H30" i="4"/>
  <c r="F41" i="4"/>
  <c r="H5" i="4"/>
  <c r="O5" i="4"/>
  <c r="N5" i="4"/>
  <c r="L5" i="4"/>
  <c r="G5" i="4"/>
  <c r="R16" i="2"/>
  <c r="Q16" i="2"/>
  <c r="P16" i="2"/>
  <c r="R14" i="2"/>
  <c r="Q14" i="2"/>
  <c r="P14" i="2"/>
  <c r="M14" i="2"/>
  <c r="Q19" i="4"/>
  <c r="R19" i="4"/>
  <c r="P19" i="4"/>
  <c r="R10" i="3"/>
  <c r="Q10" i="3"/>
  <c r="O38" i="2"/>
  <c r="N38" i="2"/>
  <c r="H38" i="2"/>
  <c r="L38" i="2" s="1"/>
  <c r="G38" i="2"/>
  <c r="R31" i="2"/>
  <c r="Q31" i="2"/>
  <c r="P31" i="2"/>
  <c r="L35" i="3"/>
  <c r="M35" i="3" s="1"/>
  <c r="O35" i="3"/>
  <c r="N35" i="3"/>
  <c r="H35" i="3"/>
  <c r="G35" i="3"/>
  <c r="M31" i="2"/>
  <c r="Q29" i="4"/>
  <c r="P29" i="4"/>
  <c r="R29" i="4"/>
  <c r="O38" i="3"/>
  <c r="N38" i="3"/>
  <c r="H38" i="3"/>
  <c r="L38" i="3" s="1"/>
  <c r="G38" i="3"/>
  <c r="R17" i="3"/>
  <c r="P17" i="3"/>
  <c r="Q17" i="3"/>
  <c r="M17" i="3"/>
  <c r="M27" i="3"/>
  <c r="Q34" i="2"/>
  <c r="R34" i="2"/>
  <c r="P34" i="2"/>
  <c r="R39" i="2"/>
  <c r="Q39" i="2"/>
  <c r="P39" i="2"/>
  <c r="O10" i="2"/>
  <c r="N10" i="2"/>
  <c r="G10" i="2"/>
  <c r="L10" i="2" s="1"/>
  <c r="H10" i="2"/>
  <c r="H41" i="2" s="1"/>
  <c r="M16" i="2"/>
  <c r="U12" i="3"/>
  <c r="W12" i="3" s="1"/>
  <c r="R35" i="4"/>
  <c r="Q35" i="4"/>
  <c r="P35" i="4"/>
  <c r="Q14" i="4"/>
  <c r="P14" i="4"/>
  <c r="R14" i="4"/>
  <c r="Q27" i="2"/>
  <c r="R27" i="2"/>
  <c r="P27" i="2"/>
  <c r="R12" i="2"/>
  <c r="Q12" i="2"/>
  <c r="P12" i="2"/>
  <c r="M35" i="4"/>
  <c r="S33" i="4"/>
  <c r="U33" i="4" s="1"/>
  <c r="W33" i="4" s="1"/>
  <c r="T33" i="4"/>
  <c r="V33" i="4" s="1"/>
  <c r="R40" i="4"/>
  <c r="P40" i="4"/>
  <c r="Q40" i="4"/>
  <c r="M10" i="3"/>
  <c r="H34" i="4"/>
  <c r="N34" i="4"/>
  <c r="G34" i="4"/>
  <c r="L34" i="4" s="1"/>
  <c r="O34" i="4"/>
  <c r="R25" i="3"/>
  <c r="Q25" i="3"/>
  <c r="P25" i="3"/>
  <c r="M29" i="4"/>
  <c r="M25" i="3"/>
  <c r="H28" i="4"/>
  <c r="N28" i="4"/>
  <c r="L28" i="4"/>
  <c r="G28" i="4"/>
  <c r="O28" i="4"/>
  <c r="L23" i="4"/>
  <c r="F41" i="3"/>
  <c r="H5" i="3"/>
  <c r="G5" i="3"/>
  <c r="O5" i="3"/>
  <c r="N5" i="3"/>
  <c r="L5" i="3"/>
  <c r="M5" i="3" s="1"/>
  <c r="O30" i="2"/>
  <c r="N30" i="2"/>
  <c r="H30" i="2"/>
  <c r="G30" i="2"/>
  <c r="L30" i="2" s="1"/>
  <c r="V12" i="3"/>
  <c r="L38" i="4"/>
  <c r="L32" i="2"/>
  <c r="Q19" i="3"/>
  <c r="R19" i="3"/>
  <c r="P19" i="3"/>
  <c r="M19" i="3"/>
  <c r="Q7" i="3"/>
  <c r="V7" i="3" s="1"/>
  <c r="R21" i="2"/>
  <c r="Q21" i="2"/>
  <c r="P21" i="2"/>
  <c r="Q11" i="2"/>
  <c r="P11" i="2"/>
  <c r="R11" i="2"/>
  <c r="R30" i="3"/>
  <c r="Q30" i="3"/>
  <c r="P30" i="3"/>
  <c r="M30" i="3"/>
  <c r="M40" i="4"/>
  <c r="M21" i="2"/>
  <c r="M11" i="2"/>
  <c r="R35" i="2"/>
  <c r="Q35" i="2"/>
  <c r="P35" i="2"/>
  <c r="P40" i="3"/>
  <c r="Q40" i="3"/>
  <c r="R40" i="3"/>
  <c r="G15" i="4"/>
  <c r="L15" i="4" s="1"/>
  <c r="O15" i="4"/>
  <c r="N15" i="4"/>
  <c r="H15" i="4"/>
  <c r="L20" i="2"/>
  <c r="R10" i="2" l="1"/>
  <c r="Q10" i="2"/>
  <c r="L41" i="2"/>
  <c r="M10" i="2"/>
  <c r="P26" i="3"/>
  <c r="R26" i="3"/>
  <c r="Q26" i="3"/>
  <c r="M26" i="3"/>
  <c r="R30" i="2"/>
  <c r="P30" i="2"/>
  <c r="Q30" i="2"/>
  <c r="M30" i="2"/>
  <c r="Q6" i="3"/>
  <c r="R6" i="3"/>
  <c r="M6" i="3"/>
  <c r="R34" i="4"/>
  <c r="P34" i="4"/>
  <c r="Q34" i="4"/>
  <c r="M34" i="4"/>
  <c r="R23" i="3"/>
  <c r="Q23" i="3"/>
  <c r="P23" i="3"/>
  <c r="P41" i="3" s="1"/>
  <c r="M23" i="3"/>
  <c r="Q38" i="3"/>
  <c r="R38" i="3"/>
  <c r="P38" i="3"/>
  <c r="M38" i="3"/>
  <c r="R15" i="4"/>
  <c r="Q15" i="4"/>
  <c r="P15" i="4"/>
  <c r="P41" i="4" s="1"/>
  <c r="M15" i="4"/>
  <c r="R38" i="2"/>
  <c r="P38" i="2"/>
  <c r="Q38" i="2"/>
  <c r="M38" i="2"/>
  <c r="R32" i="3"/>
  <c r="Q32" i="3"/>
  <c r="P32" i="3"/>
  <c r="M32" i="3"/>
  <c r="U35" i="2"/>
  <c r="T17" i="3"/>
  <c r="V17" i="3" s="1"/>
  <c r="S17" i="3"/>
  <c r="U17" i="3" s="1"/>
  <c r="S23" i="2"/>
  <c r="T23" i="2"/>
  <c r="V23" i="2" s="1"/>
  <c r="T21" i="3"/>
  <c r="V21" i="3" s="1"/>
  <c r="S21" i="3"/>
  <c r="U17" i="4"/>
  <c r="W17" i="4" s="1"/>
  <c r="T37" i="4"/>
  <c r="S37" i="4"/>
  <c r="U37" i="4" s="1"/>
  <c r="W37" i="4" s="1"/>
  <c r="V9" i="2"/>
  <c r="U18" i="4"/>
  <c r="T19" i="2"/>
  <c r="V19" i="2" s="1"/>
  <c r="S19" i="2"/>
  <c r="U19" i="2" s="1"/>
  <c r="W19" i="2" s="1"/>
  <c r="V28" i="2"/>
  <c r="V24" i="3"/>
  <c r="S33" i="3"/>
  <c r="U33" i="3" s="1"/>
  <c r="W33" i="3" s="1"/>
  <c r="T33" i="3"/>
  <c r="T25" i="4"/>
  <c r="V25" i="4" s="1"/>
  <c r="S25" i="4"/>
  <c r="R20" i="2"/>
  <c r="Q20" i="2"/>
  <c r="P20" i="2"/>
  <c r="M20" i="2"/>
  <c r="T11" i="2"/>
  <c r="S11" i="2"/>
  <c r="S27" i="4"/>
  <c r="U27" i="4" s="1"/>
  <c r="W27" i="4" s="1"/>
  <c r="T27" i="4"/>
  <c r="V35" i="2"/>
  <c r="S12" i="2"/>
  <c r="U12" i="2" s="1"/>
  <c r="T12" i="2"/>
  <c r="V12" i="2" s="1"/>
  <c r="S35" i="4"/>
  <c r="T35" i="4"/>
  <c r="V35" i="4" s="1"/>
  <c r="S39" i="2"/>
  <c r="T39" i="2"/>
  <c r="V39" i="2" s="1"/>
  <c r="V14" i="2"/>
  <c r="H41" i="4"/>
  <c r="V29" i="3"/>
  <c r="S29" i="2"/>
  <c r="U29" i="2" s="1"/>
  <c r="W29" i="2" s="1"/>
  <c r="T29" i="2"/>
  <c r="V29" i="2" s="1"/>
  <c r="T24" i="3"/>
  <c r="S24" i="3"/>
  <c r="V37" i="4"/>
  <c r="T9" i="2"/>
  <c r="S9" i="2"/>
  <c r="U9" i="2" s="1"/>
  <c r="S14" i="3"/>
  <c r="U14" i="3" s="1"/>
  <c r="W14" i="3" s="1"/>
  <c r="T14" i="3"/>
  <c r="V14" i="3" s="1"/>
  <c r="V8" i="3"/>
  <c r="T11" i="4"/>
  <c r="S11" i="4"/>
  <c r="U11" i="4" s="1"/>
  <c r="W11" i="4" s="1"/>
  <c r="S8" i="4"/>
  <c r="U8" i="4" s="1"/>
  <c r="T8" i="4"/>
  <c r="V8" i="4" s="1"/>
  <c r="S32" i="4"/>
  <c r="T32" i="4"/>
  <c r="V32" i="4" s="1"/>
  <c r="U21" i="3"/>
  <c r="T15" i="3"/>
  <c r="V15" i="3" s="1"/>
  <c r="S15" i="3"/>
  <c r="U15" i="3" s="1"/>
  <c r="W15" i="3" s="1"/>
  <c r="T18" i="4"/>
  <c r="V18" i="4" s="1"/>
  <c r="S18" i="4"/>
  <c r="V28" i="3"/>
  <c r="T8" i="3"/>
  <c r="S8" i="3"/>
  <c r="U8" i="3" s="1"/>
  <c r="T17" i="2"/>
  <c r="S17" i="2"/>
  <c r="V12" i="4"/>
  <c r="U35" i="4"/>
  <c r="V27" i="4"/>
  <c r="S17" i="4"/>
  <c r="T17" i="4"/>
  <c r="V11" i="4"/>
  <c r="T14" i="2"/>
  <c r="S14" i="2"/>
  <c r="U14" i="2" s="1"/>
  <c r="W14" i="2" s="1"/>
  <c r="R39" i="4"/>
  <c r="Q39" i="4"/>
  <c r="P39" i="4"/>
  <c r="Q38" i="4"/>
  <c r="P38" i="4"/>
  <c r="R38" i="4"/>
  <c r="M38" i="4"/>
  <c r="G41" i="3"/>
  <c r="T27" i="2"/>
  <c r="V27" i="2" s="1"/>
  <c r="S27" i="2"/>
  <c r="U27" i="3"/>
  <c r="U13" i="3"/>
  <c r="S9" i="4"/>
  <c r="U9" i="4" s="1"/>
  <c r="T9" i="4"/>
  <c r="V9" i="4" s="1"/>
  <c r="T13" i="2"/>
  <c r="V13" i="2" s="1"/>
  <c r="S13" i="2"/>
  <c r="U13" i="2" s="1"/>
  <c r="S28" i="3"/>
  <c r="T28" i="3"/>
  <c r="V40" i="2"/>
  <c r="S18" i="2"/>
  <c r="U18" i="2" s="1"/>
  <c r="T18" i="2"/>
  <c r="V18" i="2" s="1"/>
  <c r="U18" i="3"/>
  <c r="U39" i="2"/>
  <c r="V5" i="2"/>
  <c r="S28" i="2"/>
  <c r="T28" i="2"/>
  <c r="S35" i="2"/>
  <c r="T35" i="2"/>
  <c r="U11" i="2"/>
  <c r="W11" i="2" s="1"/>
  <c r="P41" i="2"/>
  <c r="R32" i="2"/>
  <c r="Q32" i="2"/>
  <c r="Q41" i="2" s="1"/>
  <c r="P32" i="2"/>
  <c r="M32" i="2"/>
  <c r="U27" i="2"/>
  <c r="S29" i="3"/>
  <c r="T29" i="3"/>
  <c r="V11" i="2"/>
  <c r="U21" i="2"/>
  <c r="H41" i="3"/>
  <c r="U25" i="3"/>
  <c r="V10" i="3"/>
  <c r="T27" i="3"/>
  <c r="S27" i="3"/>
  <c r="G41" i="2"/>
  <c r="S26" i="4"/>
  <c r="T26" i="4"/>
  <c r="U32" i="4"/>
  <c r="V13" i="3"/>
  <c r="T8" i="2"/>
  <c r="V8" i="2" s="1"/>
  <c r="S8" i="2"/>
  <c r="U8" i="2" s="1"/>
  <c r="V11" i="3"/>
  <c r="T40" i="2"/>
  <c r="S40" i="2"/>
  <c r="U40" i="2" s="1"/>
  <c r="W40" i="2" s="1"/>
  <c r="U17" i="2"/>
  <c r="T7" i="2"/>
  <c r="V7" i="2" s="1"/>
  <c r="S7" i="2"/>
  <c r="U7" i="2" s="1"/>
  <c r="U36" i="4"/>
  <c r="V16" i="2"/>
  <c r="U37" i="3"/>
  <c r="T13" i="3"/>
  <c r="S13" i="3"/>
  <c r="V21" i="4"/>
  <c r="T36" i="2"/>
  <c r="V36" i="2" s="1"/>
  <c r="S36" i="2"/>
  <c r="U36" i="2" s="1"/>
  <c r="W36" i="2" s="1"/>
  <c r="T6" i="4"/>
  <c r="V6" i="4" s="1"/>
  <c r="S6" i="4"/>
  <c r="U6" i="4" s="1"/>
  <c r="U28" i="3"/>
  <c r="W28" i="3" s="1"/>
  <c r="S11" i="3"/>
  <c r="U11" i="3" s="1"/>
  <c r="W11" i="3" s="1"/>
  <c r="T11" i="3"/>
  <c r="S9" i="3"/>
  <c r="U9" i="3" s="1"/>
  <c r="T9" i="3"/>
  <c r="V17" i="2"/>
  <c r="T36" i="4"/>
  <c r="V36" i="4" s="1"/>
  <c r="S36" i="4"/>
  <c r="S12" i="4"/>
  <c r="U12" i="4" s="1"/>
  <c r="W12" i="4" s="1"/>
  <c r="T12" i="4"/>
  <c r="T18" i="3"/>
  <c r="V18" i="3" s="1"/>
  <c r="S18" i="3"/>
  <c r="T40" i="4"/>
  <c r="V40" i="4" s="1"/>
  <c r="S40" i="4"/>
  <c r="U40" i="4" s="1"/>
  <c r="W40" i="4" s="1"/>
  <c r="S34" i="2"/>
  <c r="U34" i="2" s="1"/>
  <c r="W34" i="2" s="1"/>
  <c r="T34" i="2"/>
  <c r="V34" i="2" s="1"/>
  <c r="R35" i="3"/>
  <c r="Q35" i="3"/>
  <c r="P35" i="3"/>
  <c r="S10" i="3"/>
  <c r="U10" i="3" s="1"/>
  <c r="W10" i="3" s="1"/>
  <c r="T10" i="3"/>
  <c r="T21" i="2"/>
  <c r="V21" i="2" s="1"/>
  <c r="S21" i="2"/>
  <c r="Q23" i="4"/>
  <c r="P23" i="4"/>
  <c r="R23" i="4"/>
  <c r="M23" i="4"/>
  <c r="T25" i="3"/>
  <c r="V25" i="3" s="1"/>
  <c r="S25" i="3"/>
  <c r="S16" i="2"/>
  <c r="U16" i="2" s="1"/>
  <c r="W16" i="2" s="1"/>
  <c r="T16" i="2"/>
  <c r="P30" i="4"/>
  <c r="R30" i="4"/>
  <c r="Q30" i="4"/>
  <c r="V34" i="3"/>
  <c r="V27" i="3"/>
  <c r="V6" i="2"/>
  <c r="T33" i="2"/>
  <c r="S33" i="2"/>
  <c r="U26" i="4"/>
  <c r="W26" i="4" s="1"/>
  <c r="T24" i="2"/>
  <c r="V24" i="2" s="1"/>
  <c r="S24" i="2"/>
  <c r="U24" i="2" s="1"/>
  <c r="W24" i="2" s="1"/>
  <c r="T7" i="4"/>
  <c r="V7" i="4" s="1"/>
  <c r="S7" i="4"/>
  <c r="U7" i="4" s="1"/>
  <c r="U39" i="3"/>
  <c r="R5" i="3"/>
  <c r="L41" i="3"/>
  <c r="Q5" i="3"/>
  <c r="S14" i="4"/>
  <c r="T14" i="4"/>
  <c r="T29" i="4"/>
  <c r="S29" i="4"/>
  <c r="U29" i="4" s="1"/>
  <c r="W29" i="4" s="1"/>
  <c r="V31" i="2"/>
  <c r="U19" i="4"/>
  <c r="M30" i="4"/>
  <c r="S6" i="2"/>
  <c r="U6" i="2" s="1"/>
  <c r="T6" i="2"/>
  <c r="V26" i="4"/>
  <c r="S37" i="3"/>
  <c r="T37" i="3"/>
  <c r="V37" i="3" s="1"/>
  <c r="T16" i="3"/>
  <c r="V16" i="3" s="1"/>
  <c r="S16" i="3"/>
  <c r="T15" i="2"/>
  <c r="V15" i="2" s="1"/>
  <c r="S15" i="2"/>
  <c r="U15" i="2" s="1"/>
  <c r="S20" i="4"/>
  <c r="T20" i="4"/>
  <c r="V16" i="4"/>
  <c r="T36" i="3"/>
  <c r="V36" i="3" s="1"/>
  <c r="S36" i="3"/>
  <c r="U36" i="3" s="1"/>
  <c r="V9" i="3"/>
  <c r="V31" i="3"/>
  <c r="U13" i="4"/>
  <c r="T19" i="3"/>
  <c r="V19" i="3" s="1"/>
  <c r="S19" i="3"/>
  <c r="T31" i="4"/>
  <c r="V31" i="4" s="1"/>
  <c r="S31" i="4"/>
  <c r="U31" i="4" s="1"/>
  <c r="S40" i="3"/>
  <c r="U40" i="3" s="1"/>
  <c r="W40" i="3" s="1"/>
  <c r="T40" i="3"/>
  <c r="U30" i="3"/>
  <c r="U14" i="4"/>
  <c r="T31" i="2"/>
  <c r="S31" i="2"/>
  <c r="U31" i="2" s="1"/>
  <c r="W31" i="2" s="1"/>
  <c r="G41" i="4"/>
  <c r="S34" i="3"/>
  <c r="T34" i="3"/>
  <c r="R37" i="2"/>
  <c r="Q37" i="2"/>
  <c r="P37" i="2"/>
  <c r="M37" i="2"/>
  <c r="U33" i="2"/>
  <c r="V25" i="2"/>
  <c r="R41" i="2"/>
  <c r="T5" i="2"/>
  <c r="S5" i="2"/>
  <c r="S21" i="4"/>
  <c r="U21" i="4" s="1"/>
  <c r="W21" i="4" s="1"/>
  <c r="T21" i="4"/>
  <c r="U20" i="4"/>
  <c r="T22" i="4"/>
  <c r="V22" i="4" s="1"/>
  <c r="S22" i="4"/>
  <c r="V26" i="2"/>
  <c r="S31" i="3"/>
  <c r="U31" i="3" s="1"/>
  <c r="W31" i="3" s="1"/>
  <c r="T31" i="3"/>
  <c r="S13" i="4"/>
  <c r="T13" i="4"/>
  <c r="V13" i="4" s="1"/>
  <c r="T10" i="4"/>
  <c r="V10" i="4" s="1"/>
  <c r="S10" i="4"/>
  <c r="U10" i="4" s="1"/>
  <c r="V20" i="4"/>
  <c r="T16" i="4"/>
  <c r="S16" i="4"/>
  <c r="U16" i="4" s="1"/>
  <c r="W16" i="4" s="1"/>
  <c r="U22" i="4"/>
  <c r="T26" i="2"/>
  <c r="S26" i="2"/>
  <c r="U26" i="2" s="1"/>
  <c r="W26" i="2" s="1"/>
  <c r="T39" i="3"/>
  <c r="V39" i="3" s="1"/>
  <c r="S39" i="3"/>
  <c r="R28" i="4"/>
  <c r="P28" i="4"/>
  <c r="Q28" i="4"/>
  <c r="V14" i="4"/>
  <c r="V29" i="4"/>
  <c r="T19" i="4"/>
  <c r="V19" i="4" s="1"/>
  <c r="S19" i="4"/>
  <c r="L41" i="4"/>
  <c r="R5" i="4"/>
  <c r="Q5" i="4"/>
  <c r="U34" i="3"/>
  <c r="T24" i="4"/>
  <c r="V24" i="4" s="1"/>
  <c r="S24" i="4"/>
  <c r="U24" i="4" s="1"/>
  <c r="W24" i="4" s="1"/>
  <c r="V33" i="2"/>
  <c r="T25" i="2"/>
  <c r="S25" i="2"/>
  <c r="U25" i="2" s="1"/>
  <c r="W25" i="2" s="1"/>
  <c r="V40" i="3"/>
  <c r="T30" i="3"/>
  <c r="V30" i="3" s="1"/>
  <c r="S30" i="3"/>
  <c r="U19" i="3"/>
  <c r="M28" i="4"/>
  <c r="M5" i="4"/>
  <c r="U29" i="3"/>
  <c r="W29" i="3" s="1"/>
  <c r="U23" i="2"/>
  <c r="T22" i="3"/>
  <c r="V22" i="3" s="1"/>
  <c r="S22" i="3"/>
  <c r="U22" i="3" s="1"/>
  <c r="W22" i="3" s="1"/>
  <c r="U24" i="3"/>
  <c r="W24" i="3" s="1"/>
  <c r="V17" i="4"/>
  <c r="U16" i="3"/>
  <c r="S20" i="3"/>
  <c r="U20" i="3" s="1"/>
  <c r="T20" i="3"/>
  <c r="V20" i="3" s="1"/>
  <c r="S22" i="2"/>
  <c r="U22" i="2" s="1"/>
  <c r="W22" i="2" s="1"/>
  <c r="T22" i="2"/>
  <c r="V22" i="2" s="1"/>
  <c r="V33" i="3"/>
  <c r="U28" i="2"/>
  <c r="W28" i="2" s="1"/>
  <c r="U25" i="4"/>
  <c r="W12" i="2" l="1"/>
  <c r="W36" i="3"/>
  <c r="W13" i="2"/>
  <c r="W17" i="3"/>
  <c r="W18" i="2"/>
  <c r="W20" i="3"/>
  <c r="W31" i="4"/>
  <c r="W15" i="2"/>
  <c r="W19" i="4"/>
  <c r="W23" i="2"/>
  <c r="W7" i="2"/>
  <c r="V32" i="3"/>
  <c r="W32" i="4"/>
  <c r="W21" i="2"/>
  <c r="W13" i="3"/>
  <c r="T32" i="3"/>
  <c r="S32" i="3"/>
  <c r="W34" i="3"/>
  <c r="T28" i="4"/>
  <c r="V28" i="4" s="1"/>
  <c r="S28" i="4"/>
  <c r="U28" i="4" s="1"/>
  <c r="W28" i="4" s="1"/>
  <c r="V30" i="4"/>
  <c r="U23" i="4"/>
  <c r="W23" i="4" s="1"/>
  <c r="W17" i="2"/>
  <c r="W18" i="4"/>
  <c r="T34" i="4"/>
  <c r="V34" i="4" s="1"/>
  <c r="S34" i="4"/>
  <c r="U34" i="4" s="1"/>
  <c r="W34" i="4" s="1"/>
  <c r="V26" i="3"/>
  <c r="W36" i="4"/>
  <c r="U32" i="3"/>
  <c r="S15" i="4"/>
  <c r="U15" i="4" s="1"/>
  <c r="W15" i="4" s="1"/>
  <c r="T15" i="4"/>
  <c r="W9" i="3"/>
  <c r="W21" i="3"/>
  <c r="S38" i="3"/>
  <c r="U38" i="3" s="1"/>
  <c r="W38" i="3" s="1"/>
  <c r="T38" i="3"/>
  <c r="T26" i="3"/>
  <c r="S26" i="3"/>
  <c r="W7" i="4"/>
  <c r="W14" i="4"/>
  <c r="V23" i="4"/>
  <c r="W19" i="3"/>
  <c r="R41" i="4"/>
  <c r="T5" i="4"/>
  <c r="T41" i="4" s="1"/>
  <c r="S5" i="4"/>
  <c r="W20" i="4"/>
  <c r="W30" i="3"/>
  <c r="W27" i="3"/>
  <c r="W9" i="2"/>
  <c r="V38" i="3"/>
  <c r="U26" i="3"/>
  <c r="W26" i="3" s="1"/>
  <c r="W22" i="4"/>
  <c r="V35" i="3"/>
  <c r="W25" i="3"/>
  <c r="W13" i="4"/>
  <c r="W33" i="2"/>
  <c r="T23" i="4"/>
  <c r="S23" i="4"/>
  <c r="Q41" i="4"/>
  <c r="T30" i="4"/>
  <c r="S30" i="4"/>
  <c r="U30" i="4" s="1"/>
  <c r="W30" i="4" s="1"/>
  <c r="U39" i="4"/>
  <c r="W10" i="4"/>
  <c r="W27" i="2"/>
  <c r="S39" i="4"/>
  <c r="T39" i="4"/>
  <c r="V39" i="4" s="1"/>
  <c r="T6" i="3"/>
  <c r="V6" i="3" s="1"/>
  <c r="S6" i="3"/>
  <c r="U6" i="3" s="1"/>
  <c r="W35" i="4"/>
  <c r="W16" i="3"/>
  <c r="S37" i="2"/>
  <c r="U37" i="2" s="1"/>
  <c r="T37" i="2"/>
  <c r="V37" i="2" s="1"/>
  <c r="Q41" i="3"/>
  <c r="W37" i="3"/>
  <c r="W8" i="3"/>
  <c r="W35" i="2"/>
  <c r="U32" i="2"/>
  <c r="W32" i="2" s="1"/>
  <c r="W8" i="4"/>
  <c r="V20" i="2"/>
  <c r="S38" i="2"/>
  <c r="U38" i="2" s="1"/>
  <c r="T38" i="2"/>
  <c r="V38" i="2" s="1"/>
  <c r="T30" i="2"/>
  <c r="V30" i="2" s="1"/>
  <c r="S30" i="2"/>
  <c r="U30" i="2" s="1"/>
  <c r="W30" i="2" s="1"/>
  <c r="T35" i="3"/>
  <c r="S35" i="3"/>
  <c r="U35" i="3" s="1"/>
  <c r="W35" i="3" s="1"/>
  <c r="U5" i="2"/>
  <c r="R41" i="3"/>
  <c r="T5" i="3"/>
  <c r="T41" i="3" s="1"/>
  <c r="S5" i="3"/>
  <c r="T32" i="2"/>
  <c r="S32" i="2"/>
  <c r="W18" i="3"/>
  <c r="S10" i="2"/>
  <c r="U10" i="2" s="1"/>
  <c r="T10" i="2"/>
  <c r="V10" i="2" s="1"/>
  <c r="V41" i="2" s="1"/>
  <c r="W39" i="3"/>
  <c r="V15" i="4"/>
  <c r="W9" i="4"/>
  <c r="W6" i="2"/>
  <c r="V32" i="2"/>
  <c r="W39" i="2"/>
  <c r="T20" i="2"/>
  <c r="S20" i="2"/>
  <c r="U20" i="2" s="1"/>
  <c r="W20" i="2" s="1"/>
  <c r="W25" i="4"/>
  <c r="W6" i="4"/>
  <c r="W8" i="2"/>
  <c r="S38" i="4"/>
  <c r="U38" i="4" s="1"/>
  <c r="W38" i="4" s="1"/>
  <c r="T38" i="4"/>
  <c r="V38" i="4" s="1"/>
  <c r="S23" i="3"/>
  <c r="U23" i="3" s="1"/>
  <c r="W23" i="3" s="1"/>
  <c r="T23" i="3"/>
  <c r="V23" i="3" s="1"/>
  <c r="W37" i="2" l="1"/>
  <c r="W38" i="2"/>
  <c r="S41" i="3"/>
  <c r="U5" i="3"/>
  <c r="W32" i="3"/>
  <c r="W6" i="3"/>
  <c r="T41" i="2"/>
  <c r="V5" i="4"/>
  <c r="V41" i="4" s="1"/>
  <c r="S41" i="2"/>
  <c r="W10" i="2"/>
  <c r="U41" i="2"/>
  <c r="W5" i="2"/>
  <c r="V5" i="3"/>
  <c r="V41" i="3" s="1"/>
  <c r="W39" i="4"/>
  <c r="S41" i="4"/>
  <c r="U5" i="4"/>
  <c r="X5" i="2" l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W41" i="2"/>
  <c r="U41" i="4"/>
  <c r="W5" i="4"/>
  <c r="U41" i="3"/>
  <c r="W5" i="3"/>
  <c r="W41" i="3" l="1"/>
  <c r="X5" i="3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W41" i="4"/>
  <c r="X5" i="4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</calcChain>
</file>

<file path=xl/sharedStrings.xml><?xml version="1.0" encoding="utf-8"?>
<sst xmlns="http://schemas.openxmlformats.org/spreadsheetml/2006/main" count="335" uniqueCount="164">
  <si>
    <t>PARAMÈTRES - PROJECTIONS 36 MOIS (SYSTÈME TRANCHES PROGRESSIVES)</t>
  </si>
  <si>
    <t>Mise à jour: 24/10/2025 02:04 | LOGIQUE FINALE VALIDÉE</t>
  </si>
  <si>
    <t>INFORMATIONS GÉNÉRALES</t>
  </si>
  <si>
    <t>Date début projections</t>
  </si>
  <si>
    <t>2025-09-01</t>
  </si>
  <si>
    <t>Septembre 2025</t>
  </si>
  <si>
    <t>Durée projections (mois)</t>
  </si>
  <si>
    <t>3 ans</t>
  </si>
  <si>
    <t>FINANCEMENT ET DETTE</t>
  </si>
  <si>
    <t>Dette totale</t>
  </si>
  <si>
    <t>Capital emprunté</t>
  </si>
  <si>
    <t>Taux annuel</t>
  </si>
  <si>
    <t>6.45%</t>
  </si>
  <si>
    <t>Durée (mois)</t>
  </si>
  <si>
    <t>12 ans</t>
  </si>
  <si>
    <t>Mois début dette</t>
  </si>
  <si>
    <t>Janvier 2026 (M5)</t>
  </si>
  <si>
    <t>Moratoire capital</t>
  </si>
  <si>
    <t>Intérêts seuls An1-2</t>
  </si>
  <si>
    <t>Service dette An 1-2</t>
  </si>
  <si>
    <t>Intérêts</t>
  </si>
  <si>
    <t>Service dette An 3+</t>
  </si>
  <si>
    <t>Capital + intérêts</t>
  </si>
  <si>
    <t>LOYER ET INDEXATION</t>
  </si>
  <si>
    <t>Loyer mensuel base</t>
  </si>
  <si>
    <t>M1-M15</t>
  </si>
  <si>
    <t>Loyer triple net</t>
  </si>
  <si>
    <t>M16+</t>
  </si>
  <si>
    <t>Indexation loyer</t>
  </si>
  <si>
    <t>3%/an</t>
  </si>
  <si>
    <t>Mois changement triple net</t>
  </si>
  <si>
    <t>Janv 2027</t>
  </si>
  <si>
    <t>🎯 SYSTÈME DE TRANCHES PROGRESSIVES</t>
  </si>
  <si>
    <t>Seuil Tranche 1 (GV)</t>
  </si>
  <si>
    <t>0-10% revenu → Gestion VETA</t>
  </si>
  <si>
    <t>Seuil Tranche 2 (Amanda)</t>
  </si>
  <si>
    <t>10-20% revenu → Amanda</t>
  </si>
  <si>
    <t>Split Tranche 3</t>
  </si>
  <si>
    <t>20%+ revenu → 50/50 GV+Amanda</t>
  </si>
  <si>
    <t>Moratoire GV (mois)</t>
  </si>
  <si>
    <t>M1-M6: GV = 0$</t>
  </si>
  <si>
    <t>FRAIS GÉNÉRAUX</t>
  </si>
  <si>
    <t>Frais généraux NET</t>
  </si>
  <si>
    <t>Fixe non indexé</t>
  </si>
  <si>
    <t>REVENUS ET SAISONNALITÉ</t>
  </si>
  <si>
    <t>Mois normal (coeff 1.00)</t>
  </si>
  <si>
    <t>Base saisonnalité</t>
  </si>
  <si>
    <t>Coeff Sept</t>
  </si>
  <si>
    <t>Cycle annuel</t>
  </si>
  <si>
    <t>Coeff Oct</t>
  </si>
  <si>
    <t>Coeff Nov</t>
  </si>
  <si>
    <t>Coeff Déc</t>
  </si>
  <si>
    <t>Coeff Jan</t>
  </si>
  <si>
    <t>Coeff Fév</t>
  </si>
  <si>
    <t>Coeff Mar</t>
  </si>
  <si>
    <t>Coeff Avr</t>
  </si>
  <si>
    <t>Coeff Mai</t>
  </si>
  <si>
    <t>Coeff Juin</t>
  </si>
  <si>
    <t>Coeff Juil</t>
  </si>
  <si>
    <t>Coeff Août</t>
  </si>
  <si>
    <t>Croissance Conservateur</t>
  </si>
  <si>
    <t>+3%/an</t>
  </si>
  <si>
    <t>Croissance Réaliste</t>
  </si>
  <si>
    <t>+5%/an</t>
  </si>
  <si>
    <t>Croissance Optimiste</t>
  </si>
  <si>
    <t>+10%/an</t>
  </si>
  <si>
    <t>CMV ET MASSE SALARIALE</t>
  </si>
  <si>
    <t>CMV Conservateur</t>
  </si>
  <si>
    <t>30%</t>
  </si>
  <si>
    <t>CMV Réaliste</t>
  </si>
  <si>
    <t>28.5%</t>
  </si>
  <si>
    <t>CMV Optimiste</t>
  </si>
  <si>
    <t>27%</t>
  </si>
  <si>
    <t>Masse sal. Conservateur</t>
  </si>
  <si>
    <t>47%</t>
  </si>
  <si>
    <t>Masse sal. Réaliste</t>
  </si>
  <si>
    <t>45%</t>
  </si>
  <si>
    <t>Masse sal. Optimiste</t>
  </si>
  <si>
    <t>43%</t>
  </si>
  <si>
    <t>VÉTÉRINAIRES ADDITIONNELS</t>
  </si>
  <si>
    <t>Tamara embauche (mois)</t>
  </si>
  <si>
    <t>M3 Nov 2025</t>
  </si>
  <si>
    <t>Tamara Conservateur</t>
  </si>
  <si>
    <t>$/mois</t>
  </si>
  <si>
    <t>Tamara Réaliste</t>
  </si>
  <si>
    <t>Tamara Optimiste</t>
  </si>
  <si>
    <t>Vet4 embauche (mois)</t>
  </si>
  <si>
    <t>M20 Avr 2027</t>
  </si>
  <si>
    <t>Vet4 Conservateur</t>
  </si>
  <si>
    <t>Vet4 Réaliste</t>
  </si>
  <si>
    <t>Vet4 Optimiste</t>
  </si>
  <si>
    <t>PROJECTIONS 36 MOIS - CONSERVATEUR (TRANCHES PROGRESSIVES)</t>
  </si>
  <si>
    <t>Généré: 24/10/2025 02:04 | GV: 0-10% | Amanda: 10-20% | Split: 20%+</t>
  </si>
  <si>
    <t>REVENUS</t>
  </si>
  <si>
    <t>CHARGES</t>
  </si>
  <si>
    <t>PROFIT</t>
  </si>
  <si>
    <t>TRANCHES</t>
  </si>
  <si>
    <t>TOTAUX</t>
  </si>
  <si>
    <t>CLINIQUE</t>
  </si>
  <si>
    <t>N°</t>
  </si>
  <si>
    <t>Mois</t>
  </si>
  <si>
    <t>Rev_Base</t>
  </si>
  <si>
    <t>Tamara</t>
  </si>
  <si>
    <t>Vet4</t>
  </si>
  <si>
    <t>Rev_Total</t>
  </si>
  <si>
    <t>CMV</t>
  </si>
  <si>
    <t>Masse_Sal</t>
  </si>
  <si>
    <t>Loyer</t>
  </si>
  <si>
    <t>Frais</t>
  </si>
  <si>
    <t>Dette</t>
  </si>
  <si>
    <t>Marge_Brute</t>
  </si>
  <si>
    <t>% Profit</t>
  </si>
  <si>
    <t>Seuil_10%</t>
  </si>
  <si>
    <t>Seuil_20%</t>
  </si>
  <si>
    <t>Tranche_GV</t>
  </si>
  <si>
    <t>Tranche_Amanda</t>
  </si>
  <si>
    <t>Tranche_Split</t>
  </si>
  <si>
    <t>Split_GV</t>
  </si>
  <si>
    <t>Split_Amanda</t>
  </si>
  <si>
    <t>Total_GV</t>
  </si>
  <si>
    <t>Total_Amanda</t>
  </si>
  <si>
    <t>Marge_Clinique</t>
  </si>
  <si>
    <t>Cumul</t>
  </si>
  <si>
    <t>Notes</t>
  </si>
  <si>
    <t>Sep-2025</t>
  </si>
  <si>
    <t>Moratoire GV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</si>
  <si>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</si>
  <si>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</si>
  <si>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</si>
  <si>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</si>
  <si>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</si>
  <si>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</si>
  <si>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</si>
  <si>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</si>
  <si>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</si>
  <si>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</si>
  <si>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</si>
  <si>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</si>
  <si>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</si>
  <si>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</si>
  <si>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</si>
  <si>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</si>
  <si>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</si>
  <si>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</si>
  <si>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</si>
  <si>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</si>
  <si>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</si>
  <si>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</si>
  <si>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</si>
  <si>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</si>
  <si>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Oct-2027</t>
  </si>
  <si>
    <t>Nov-2027</t>
  </si>
  <si>
    <t>Dec-2027</t>
  </si>
  <si>
    <t>Jan-2028</t>
  </si>
  <si>
    <t>Feb-2028</t>
  </si>
  <si>
    <t>Mar-2028</t>
  </si>
  <si>
    <t>Apr-2028</t>
  </si>
  <si>
    <t>May-2028</t>
  </si>
  <si>
    <t>Jun-2028</t>
  </si>
  <si>
    <t>Jul-2028</t>
  </si>
  <si>
    <t>Aug-2028</t>
  </si>
  <si>
    <t>TOTAL 36 MOIS</t>
  </si>
  <si>
    <t>PROJECTIONS 36 MOIS - REALISTE (TRANCHES PROGRESSIVES)</t>
  </si>
  <si>
    <t>PROJECTIONS 36 MOIS - OPTIMISTE (TRANCHES PROGRESSIVES)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</si>
</sst>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$"/>
    <numFmt numFmtId="165" formatCode="#,##0\ \$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00B050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color rgb="FF000000"/>
      <name val="Calibri"/>
    </font>
    <font>
      <b/>
      <sz val="9"/>
      <color rgb="FFFFFFFF"/>
      <name val="Calibri"/>
    </font>
    <font>
      <i/>
      <sz val="8"/>
      <color rgb="FFFF0000"/>
      <name val="Calibri"/>
    </font>
    <font>
      <b/>
      <sz val="11"/>
      <color rgb="FFFFFFFF"/>
      <name val="Calibri"/>
    </font>
    <font>
      <b/>
      <sz val="12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4C3C"/>
        <bgColor rgb="FFE74C3C"/>
      </patternFill>
    </fill>
    <fill>
      <patternFill patternType="solid">
        <fgColor rgb="FF9933CC"/>
        <bgColor rgb="FF9933CC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C6E0B4"/>
        <bgColor rgb="FFC6E0B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E6CC"/>
        <bgColor rgb="FFFFE6CC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0" fontId="6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7" fillId="0" borderId="0" xfId="0" applyFont="1"/>
    <xf numFmtId="0" fontId="0" fillId="18" borderId="0" xfId="0" applyFill="1" applyAlignment="1">
      <alignment horizontal="center"/>
    </xf>
    <xf numFmtId="165" fontId="0" fillId="18" borderId="0" xfId="0" applyNumberFormat="1" applyFill="1"/>
    <xf numFmtId="166" fontId="0" fillId="18" borderId="0" xfId="0" applyNumberFormat="1" applyFill="1"/>
    <xf numFmtId="0" fontId="7" fillId="18" borderId="0" xfId="0" applyFont="1" applyFill="1"/>
    <xf numFmtId="0" fontId="0" fillId="18" borderId="0" xfId="0" applyFill="1"/>
    <xf numFmtId="165" fontId="4" fillId="3" borderId="0" xfId="0" applyNumberFormat="1" applyFont="1" applyFill="1"/>
    <xf numFmtId="165" fontId="9" fillId="19" borderId="0" xfId="0" applyNumberFormat="1" applyFont="1" applyFill="1"/>
    <xf numFmtId="0" fontId="6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" fillId="2" borderId="0" xfId="0" applyFont="1" applyFill="1"/>
    <xf numFmtId="0" fontId="0" fillId="0" borderId="0" xfId="0"/>
    <xf numFmtId="0" fontId="3" fillId="7" borderId="0" xfId="0" applyFont="1" applyFill="1"/>
    <xf numFmtId="0" fontId="3" fillId="9" borderId="0" xfId="0" applyFont="1" applyFill="1"/>
    <xf numFmtId="0" fontId="3" fillId="11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8" borderId="0" xfId="0" applyFont="1" applyFill="1"/>
    <xf numFmtId="0" fontId="3" fillId="4" borderId="0" xfId="0" applyFont="1" applyFill="1"/>
    <xf numFmtId="0" fontId="2" fillId="3" borderId="0" xfId="0" applyFont="1" applyFill="1"/>
    <xf numFmtId="0" fontId="3" fillId="10" borderId="0" xfId="0" applyFont="1" applyFill="1"/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8" fillId="5" borderId="0" xfId="0" applyFont="1" applyFill="1"/>
    <xf numFmtId="0" fontId="1" fillId="5" borderId="0" xfId="0" applyFont="1" applyFill="1"/>
    <xf numFmtId="0" fontId="5" fillId="17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8" fillId="2" borderId="0" xfId="0" applyFont="1" applyFill="1"/>
    <xf numFmtId="0" fontId="8" fillId="6" borderId="0" xfId="0" applyFont="1" applyFill="1"/>
    <xf numFmtId="0" fontId="1" fillId="6" borderId="0" xfId="0" applyFont="1" applyFill="1"/>
  </cellXfs>
  <cellStyles count="1">
    <cellStyle name="Normal" xfId="0" builtinId="0"/>
  </cellStyles>
  <dxfs count="6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workbookViewId="0"/>
  </sheetViews>
  <sheetFormatPr baseColWidth="10" defaultColWidth="9.140625" defaultRowHeight="15" x14ac:dyDescent="0.25"/>
  <cols>
    <col min="1" max="1" width="40" customWidth="1"/>
    <col min="2" max="2" width="20" customWidth="1"/>
    <col min="3" max="3" width="35" customWidth="1"/>
  </cols>
  <sheetData>
    <row r="1" spans="1:3" ht="18.75" x14ac:dyDescent="0.3">
      <c r="A1" s="19" t="s">
        <v>0</v>
      </c>
      <c r="B1" s="20"/>
      <c r="C1" s="20"/>
    </row>
    <row r="2" spans="1:3" x14ac:dyDescent="0.25">
      <c r="A2" s="28" t="s">
        <v>1</v>
      </c>
      <c r="B2" s="20"/>
      <c r="C2" s="20"/>
    </row>
    <row r="4" spans="1:3" x14ac:dyDescent="0.25">
      <c r="A4" s="27" t="s">
        <v>2</v>
      </c>
      <c r="B4" s="20"/>
      <c r="C4" s="20"/>
    </row>
    <row r="5" spans="1:3" x14ac:dyDescent="0.25">
      <c r="A5" s="1" t="s">
        <v>3</v>
      </c>
      <c r="B5" t="s">
        <v>4</v>
      </c>
      <c r="C5" t="s">
        <v>5</v>
      </c>
    </row>
    <row r="6" spans="1:3" x14ac:dyDescent="0.25">
      <c r="A6" s="1" t="s">
        <v>6</v>
      </c>
      <c r="B6">
        <v>36</v>
      </c>
      <c r="C6" t="s">
        <v>7</v>
      </c>
    </row>
    <row r="8" spans="1:3" x14ac:dyDescent="0.25">
      <c r="A8" s="24" t="s">
        <v>8</v>
      </c>
      <c r="B8" s="20"/>
      <c r="C8" s="20"/>
    </row>
    <row r="9" spans="1:3" x14ac:dyDescent="0.25">
      <c r="A9" s="1" t="s">
        <v>9</v>
      </c>
      <c r="B9" s="2">
        <v>1726692</v>
      </c>
      <c r="C9" t="s">
        <v>10</v>
      </c>
    </row>
    <row r="10" spans="1:3" x14ac:dyDescent="0.25">
      <c r="A10" s="1" t="s">
        <v>11</v>
      </c>
      <c r="B10" s="3">
        <v>6.4500000000000002E-2</v>
      </c>
      <c r="C10" t="s">
        <v>12</v>
      </c>
    </row>
    <row r="11" spans="1:3" x14ac:dyDescent="0.25">
      <c r="A11" s="1" t="s">
        <v>13</v>
      </c>
      <c r="B11">
        <v>144</v>
      </c>
      <c r="C11" t="s">
        <v>14</v>
      </c>
    </row>
    <row r="12" spans="1:3" x14ac:dyDescent="0.25">
      <c r="A12" s="1" t="s">
        <v>15</v>
      </c>
      <c r="B12" s="2">
        <v>5</v>
      </c>
      <c r="C12" t="s">
        <v>16</v>
      </c>
    </row>
    <row r="13" spans="1:3" x14ac:dyDescent="0.25">
      <c r="A13" s="1" t="s">
        <v>17</v>
      </c>
      <c r="B13">
        <v>24</v>
      </c>
      <c r="C13" t="s">
        <v>18</v>
      </c>
    </row>
    <row r="14" spans="1:3" x14ac:dyDescent="0.25">
      <c r="A14" s="1" t="s">
        <v>19</v>
      </c>
      <c r="B14" s="2">
        <f>B9*B10/12</f>
        <v>9280.9695000000011</v>
      </c>
      <c r="C14" t="s">
        <v>20</v>
      </c>
    </row>
    <row r="15" spans="1:3" x14ac:dyDescent="0.25">
      <c r="A15" s="1" t="s">
        <v>21</v>
      </c>
      <c r="B15" s="2">
        <v>17254</v>
      </c>
      <c r="C15" t="s">
        <v>22</v>
      </c>
    </row>
    <row r="17" spans="1:3" x14ac:dyDescent="0.25">
      <c r="A17" s="25" t="s">
        <v>23</v>
      </c>
      <c r="B17" s="20"/>
      <c r="C17" s="20"/>
    </row>
    <row r="18" spans="1:3" x14ac:dyDescent="0.25">
      <c r="A18" s="1" t="s">
        <v>24</v>
      </c>
      <c r="B18" s="2">
        <v>9000</v>
      </c>
      <c r="C18" t="s">
        <v>25</v>
      </c>
    </row>
    <row r="19" spans="1:3" x14ac:dyDescent="0.25">
      <c r="A19" s="1" t="s">
        <v>26</v>
      </c>
      <c r="B19" s="2">
        <v>10800</v>
      </c>
      <c r="C19" t="s">
        <v>27</v>
      </c>
    </row>
    <row r="20" spans="1:3" x14ac:dyDescent="0.25">
      <c r="A20" s="1" t="s">
        <v>28</v>
      </c>
      <c r="B20" s="3">
        <v>0.03</v>
      </c>
      <c r="C20" t="s">
        <v>29</v>
      </c>
    </row>
    <row r="21" spans="1:3" x14ac:dyDescent="0.25">
      <c r="A21" s="1" t="s">
        <v>30</v>
      </c>
      <c r="B21">
        <v>16</v>
      </c>
      <c r="C21" t="s">
        <v>31</v>
      </c>
    </row>
    <row r="23" spans="1:3" x14ac:dyDescent="0.25">
      <c r="A23" s="21" t="s">
        <v>32</v>
      </c>
      <c r="B23" s="20"/>
      <c r="C23" s="20"/>
    </row>
    <row r="24" spans="1:3" x14ac:dyDescent="0.25">
      <c r="A24" s="1" t="s">
        <v>33</v>
      </c>
      <c r="B24" s="3">
        <v>0.1</v>
      </c>
      <c r="C24" t="s">
        <v>34</v>
      </c>
    </row>
    <row r="25" spans="1:3" x14ac:dyDescent="0.25">
      <c r="A25" s="1" t="s">
        <v>35</v>
      </c>
      <c r="B25" s="3">
        <v>0.2</v>
      </c>
      <c r="C25" t="s">
        <v>36</v>
      </c>
    </row>
    <row r="26" spans="1:3" x14ac:dyDescent="0.25">
      <c r="A26" s="1" t="s">
        <v>37</v>
      </c>
      <c r="B26" s="3">
        <v>0.5</v>
      </c>
      <c r="C26" t="s">
        <v>38</v>
      </c>
    </row>
    <row r="27" spans="1:3" x14ac:dyDescent="0.25">
      <c r="A27" s="1" t="s">
        <v>39</v>
      </c>
      <c r="B27">
        <v>6</v>
      </c>
      <c r="C27" t="s">
        <v>40</v>
      </c>
    </row>
    <row r="29" spans="1:3" x14ac:dyDescent="0.25">
      <c r="A29" s="26" t="s">
        <v>41</v>
      </c>
      <c r="B29" s="20"/>
      <c r="C29" s="20"/>
    </row>
    <row r="30" spans="1:3" x14ac:dyDescent="0.25">
      <c r="A30" s="1" t="s">
        <v>42</v>
      </c>
      <c r="B30" s="2">
        <v>16680</v>
      </c>
      <c r="C30" t="s">
        <v>43</v>
      </c>
    </row>
    <row r="32" spans="1:3" x14ac:dyDescent="0.25">
      <c r="A32" s="22" t="s">
        <v>44</v>
      </c>
      <c r="B32" s="20"/>
      <c r="C32" s="20"/>
    </row>
    <row r="33" spans="1:3" x14ac:dyDescent="0.25">
      <c r="A33" s="1" t="s">
        <v>45</v>
      </c>
      <c r="B33" s="2">
        <v>138691</v>
      </c>
      <c r="C33" t="s">
        <v>46</v>
      </c>
    </row>
    <row r="34" spans="1:3" x14ac:dyDescent="0.25">
      <c r="A34" s="1" t="s">
        <v>47</v>
      </c>
      <c r="B34" s="4">
        <v>1.05</v>
      </c>
      <c r="C34" t="s">
        <v>48</v>
      </c>
    </row>
    <row r="35" spans="1:3" x14ac:dyDescent="0.25">
      <c r="A35" s="1" t="s">
        <v>49</v>
      </c>
      <c r="B35" s="4">
        <v>1</v>
      </c>
      <c r="C35" t="s">
        <v>48</v>
      </c>
    </row>
    <row r="36" spans="1:3" x14ac:dyDescent="0.25">
      <c r="A36" s="1" t="s">
        <v>50</v>
      </c>
      <c r="B36" s="4">
        <v>0.85</v>
      </c>
      <c r="C36" t="s">
        <v>48</v>
      </c>
    </row>
    <row r="37" spans="1:3" x14ac:dyDescent="0.25">
      <c r="A37" s="1" t="s">
        <v>51</v>
      </c>
      <c r="B37" s="4">
        <v>0.8</v>
      </c>
      <c r="C37" t="s">
        <v>48</v>
      </c>
    </row>
    <row r="38" spans="1:3" x14ac:dyDescent="0.25">
      <c r="A38" s="1" t="s">
        <v>52</v>
      </c>
      <c r="B38" s="4">
        <v>0.8</v>
      </c>
      <c r="C38" t="s">
        <v>48</v>
      </c>
    </row>
    <row r="39" spans="1:3" x14ac:dyDescent="0.25">
      <c r="A39" s="1" t="s">
        <v>53</v>
      </c>
      <c r="B39" s="4">
        <v>0.75</v>
      </c>
      <c r="C39" t="s">
        <v>48</v>
      </c>
    </row>
    <row r="40" spans="1:3" x14ac:dyDescent="0.25">
      <c r="A40" s="1" t="s">
        <v>54</v>
      </c>
      <c r="B40" s="4">
        <v>0.9</v>
      </c>
      <c r="C40" t="s">
        <v>48</v>
      </c>
    </row>
    <row r="41" spans="1:3" x14ac:dyDescent="0.25">
      <c r="A41" s="1" t="s">
        <v>55</v>
      </c>
      <c r="B41" s="4">
        <v>1</v>
      </c>
      <c r="C41" t="s">
        <v>48</v>
      </c>
    </row>
    <row r="42" spans="1:3" x14ac:dyDescent="0.25">
      <c r="A42" s="1" t="s">
        <v>56</v>
      </c>
      <c r="B42" s="4">
        <v>1.05</v>
      </c>
      <c r="C42" t="s">
        <v>48</v>
      </c>
    </row>
    <row r="43" spans="1:3" x14ac:dyDescent="0.25">
      <c r="A43" s="1" t="s">
        <v>57</v>
      </c>
      <c r="B43" s="4">
        <v>1.1499999999999999</v>
      </c>
      <c r="C43" t="s">
        <v>48</v>
      </c>
    </row>
    <row r="44" spans="1:3" x14ac:dyDescent="0.25">
      <c r="A44" s="1" t="s">
        <v>58</v>
      </c>
      <c r="B44" s="4">
        <v>1.1499999999999999</v>
      </c>
      <c r="C44" t="s">
        <v>48</v>
      </c>
    </row>
    <row r="45" spans="1:3" x14ac:dyDescent="0.25">
      <c r="A45" s="1" t="s">
        <v>59</v>
      </c>
      <c r="B45" s="4">
        <v>1.1499999999999999</v>
      </c>
      <c r="C45" t="s">
        <v>48</v>
      </c>
    </row>
    <row r="47" spans="1:3" x14ac:dyDescent="0.25">
      <c r="A47" s="1" t="s">
        <v>60</v>
      </c>
      <c r="B47" s="3">
        <v>0.03</v>
      </c>
      <c r="C47" t="s">
        <v>61</v>
      </c>
    </row>
    <row r="48" spans="1:3" x14ac:dyDescent="0.25">
      <c r="A48" s="1" t="s">
        <v>62</v>
      </c>
      <c r="B48" s="3">
        <v>0.05</v>
      </c>
      <c r="C48" t="s">
        <v>63</v>
      </c>
    </row>
    <row r="49" spans="1:3" x14ac:dyDescent="0.25">
      <c r="A49" s="1" t="s">
        <v>64</v>
      </c>
      <c r="B49" s="3">
        <v>0.1</v>
      </c>
      <c r="C49" t="s">
        <v>65</v>
      </c>
    </row>
    <row r="51" spans="1:3" x14ac:dyDescent="0.25">
      <c r="A51" s="29" t="s">
        <v>66</v>
      </c>
      <c r="B51" s="20"/>
      <c r="C51" s="20"/>
    </row>
    <row r="52" spans="1:3" x14ac:dyDescent="0.25">
      <c r="A52" s="1" t="s">
        <v>67</v>
      </c>
      <c r="B52" s="3">
        <v>0.3</v>
      </c>
      <c r="C52" t="s">
        <v>68</v>
      </c>
    </row>
    <row r="53" spans="1:3" x14ac:dyDescent="0.25">
      <c r="A53" s="1" t="s">
        <v>69</v>
      </c>
      <c r="B53" s="3">
        <v>0.28499999999999998</v>
      </c>
      <c r="C53" t="s">
        <v>70</v>
      </c>
    </row>
    <row r="54" spans="1:3" x14ac:dyDescent="0.25">
      <c r="A54" s="1" t="s">
        <v>71</v>
      </c>
      <c r="B54" s="3">
        <v>0.27</v>
      </c>
      <c r="C54" t="s">
        <v>72</v>
      </c>
    </row>
    <row r="55" spans="1:3" x14ac:dyDescent="0.25">
      <c r="A55" s="1" t="s">
        <v>73</v>
      </c>
      <c r="B55" s="3">
        <v>0.47</v>
      </c>
      <c r="C55" t="s">
        <v>74</v>
      </c>
    </row>
    <row r="56" spans="1:3" x14ac:dyDescent="0.25">
      <c r="A56" s="1" t="s">
        <v>75</v>
      </c>
      <c r="B56" s="3">
        <v>0.45</v>
      </c>
      <c r="C56" t="s">
        <v>76</v>
      </c>
    </row>
    <row r="57" spans="1:3" x14ac:dyDescent="0.25">
      <c r="A57" s="1" t="s">
        <v>77</v>
      </c>
      <c r="B57" s="3">
        <v>0.43</v>
      </c>
      <c r="C57" t="s">
        <v>78</v>
      </c>
    </row>
    <row r="59" spans="1:3" x14ac:dyDescent="0.25">
      <c r="A59" s="23" t="s">
        <v>79</v>
      </c>
      <c r="B59" s="20"/>
      <c r="C59" s="20"/>
    </row>
    <row r="60" spans="1:3" x14ac:dyDescent="0.25">
      <c r="A60" s="1" t="s">
        <v>80</v>
      </c>
      <c r="B60">
        <v>3</v>
      </c>
      <c r="C60" t="s">
        <v>81</v>
      </c>
    </row>
    <row r="61" spans="1:3" x14ac:dyDescent="0.25">
      <c r="A61" s="1" t="s">
        <v>82</v>
      </c>
      <c r="B61" s="2">
        <v>40131</v>
      </c>
      <c r="C61" t="s">
        <v>83</v>
      </c>
    </row>
    <row r="62" spans="1:3" x14ac:dyDescent="0.25">
      <c r="A62" s="1" t="s">
        <v>84</v>
      </c>
      <c r="B62" s="2">
        <v>48732</v>
      </c>
      <c r="C62" t="s">
        <v>83</v>
      </c>
    </row>
    <row r="63" spans="1:3" x14ac:dyDescent="0.25">
      <c r="A63" s="1" t="s">
        <v>85</v>
      </c>
      <c r="B63" s="2">
        <v>57380</v>
      </c>
      <c r="C63" t="s">
        <v>83</v>
      </c>
    </row>
    <row r="65" spans="1:3" x14ac:dyDescent="0.25">
      <c r="A65" s="1" t="s">
        <v>86</v>
      </c>
      <c r="B65">
        <v>20</v>
      </c>
      <c r="C65" t="s">
        <v>87</v>
      </c>
    </row>
    <row r="66" spans="1:3" x14ac:dyDescent="0.25">
      <c r="A66" s="1" t="s">
        <v>88</v>
      </c>
      <c r="B66" s="2">
        <v>58704</v>
      </c>
      <c r="C66" t="s">
        <v>83</v>
      </c>
    </row>
    <row r="67" spans="1:3" x14ac:dyDescent="0.25">
      <c r="A67" s="1" t="s">
        <v>89</v>
      </c>
      <c r="B67" s="2">
        <v>71284</v>
      </c>
      <c r="C67" t="s">
        <v>83</v>
      </c>
    </row>
    <row r="68" spans="1:3" x14ac:dyDescent="0.25">
      <c r="A68" s="1" t="s">
        <v>90</v>
      </c>
      <c r="B68" s="2">
        <v>83863</v>
      </c>
      <c r="C68" t="s">
        <v>83</v>
      </c>
    </row>
  </sheetData>
  <mergeCells count="10">
    <mergeCell ref="A1:C1"/>
    <mergeCell ref="A23:C23"/>
    <mergeCell ref="A32:C32"/>
    <mergeCell ref="A59:C59"/>
    <mergeCell ref="A8:C8"/>
    <mergeCell ref="A17:C17"/>
    <mergeCell ref="A29:C29"/>
    <mergeCell ref="A4:C4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tabSelected="1" workbookViewId="0">
      <selection sqref="A1:X1"/>
    </sheetView>
  </sheetViews>
  <sheetFormatPr baseColWidth="10" defaultColWidth="9.140625" defaultRowHeight="15" x14ac:dyDescent="0.25"/>
  <cols>
    <col min="1" max="1" width="5" customWidth="1"/>
    <col min="2" max="2" width="10" customWidth="1"/>
    <col min="3" max="24" width="11" customWidth="1"/>
    <col min="25" max="25" width="15" customWidth="1"/>
  </cols>
  <sheetData>
    <row r="1" spans="1:25" ht="18.75" x14ac:dyDescent="0.3">
      <c r="A1" s="33" t="s">
        <v>91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5" x14ac:dyDescent="0.25">
      <c r="A2" s="28" t="s">
        <v>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5" x14ac:dyDescent="0.25">
      <c r="A3" s="35" t="s">
        <v>93</v>
      </c>
      <c r="B3" s="20"/>
      <c r="C3" s="20"/>
      <c r="D3" s="20"/>
      <c r="E3" s="20"/>
      <c r="F3" s="20"/>
      <c r="G3" s="30" t="s">
        <v>94</v>
      </c>
      <c r="H3" s="20"/>
      <c r="I3" s="20"/>
      <c r="J3" s="20"/>
      <c r="K3" s="20"/>
      <c r="L3" s="31" t="s">
        <v>95</v>
      </c>
      <c r="M3" s="20"/>
      <c r="N3" s="36" t="s">
        <v>96</v>
      </c>
      <c r="O3" s="20"/>
      <c r="P3" s="20"/>
      <c r="Q3" s="20"/>
      <c r="R3" s="20"/>
      <c r="S3" s="20"/>
      <c r="T3" s="37" t="s">
        <v>97</v>
      </c>
      <c r="U3" s="20"/>
      <c r="V3" s="34" t="s">
        <v>98</v>
      </c>
      <c r="W3" s="20"/>
      <c r="X3" s="20"/>
    </row>
    <row r="4" spans="1:25" ht="24" x14ac:dyDescent="0.25">
      <c r="A4" s="5" t="s">
        <v>99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107</v>
      </c>
      <c r="J4" s="5" t="s">
        <v>108</v>
      </c>
      <c r="K4" s="5" t="s">
        <v>109</v>
      </c>
      <c r="L4" s="5" t="s">
        <v>110</v>
      </c>
      <c r="M4" s="5" t="s">
        <v>111</v>
      </c>
      <c r="N4" s="5" t="s">
        <v>112</v>
      </c>
      <c r="O4" s="5" t="s">
        <v>113</v>
      </c>
      <c r="P4" s="5" t="s">
        <v>114</v>
      </c>
      <c r="Q4" s="5" t="s">
        <v>115</v>
      </c>
      <c r="R4" s="5" t="s">
        <v>116</v>
      </c>
      <c r="S4" s="5" t="s">
        <v>117</v>
      </c>
      <c r="T4" s="5" t="s">
        <v>118</v>
      </c>
      <c r="U4" s="5" t="s">
        <v>119</v>
      </c>
      <c r="V4" s="5" t="s">
        <v>120</v>
      </c>
      <c r="W4" s="5" t="s">
        <v>121</v>
      </c>
      <c r="X4" s="5" t="s">
        <v>122</v>
      </c>
      <c r="Y4" s="5" t="s">
        <v>123</v>
      </c>
    </row>
    <row r="5" spans="1:25" x14ac:dyDescent="0.25">
      <c r="A5" s="6">
        <v>1</v>
      </c>
      <c r="B5" s="6" t="s">
        <v>124</v>
      </c>
      <c r="C5" s="7">
        <f>Parametres!$B$33*Parametres!$B$34</f>
        <v>145625.55000000002</v>
      </c>
      <c r="D5" s="7">
        <f>IF(A5&gt;=Parametres!$B$60,Parametres!$B$61,0)</f>
        <v>0</v>
      </c>
      <c r="E5" s="7">
        <f>IF(A5&gt;=Parametres!$B$65,Parametres!$B$66,0)</f>
        <v>0</v>
      </c>
      <c r="F5" s="7">
        <f t="shared" ref="F5:F40" si="0">C5+D5+E5</f>
        <v>145625.55000000002</v>
      </c>
      <c r="G5" s="7">
        <f>F5*Parametres!$B$52</f>
        <v>43687.665000000001</v>
      </c>
      <c r="H5" s="7">
        <f>F5*Parametres!$B$55</f>
        <v>68444.008500000011</v>
      </c>
      <c r="I5" s="7">
        <f>IF(A5&lt;Parametres!$B$21,IF(A5&lt;=12,Parametres!$B$18,Parametres!$B$18*(1+Parametres!$B$20)),IF(A5&lt;=24,Parametres!$B$19*(1+Parametres!$B$20),Parametres!$B$19*POWER(1+Parametres!$B$20,2)))</f>
        <v>9000</v>
      </c>
      <c r="J5" s="7">
        <f>Parametres!$B$30</f>
        <v>16680</v>
      </c>
      <c r="K5" s="7">
        <f>IF(A5&lt;Parametres!$B$12,0,IF(A5&lt;=24,Parametres!$B$14,Parametres!$B$15))</f>
        <v>0</v>
      </c>
      <c r="L5" s="7">
        <f t="shared" ref="L5:L40" si="1">F5-G5-H5-I5-J5-K5</f>
        <v>7813.8764999999985</v>
      </c>
      <c r="M5" s="8">
        <f t="shared" ref="M5:M40" si="2">IF(F5=0,0,L5/F5)</f>
        <v>5.3657318375793239E-2</v>
      </c>
      <c r="N5" s="7">
        <f>F5*Parametres!$B$24</f>
        <v>14562.555000000002</v>
      </c>
      <c r="O5" s="7">
        <f>F5*Parametres!$B$25</f>
        <v>29125.110000000004</v>
      </c>
      <c r="P5" s="7">
        <f>IF(A5&lt;=Parametres!$B$27,0,MIN(L5,N5))</f>
        <v>0</v>
      </c>
      <c r="Q5" s="7">
        <f t="shared" ref="Q5:Q40" si="3">IF(L5&gt;N5,MIN(L5-N5,O5-N5),0)</f>
        <v>0</v>
      </c>
      <c r="R5" s="7">
        <f t="shared" ref="R5:R40" si="4">IF(L5&gt;O5,L5-O5,0)</f>
        <v>0</v>
      </c>
      <c r="S5" s="7">
        <f>R5*Parametres!$B$26</f>
        <v>0</v>
      </c>
      <c r="T5" s="7">
        <f>R5*Parametres!$B$26</f>
        <v>0</v>
      </c>
      <c r="U5" s="7">
        <f t="shared" ref="U5:U40" si="5">P5+S5</f>
        <v>0</v>
      </c>
      <c r="V5" s="7">
        <f t="shared" ref="V5:V40" si="6">Q5+T5</f>
        <v>0</v>
      </c>
      <c r="W5" s="7">
        <f t="shared" ref="W5:W40" si="7">L5-U5-V5</f>
        <v>7813.8764999999985</v>
      </c>
      <c r="X5" s="7">
        <f>W5</f>
        <v>7813.8764999999985</v>
      </c>
      <c r="Y5" s="9" t="s">
        <v>125</v>
      </c>
    </row>
    <row r="6" spans="1:25" x14ac:dyDescent="0.25">
      <c r="A6" s="10">
        <v>2</v>
      </c>
      <c r="B6" s="10" t="s">
        <v>126</v>
      </c>
      <c r="C6" s="11">
        <f>Parametres!$B$33*Parametres!$B$35</f>
        <v>138691</v>
      </c>
      <c r="D6" s="11">
        <f>IF(A6&gt;=Parametres!$B$60,Parametres!$B$61,0)</f>
        <v>0</v>
      </c>
      <c r="E6" s="11">
        <f>IF(A6&gt;=Parametres!$B$65,Parametres!$B$66,0)</f>
        <v>0</v>
      </c>
      <c r="F6" s="11">
        <f t="shared" si="0"/>
        <v>138691</v>
      </c>
      <c r="G6" s="11">
        <f>F6*Parametres!$B$52</f>
        <v>41607.299999999996</v>
      </c>
      <c r="H6" s="11">
        <f>F6*Parametres!$B$55</f>
        <v>65184.77</v>
      </c>
      <c r="I6" s="11">
        <f>IF(A6&lt;Parametres!$B$21,IF(A6&lt;=12,Parametres!$B$18,Parametres!$B$18*(1+Parametres!$B$20)),IF(A6&lt;=24,Parametres!$B$19*(1+Parametres!$B$20),Parametres!$B$19*POWER(1+Parametres!$B$20,2)))</f>
        <v>9000</v>
      </c>
      <c r="J6" s="11">
        <f>Parametres!$B$30</f>
        <v>16680</v>
      </c>
      <c r="K6" s="11">
        <f>IF(A6&lt;Parametres!$B$12,0,IF(A6&lt;=24,Parametres!$B$14,Parametres!$B$15))</f>
        <v>0</v>
      </c>
      <c r="L6" s="11">
        <f t="shared" si="1"/>
        <v>6218.9300000000148</v>
      </c>
      <c r="M6" s="12">
        <f t="shared" si="2"/>
        <v>4.484018429458303E-2</v>
      </c>
      <c r="N6" s="11">
        <f>F6*Parametres!$B$24</f>
        <v>13869.1</v>
      </c>
      <c r="O6" s="11">
        <f>F6*Parametres!$B$25</f>
        <v>27738.2</v>
      </c>
      <c r="P6" s="11">
        <f>IF(A6&lt;=Parametres!$B$27,0,MIN(L6,N6))</f>
        <v>0</v>
      </c>
      <c r="Q6" s="11">
        <f t="shared" si="3"/>
        <v>0</v>
      </c>
      <c r="R6" s="11">
        <f t="shared" si="4"/>
        <v>0</v>
      </c>
      <c r="S6" s="11">
        <f>R6*Parametres!$B$26</f>
        <v>0</v>
      </c>
      <c r="T6" s="11">
        <f>R6*Parametres!$B$26</f>
        <v>0</v>
      </c>
      <c r="U6" s="11">
        <f t="shared" si="5"/>
        <v>0</v>
      </c>
      <c r="V6" s="11">
        <f t="shared" si="6"/>
        <v>0</v>
      </c>
      <c r="W6" s="11">
        <f t="shared" si="7"/>
        <v>6218.9300000000148</v>
      </c>
      <c r="X6" s="11">
        <f t="shared" ref="X6:X40" si="8">X5+W6</f>
        <v>14032.806500000013</v>
      </c>
      <c r="Y6" s="13" t="s">
        <v>125</v>
      </c>
    </row>
    <row r="7" spans="1:25" x14ac:dyDescent="0.25">
      <c r="A7" s="6">
        <v>3</v>
      </c>
      <c r="B7" s="6" t="s">
        <v>127</v>
      </c>
      <c r="C7" s="7">
        <f>Parametres!$B$33*Parametres!$B$36</f>
        <v>117887.34999999999</v>
      </c>
      <c r="D7" s="7">
        <f>IF(A7&gt;=Parametres!$B$60,Parametres!$B$61,0)</f>
        <v>40131</v>
      </c>
      <c r="E7" s="7">
        <f>IF(A7&gt;=Parametres!$B$65,Parametres!$B$66,0)</f>
        <v>0</v>
      </c>
      <c r="F7" s="7">
        <f t="shared" si="0"/>
        <v>158018.34999999998</v>
      </c>
      <c r="G7" s="7">
        <f>F7*Parametres!$B$52</f>
        <v>47405.50499999999</v>
      </c>
      <c r="H7" s="7">
        <f>F7*Parametres!$B$55</f>
        <v>74268.624499999991</v>
      </c>
      <c r="I7" s="7">
        <f>IF(A7&lt;Parametres!$B$21,IF(A7&lt;=12,Parametres!$B$18,Parametres!$B$18*(1+Parametres!$B$20)),IF(A7&lt;=24,Parametres!$B$19*(1+Parametres!$B$20),Parametres!$B$19*POWER(1+Parametres!$B$20,2)))</f>
        <v>9000</v>
      </c>
      <c r="J7" s="7">
        <f>Parametres!$B$30</f>
        <v>16680</v>
      </c>
      <c r="K7" s="7">
        <f>IF(A7&lt;Parametres!$B$12,0,IF(A7&lt;=24,Parametres!$B$14,Parametres!$B$15))</f>
        <v>0</v>
      </c>
      <c r="L7" s="7">
        <f t="shared" si="1"/>
        <v>10664.220499999996</v>
      </c>
      <c r="M7" s="8">
        <f t="shared" si="2"/>
        <v>6.7487228540229649E-2</v>
      </c>
      <c r="N7" s="7">
        <f>F7*Parametres!$B$24</f>
        <v>15801.834999999999</v>
      </c>
      <c r="O7" s="7">
        <f>F7*Parametres!$B$25</f>
        <v>31603.67</v>
      </c>
      <c r="P7" s="7">
        <f>IF(A7&lt;=Parametres!$B$27,0,MIN(L7,N7))</f>
        <v>0</v>
      </c>
      <c r="Q7" s="7">
        <f t="shared" si="3"/>
        <v>0</v>
      </c>
      <c r="R7" s="7">
        <f t="shared" si="4"/>
        <v>0</v>
      </c>
      <c r="S7" s="7">
        <f>R7*Parametres!$B$26</f>
        <v>0</v>
      </c>
      <c r="T7" s="7">
        <f>R7*Parametres!$B$26</f>
        <v>0</v>
      </c>
      <c r="U7" s="7">
        <f t="shared" si="5"/>
        <v>0</v>
      </c>
      <c r="V7" s="7">
        <f t="shared" si="6"/>
        <v>0</v>
      </c>
      <c r="W7" s="7">
        <f t="shared" si="7"/>
        <v>10664.220499999996</v>
      </c>
      <c r="X7" s="7">
        <f t="shared" si="8"/>
        <v>24697.027000000009</v>
      </c>
      <c r="Y7" s="9" t="s">
        <v>125</v>
      </c>
    </row>
    <row r="8" spans="1:25" x14ac:dyDescent="0.25">
      <c r="A8" s="10">
        <v>4</v>
      </c>
      <c r="B8" s="10" t="s">
        <v>128</v>
      </c>
      <c r="C8" s="11">
        <f>Parametres!$B$33*Parametres!$B$37</f>
        <v>110952.8</v>
      </c>
      <c r="D8" s="11">
        <f>IF(A8&gt;=Parametres!$B$60,Parametres!$B$61,0)</f>
        <v>40131</v>
      </c>
      <c r="E8" s="11">
        <f>IF(A8&gt;=Parametres!$B$65,Parametres!$B$66,0)</f>
        <v>0</v>
      </c>
      <c r="F8" s="11">
        <f t="shared" si="0"/>
        <v>151083.79999999999</v>
      </c>
      <c r="G8" s="11">
        <f>F8*Parametres!$B$52</f>
        <v>45325.139999999992</v>
      </c>
      <c r="H8" s="11">
        <f>F8*Parametres!$B$55</f>
        <v>71009.385999999984</v>
      </c>
      <c r="I8" s="11">
        <f>IF(A8&lt;Parametres!$B$21,IF(A8&lt;=12,Parametres!$B$18,Parametres!$B$18*(1+Parametres!$B$20)),IF(A8&lt;=24,Parametres!$B$19*(1+Parametres!$B$20),Parametres!$B$19*POWER(1+Parametres!$B$20,2)))</f>
        <v>9000</v>
      </c>
      <c r="J8" s="11">
        <f>Parametres!$B$30</f>
        <v>16680</v>
      </c>
      <c r="K8" s="11">
        <f>IF(A8&lt;Parametres!$B$12,0,IF(A8&lt;=24,Parametres!$B$14,Parametres!$B$15))</f>
        <v>0</v>
      </c>
      <c r="L8" s="11">
        <f t="shared" si="1"/>
        <v>9069.2740000000194</v>
      </c>
      <c r="M8" s="12">
        <f t="shared" si="2"/>
        <v>6.0028103608725888E-2</v>
      </c>
      <c r="N8" s="11">
        <f>F8*Parametres!$B$24</f>
        <v>15108.38</v>
      </c>
      <c r="O8" s="11">
        <f>F8*Parametres!$B$25</f>
        <v>30216.76</v>
      </c>
      <c r="P8" s="11">
        <f>IF(A8&lt;=Parametres!$B$27,0,MIN(L8,N8))</f>
        <v>0</v>
      </c>
      <c r="Q8" s="11">
        <f t="shared" si="3"/>
        <v>0</v>
      </c>
      <c r="R8" s="11">
        <f t="shared" si="4"/>
        <v>0</v>
      </c>
      <c r="S8" s="11">
        <f>R8*Parametres!$B$26</f>
        <v>0</v>
      </c>
      <c r="T8" s="11">
        <f>R8*Parametres!$B$26</f>
        <v>0</v>
      </c>
      <c r="U8" s="11">
        <f t="shared" si="5"/>
        <v>0</v>
      </c>
      <c r="V8" s="11">
        <f t="shared" si="6"/>
        <v>0</v>
      </c>
      <c r="W8" s="11">
        <f t="shared" si="7"/>
        <v>9069.2740000000194</v>
      </c>
      <c r="X8" s="11">
        <f t="shared" si="8"/>
        <v>33766.301000000029</v>
      </c>
      <c r="Y8" s="13" t="s">
        <v>125</v>
      </c>
    </row>
    <row r="9" spans="1:25" x14ac:dyDescent="0.25">
      <c r="A9" s="6">
        <v>5</v>
      </c>
      <c r="B9" s="6" t="s">
        <v>129</v>
      </c>
      <c r="C9" s="7">
        <f>Parametres!$B$33*Parametres!$B$38</f>
        <v>110952.8</v>
      </c>
      <c r="D9" s="7">
        <f>IF(A9&gt;=Parametres!$B$60,Parametres!$B$61,0)</f>
        <v>40131</v>
      </c>
      <c r="E9" s="7">
        <f>IF(A9&gt;=Parametres!$B$65,Parametres!$B$66,0)</f>
        <v>0</v>
      </c>
      <c r="F9" s="7">
        <f t="shared" si="0"/>
        <v>151083.79999999999</v>
      </c>
      <c r="G9" s="7">
        <f>F9*Parametres!$B$52</f>
        <v>45325.139999999992</v>
      </c>
      <c r="H9" s="7">
        <f>F9*Parametres!$B$55</f>
        <v>71009.385999999984</v>
      </c>
      <c r="I9" s="7">
        <f>IF(A9&lt;Parametres!$B$21,IF(A9&lt;=12,Parametres!$B$18,Parametres!$B$18*(1+Parametres!$B$20)),IF(A9&lt;=24,Parametres!$B$19*(1+Parametres!$B$20),Parametres!$B$19*POWER(1+Parametres!$B$20,2)))</f>
        <v>9000</v>
      </c>
      <c r="J9" s="7">
        <f>Parametres!$B$30</f>
        <v>16680</v>
      </c>
      <c r="K9" s="7">
        <f>IF(A9&lt;Parametres!$B$12,0,IF(A9&lt;=24,Parametres!$B$14,Parametres!$B$15))</f>
        <v>9280.9695000000011</v>
      </c>
      <c r="L9" s="7">
        <f t="shared" si="1"/>
        <v>-211.69549999998162</v>
      </c>
      <c r="M9" s="8">
        <f t="shared" si="2"/>
        <v>-1.4011793455021759E-3</v>
      </c>
      <c r="N9" s="7">
        <f>F9*Parametres!$B$24</f>
        <v>15108.38</v>
      </c>
      <c r="O9" s="7">
        <f>F9*Parametres!$B$25</f>
        <v>30216.76</v>
      </c>
      <c r="P9" s="7">
        <f>IF(A9&lt;=Parametres!$B$27,0,MIN(L9,N9))</f>
        <v>0</v>
      </c>
      <c r="Q9" s="7">
        <f t="shared" si="3"/>
        <v>0</v>
      </c>
      <c r="R9" s="7">
        <f t="shared" si="4"/>
        <v>0</v>
      </c>
      <c r="S9" s="7">
        <f>R9*Parametres!$B$26</f>
        <v>0</v>
      </c>
      <c r="T9" s="7">
        <f>R9*Parametres!$B$26</f>
        <v>0</v>
      </c>
      <c r="U9" s="7">
        <f t="shared" si="5"/>
        <v>0</v>
      </c>
      <c r="V9" s="7">
        <f t="shared" si="6"/>
        <v>0</v>
      </c>
      <c r="W9" s="7">
        <f t="shared" si="7"/>
        <v>-211.69549999998162</v>
      </c>
      <c r="X9" s="7">
        <f t="shared" si="8"/>
        <v>33554.605500000049</v>
      </c>
      <c r="Y9" s="9" t="s">
        <v>125</v>
      </c>
    </row>
    <row r="10" spans="1:25" x14ac:dyDescent="0.25">
      <c r="A10" s="10">
        <v>6</v>
      </c>
      <c r="B10" s="10" t="s">
        <v>130</v>
      </c>
      <c r="C10" s="11">
        <f>Parametres!$B$33*Parametres!$B$39</f>
        <v>104018.25</v>
      </c>
      <c r="D10" s="11">
        <f>IF(A10&gt;=Parametres!$B$60,Parametres!$B$61,0)</f>
        <v>40131</v>
      </c>
      <c r="E10" s="11">
        <f>IF(A10&gt;=Parametres!$B$65,Parametres!$B$66,0)</f>
        <v>0</v>
      </c>
      <c r="F10" s="11">
        <f t="shared" si="0"/>
        <v>144149.25</v>
      </c>
      <c r="G10" s="11">
        <f>F10*Parametres!$B$52</f>
        <v>43244.775000000001</v>
      </c>
      <c r="H10" s="11">
        <f>F10*Parametres!$B$55</f>
        <v>67750.147499999992</v>
      </c>
      <c r="I10" s="11">
        <f>IF(A10&lt;Parametres!$B$21,IF(A10&lt;=12,Parametres!$B$18,Parametres!$B$18*(1+Parametres!$B$20)),IF(A10&lt;=24,Parametres!$B$19*(1+Parametres!$B$20),Parametres!$B$19*POWER(1+Parametres!$B$20,2)))</f>
        <v>9000</v>
      </c>
      <c r="J10" s="11">
        <f>Parametres!$B$30</f>
        <v>16680</v>
      </c>
      <c r="K10" s="11">
        <f>IF(A10&lt;Parametres!$B$12,0,IF(A10&lt;=24,Parametres!$B$14,Parametres!$B$15))</f>
        <v>9280.9695000000011</v>
      </c>
      <c r="L10" s="11">
        <f t="shared" si="1"/>
        <v>-1806.6419999999871</v>
      </c>
      <c r="M10" s="12">
        <f t="shared" si="2"/>
        <v>-1.2533134927861138E-2</v>
      </c>
      <c r="N10" s="11">
        <f>F10*Parametres!$B$24</f>
        <v>14414.925000000001</v>
      </c>
      <c r="O10" s="11">
        <f>F10*Parametres!$B$25</f>
        <v>28829.850000000002</v>
      </c>
      <c r="P10" s="11">
        <f>IF(A10&lt;=Parametres!$B$27,0,MIN(L10,N10))</f>
        <v>0</v>
      </c>
      <c r="Q10" s="11">
        <f t="shared" si="3"/>
        <v>0</v>
      </c>
      <c r="R10" s="11">
        <f t="shared" si="4"/>
        <v>0</v>
      </c>
      <c r="S10" s="11">
        <f>R10*Parametres!$B$26</f>
        <v>0</v>
      </c>
      <c r="T10" s="11">
        <f>R10*Parametres!$B$26</f>
        <v>0</v>
      </c>
      <c r="U10" s="11">
        <f t="shared" si="5"/>
        <v>0</v>
      </c>
      <c r="V10" s="11">
        <f t="shared" si="6"/>
        <v>0</v>
      </c>
      <c r="W10" s="11">
        <f t="shared" si="7"/>
        <v>-1806.6419999999871</v>
      </c>
      <c r="X10" s="11">
        <f t="shared" si="8"/>
        <v>31747.963500000064</v>
      </c>
      <c r="Y10" s="13" t="s">
        <v>125</v>
      </c>
    </row>
    <row r="11" spans="1:25" x14ac:dyDescent="0.25">
      <c r="A11" s="6">
        <v>7</v>
      </c>
      <c r="B11" s="6" t="s">
        <v>131</v>
      </c>
      <c r="C11" s="7">
        <f>Parametres!$B$33*Parametres!$B$40</f>
        <v>124821.90000000001</v>
      </c>
      <c r="D11" s="7">
        <f>IF(A11&gt;=Parametres!$B$60,Parametres!$B$61,0)</f>
        <v>40131</v>
      </c>
      <c r="E11" s="7">
        <f>IF(A11&gt;=Parametres!$B$65,Parametres!$B$66,0)</f>
        <v>0</v>
      </c>
      <c r="F11" s="7">
        <f t="shared" si="0"/>
        <v>164952.90000000002</v>
      </c>
      <c r="G11" s="7">
        <f>F11*Parametres!$B$52</f>
        <v>49485.87</v>
      </c>
      <c r="H11" s="7">
        <f>F11*Parametres!$B$55</f>
        <v>77527.863000000012</v>
      </c>
      <c r="I11" s="7">
        <f>IF(A11&lt;Parametres!$B$21,IF(A11&lt;=12,Parametres!$B$18,Parametres!$B$18*(1+Parametres!$B$20)),IF(A11&lt;=24,Parametres!$B$19*(1+Parametres!$B$20),Parametres!$B$19*POWER(1+Parametres!$B$20,2)))</f>
        <v>9000</v>
      </c>
      <c r="J11" s="7">
        <f>Parametres!$B$30</f>
        <v>16680</v>
      </c>
      <c r="K11" s="7">
        <f>IF(A11&lt;Parametres!$B$12,0,IF(A11&lt;=24,Parametres!$B$14,Parametres!$B$15))</f>
        <v>9280.9695000000011</v>
      </c>
      <c r="L11" s="7">
        <f t="shared" si="1"/>
        <v>2978.1975000000148</v>
      </c>
      <c r="M11" s="8">
        <f t="shared" si="2"/>
        <v>1.8054835653086514E-2</v>
      </c>
      <c r="N11" s="7">
        <f>F11*Parametres!$B$24</f>
        <v>16495.290000000005</v>
      </c>
      <c r="O11" s="7">
        <f>F11*Parametres!$B$25</f>
        <v>32990.580000000009</v>
      </c>
      <c r="P11" s="7">
        <f>IF(A11&lt;=Parametres!$B$27,0,MIN(L11,N11))</f>
        <v>2978.1975000000148</v>
      </c>
      <c r="Q11" s="7">
        <f t="shared" si="3"/>
        <v>0</v>
      </c>
      <c r="R11" s="7">
        <f t="shared" si="4"/>
        <v>0</v>
      </c>
      <c r="S11" s="7">
        <f>R11*Parametres!$B$26</f>
        <v>0</v>
      </c>
      <c r="T11" s="7">
        <f>R11*Parametres!$B$26</f>
        <v>0</v>
      </c>
      <c r="U11" s="7">
        <f t="shared" si="5"/>
        <v>2978.1975000000148</v>
      </c>
      <c r="V11" s="7">
        <f t="shared" si="6"/>
        <v>0</v>
      </c>
      <c r="W11" s="7">
        <f t="shared" si="7"/>
        <v>0</v>
      </c>
      <c r="X11" s="7">
        <f t="shared" si="8"/>
        <v>31747.963500000064</v>
      </c>
    </row>
    <row r="12" spans="1:25" x14ac:dyDescent="0.25">
      <c r="A12" s="10">
        <v>8</v>
      </c>
      <c r="B12" s="10" t="s">
        <v>132</v>
      </c>
      <c r="C12" s="11">
        <f>Parametres!$B$33*Parametres!$B$41</f>
        <v>138691</v>
      </c>
      <c r="D12" s="11">
        <f>IF(A12&gt;=Parametres!$B$60,Parametres!$B$61,0)</f>
        <v>40131</v>
      </c>
      <c r="E12" s="11">
        <f>IF(A12&gt;=Parametres!$B$65,Parametres!$B$66,0)</f>
        <v>0</v>
      </c>
      <c r="F12" s="11">
        <f t="shared" si="0"/>
        <v>178822</v>
      </c>
      <c r="G12" s="11">
        <f>F12*Parametres!$B$52</f>
        <v>53646.6</v>
      </c>
      <c r="H12" s="11">
        <f>F12*Parametres!$B$55</f>
        <v>84046.34</v>
      </c>
      <c r="I12" s="11">
        <f>IF(A12&lt;Parametres!$B$21,IF(A12&lt;=12,Parametres!$B$18,Parametres!$B$18*(1+Parametres!$B$20)),IF(A12&lt;=24,Parametres!$B$19*(1+Parametres!$B$20),Parametres!$B$19*POWER(1+Parametres!$B$20,2)))</f>
        <v>9000</v>
      </c>
      <c r="J12" s="11">
        <f>Parametres!$B$30</f>
        <v>16680</v>
      </c>
      <c r="K12" s="11">
        <f>IF(A12&lt;Parametres!$B$12,0,IF(A12&lt;=24,Parametres!$B$14,Parametres!$B$15))</f>
        <v>9280.9695000000011</v>
      </c>
      <c r="L12" s="11">
        <f t="shared" si="1"/>
        <v>6168.0904999999966</v>
      </c>
      <c r="M12" s="12">
        <f t="shared" si="2"/>
        <v>3.4492906353804323E-2</v>
      </c>
      <c r="N12" s="11">
        <f>F12*Parametres!$B$24</f>
        <v>17882.2</v>
      </c>
      <c r="O12" s="11">
        <f>F12*Parametres!$B$25</f>
        <v>35764.400000000001</v>
      </c>
      <c r="P12" s="11">
        <f>IF(A12&lt;=Parametres!$B$27,0,MIN(L12,N12))</f>
        <v>6168.0904999999966</v>
      </c>
      <c r="Q12" s="11">
        <f t="shared" si="3"/>
        <v>0</v>
      </c>
      <c r="R12" s="11">
        <f t="shared" si="4"/>
        <v>0</v>
      </c>
      <c r="S12" s="11">
        <f>R12*Parametres!$B$26</f>
        <v>0</v>
      </c>
      <c r="T12" s="11">
        <f>R12*Parametres!$B$26</f>
        <v>0</v>
      </c>
      <c r="U12" s="11">
        <f t="shared" si="5"/>
        <v>6168.0904999999966</v>
      </c>
      <c r="V12" s="11">
        <f t="shared" si="6"/>
        <v>0</v>
      </c>
      <c r="W12" s="11">
        <f t="shared" si="7"/>
        <v>0</v>
      </c>
      <c r="X12" s="11">
        <f t="shared" si="8"/>
        <v>31747.963500000064</v>
      </c>
      <c r="Y12" s="14"/>
    </row>
    <row r="13" spans="1:25" x14ac:dyDescent="0.25">
      <c r="A13" s="6">
        <v>9</v>
      </c>
      <c r="B13" s="6" t="s">
        <v>133</v>
      </c>
      <c r="C13" s="7">
        <f>Parametres!$B$33*Parametres!$B$42</f>
        <v>145625.55000000002</v>
      </c>
      <c r="D13" s="7">
        <f>IF(A13&gt;=Parametres!$B$60,Parametres!$B$61,0)</f>
        <v>40131</v>
      </c>
      <c r="E13" s="7">
        <f>IF(A13&gt;=Parametres!$B$65,Parametres!$B$66,0)</f>
        <v>0</v>
      </c>
      <c r="F13" s="7">
        <f t="shared" si="0"/>
        <v>185756.55000000002</v>
      </c>
      <c r="G13" s="7">
        <f>F13*Parametres!$B$52</f>
        <v>55726.965000000004</v>
      </c>
      <c r="H13" s="7">
        <f>F13*Parametres!$B$55</f>
        <v>87305.578500000003</v>
      </c>
      <c r="I13" s="7">
        <f>IF(A13&lt;Parametres!$B$21,IF(A13&lt;=12,Parametres!$B$18,Parametres!$B$18*(1+Parametres!$B$20)),IF(A13&lt;=24,Parametres!$B$19*(1+Parametres!$B$20),Parametres!$B$19*POWER(1+Parametres!$B$20,2)))</f>
        <v>9000</v>
      </c>
      <c r="J13" s="7">
        <f>Parametres!$B$30</f>
        <v>16680</v>
      </c>
      <c r="K13" s="7">
        <f>IF(A13&lt;Parametres!$B$12,0,IF(A13&lt;=24,Parametres!$B$14,Parametres!$B$15))</f>
        <v>9280.9695000000011</v>
      </c>
      <c r="L13" s="7">
        <f t="shared" si="1"/>
        <v>7763.0370000000166</v>
      </c>
      <c r="M13" s="8">
        <f t="shared" si="2"/>
        <v>4.1791457690186516E-2</v>
      </c>
      <c r="N13" s="7">
        <f>F13*Parametres!$B$24</f>
        <v>18575.655000000002</v>
      </c>
      <c r="O13" s="7">
        <f>F13*Parametres!$B$25</f>
        <v>37151.310000000005</v>
      </c>
      <c r="P13" s="7">
        <f>IF(A13&lt;=Parametres!$B$27,0,MIN(L13,N13))</f>
        <v>7763.0370000000166</v>
      </c>
      <c r="Q13" s="7">
        <f t="shared" si="3"/>
        <v>0</v>
      </c>
      <c r="R13" s="7">
        <f t="shared" si="4"/>
        <v>0</v>
      </c>
      <c r="S13" s="7">
        <f>R13*Parametres!$B$26</f>
        <v>0</v>
      </c>
      <c r="T13" s="7">
        <f>R13*Parametres!$B$26</f>
        <v>0</v>
      </c>
      <c r="U13" s="7">
        <f t="shared" si="5"/>
        <v>7763.0370000000166</v>
      </c>
      <c r="V13" s="7">
        <f t="shared" si="6"/>
        <v>0</v>
      </c>
      <c r="W13" s="7">
        <f t="shared" si="7"/>
        <v>0</v>
      </c>
      <c r="X13" s="7">
        <f t="shared" si="8"/>
        <v>31747.963500000064</v>
      </c>
    </row>
    <row r="14" spans="1:25" x14ac:dyDescent="0.25">
      <c r="A14" s="10">
        <v>10</v>
      </c>
      <c r="B14" s="10" t="s">
        <v>134</v>
      </c>
      <c r="C14" s="11">
        <f>Parametres!$B$33*Parametres!$B$43</f>
        <v>159494.65</v>
      </c>
      <c r="D14" s="11">
        <f>IF(A14&gt;=Parametres!$B$60,Parametres!$B$61,0)</f>
        <v>40131</v>
      </c>
      <c r="E14" s="11">
        <f>IF(A14&gt;=Parametres!$B$65,Parametres!$B$66,0)</f>
        <v>0</v>
      </c>
      <c r="F14" s="11">
        <f t="shared" si="0"/>
        <v>199625.65</v>
      </c>
      <c r="G14" s="11">
        <f>F14*Parametres!$B$52</f>
        <v>59887.694999999992</v>
      </c>
      <c r="H14" s="11">
        <f>F14*Parametres!$B$55</f>
        <v>93824.055499999988</v>
      </c>
      <c r="I14" s="11">
        <f>IF(A14&lt;Parametres!$B$21,IF(A14&lt;=12,Parametres!$B$18,Parametres!$B$18*(1+Parametres!$B$20)),IF(A14&lt;=24,Parametres!$B$19*(1+Parametres!$B$20),Parametres!$B$19*POWER(1+Parametres!$B$20,2)))</f>
        <v>9000</v>
      </c>
      <c r="J14" s="11">
        <f>Parametres!$B$30</f>
        <v>16680</v>
      </c>
      <c r="K14" s="11">
        <f>IF(A14&lt;Parametres!$B$12,0,IF(A14&lt;=24,Parametres!$B$14,Parametres!$B$15))</f>
        <v>9280.9695000000011</v>
      </c>
      <c r="L14" s="11">
        <f t="shared" si="1"/>
        <v>10952.930000000028</v>
      </c>
      <c r="M14" s="12">
        <f t="shared" si="2"/>
        <v>5.4867347958541542E-2</v>
      </c>
      <c r="N14" s="11">
        <f>F14*Parametres!$B$24</f>
        <v>19962.565000000002</v>
      </c>
      <c r="O14" s="11">
        <f>F14*Parametres!$B$25</f>
        <v>39925.130000000005</v>
      </c>
      <c r="P14" s="11">
        <f>IF(A14&lt;=Parametres!$B$27,0,MIN(L14,N14))</f>
        <v>10952.930000000028</v>
      </c>
      <c r="Q14" s="11">
        <f t="shared" si="3"/>
        <v>0</v>
      </c>
      <c r="R14" s="11">
        <f t="shared" si="4"/>
        <v>0</v>
      </c>
      <c r="S14" s="11">
        <f>R14*Parametres!$B$26</f>
        <v>0</v>
      </c>
      <c r="T14" s="11">
        <f>R14*Parametres!$B$26</f>
        <v>0</v>
      </c>
      <c r="U14" s="11">
        <f t="shared" si="5"/>
        <v>10952.930000000028</v>
      </c>
      <c r="V14" s="11">
        <f t="shared" si="6"/>
        <v>0</v>
      </c>
      <c r="W14" s="11">
        <f t="shared" si="7"/>
        <v>0</v>
      </c>
      <c r="X14" s="11">
        <f t="shared" si="8"/>
        <v>31747.963500000064</v>
      </c>
      <c r="Y14" s="14"/>
    </row>
    <row r="15" spans="1:25" x14ac:dyDescent="0.25">
      <c r="A15" s="6">
        <v>11</v>
      </c>
      <c r="B15" s="6" t="s">
        <v>135</v>
      </c>
      <c r="C15" s="7">
        <f>Parametres!$B$33*Parametres!$B$44</f>
        <v>159494.65</v>
      </c>
      <c r="D15" s="7">
        <f>IF(A15&gt;=Parametres!$B$60,Parametres!$B$61,0)</f>
        <v>40131</v>
      </c>
      <c r="E15" s="7">
        <f>IF(A15&gt;=Parametres!$B$65,Parametres!$B$66,0)</f>
        <v>0</v>
      </c>
      <c r="F15" s="7">
        <f t="shared" si="0"/>
        <v>199625.65</v>
      </c>
      <c r="G15" s="7">
        <f>F15*Parametres!$B$52</f>
        <v>59887.694999999992</v>
      </c>
      <c r="H15" s="7">
        <f>F15*Parametres!$B$55</f>
        <v>93824.055499999988</v>
      </c>
      <c r="I15" s="7">
        <f>IF(A15&lt;Parametres!$B$21,IF(A15&lt;=12,Parametres!$B$18,Parametres!$B$18*(1+Parametres!$B$20)),IF(A15&lt;=24,Parametres!$B$19*(1+Parametres!$B$20),Parametres!$B$19*POWER(1+Parametres!$B$20,2)))</f>
        <v>9000</v>
      </c>
      <c r="J15" s="7">
        <f>Parametres!$B$30</f>
        <v>16680</v>
      </c>
      <c r="K15" s="7">
        <f>IF(A15&lt;Parametres!$B$12,0,IF(A15&lt;=24,Parametres!$B$14,Parametres!$B$15))</f>
        <v>9280.9695000000011</v>
      </c>
      <c r="L15" s="7">
        <f t="shared" si="1"/>
        <v>10952.930000000028</v>
      </c>
      <c r="M15" s="8">
        <f t="shared" si="2"/>
        <v>5.4867347958541542E-2</v>
      </c>
      <c r="N15" s="7">
        <f>F15*Parametres!$B$24</f>
        <v>19962.565000000002</v>
      </c>
      <c r="O15" s="7">
        <f>F15*Parametres!$B$25</f>
        <v>39925.130000000005</v>
      </c>
      <c r="P15" s="7">
        <f>IF(A15&lt;=Parametres!$B$27,0,MIN(L15,N15))</f>
        <v>10952.930000000028</v>
      </c>
      <c r="Q15" s="7">
        <f t="shared" si="3"/>
        <v>0</v>
      </c>
      <c r="R15" s="7">
        <f t="shared" si="4"/>
        <v>0</v>
      </c>
      <c r="S15" s="7">
        <f>R15*Parametres!$B$26</f>
        <v>0</v>
      </c>
      <c r="T15" s="7">
        <f>R15*Parametres!$B$26</f>
        <v>0</v>
      </c>
      <c r="U15" s="7">
        <f t="shared" si="5"/>
        <v>10952.930000000028</v>
      </c>
      <c r="V15" s="7">
        <f t="shared" si="6"/>
        <v>0</v>
      </c>
      <c r="W15" s="7">
        <f t="shared" si="7"/>
        <v>0</v>
      </c>
      <c r="X15" s="7">
        <f t="shared" si="8"/>
        <v>31747.963500000064</v>
      </c>
    </row>
    <row r="16" spans="1:25" x14ac:dyDescent="0.25">
      <c r="A16" s="10">
        <v>12</v>
      </c>
      <c r="B16" s="10" t="s">
        <v>136</v>
      </c>
      <c r="C16" s="11">
        <f>Parametres!$B$33*Parametres!$B$45</f>
        <v>159494.65</v>
      </c>
      <c r="D16" s="11">
        <f>IF(A16&gt;=Parametres!$B$60,Parametres!$B$61,0)</f>
        <v>40131</v>
      </c>
      <c r="E16" s="11">
        <f>IF(A16&gt;=Parametres!$B$65,Parametres!$B$66,0)</f>
        <v>0</v>
      </c>
      <c r="F16" s="11">
        <f t="shared" si="0"/>
        <v>199625.65</v>
      </c>
      <c r="G16" s="11">
        <f>F16*Parametres!$B$52</f>
        <v>59887.694999999992</v>
      </c>
      <c r="H16" s="11">
        <f>F16*Parametres!$B$55</f>
        <v>93824.055499999988</v>
      </c>
      <c r="I16" s="11">
        <f>IF(A16&lt;Parametres!$B$21,IF(A16&lt;=12,Parametres!$B$18,Parametres!$B$18*(1+Parametres!$B$20)),IF(A16&lt;=24,Parametres!$B$19*(1+Parametres!$B$20),Parametres!$B$19*POWER(1+Parametres!$B$20,2)))</f>
        <v>9000</v>
      </c>
      <c r="J16" s="11">
        <f>Parametres!$B$30</f>
        <v>16680</v>
      </c>
      <c r="K16" s="11">
        <f>IF(A16&lt;Parametres!$B$12,0,IF(A16&lt;=24,Parametres!$B$14,Parametres!$B$15))</f>
        <v>9280.9695000000011</v>
      </c>
      <c r="L16" s="11">
        <f t="shared" si="1"/>
        <v>10952.930000000028</v>
      </c>
      <c r="M16" s="12">
        <f t="shared" si="2"/>
        <v>5.4867347958541542E-2</v>
      </c>
      <c r="N16" s="11">
        <f>F16*Parametres!$B$24</f>
        <v>19962.565000000002</v>
      </c>
      <c r="O16" s="11">
        <f>F16*Parametres!$B$25</f>
        <v>39925.130000000005</v>
      </c>
      <c r="P16" s="11">
        <f>IF(A16&lt;=Parametres!$B$27,0,MIN(L16,N16))</f>
        <v>10952.930000000028</v>
      </c>
      <c r="Q16" s="11">
        <f t="shared" si="3"/>
        <v>0</v>
      </c>
      <c r="R16" s="11">
        <f t="shared" si="4"/>
        <v>0</v>
      </c>
      <c r="S16" s="11">
        <f>R16*Parametres!$B$26</f>
        <v>0</v>
      </c>
      <c r="T16" s="11">
        <f>R16*Parametres!$B$26</f>
        <v>0</v>
      </c>
      <c r="U16" s="11">
        <f t="shared" si="5"/>
        <v>10952.930000000028</v>
      </c>
      <c r="V16" s="11">
        <f t="shared" si="6"/>
        <v>0</v>
      </c>
      <c r="W16" s="11">
        <f t="shared" si="7"/>
        <v>0</v>
      </c>
      <c r="X16" s="11">
        <f t="shared" si="8"/>
        <v>31747.963500000064</v>
      </c>
      <c r="Y16" s="14"/>
    </row>
    <row r="17" spans="1:25" x14ac:dyDescent="0.25">
      <c r="A17" s="6">
        <v>13</v>
      </c>
      <c r="B17" s="6" t="s">
        <v>137</v>
      </c>
      <c r="C17" s="7">
        <f>Parametres!$B$33*(1+Parametres!$B$47)*Parametres!$B$34</f>
        <v>149994.31650000002</v>
      </c>
      <c r="D17" s="7">
        <f>IF(A17&gt;=Parametres!$B$60,Parametres!$B$61,0)</f>
        <v>40131</v>
      </c>
      <c r="E17" s="7">
        <f>IF(A17&gt;=Parametres!$B$65,Parametres!$B$66,0)</f>
        <v>0</v>
      </c>
      <c r="F17" s="7">
        <f t="shared" si="0"/>
        <v>190125.31650000002</v>
      </c>
      <c r="G17" s="7">
        <f>F17*Parametres!$B$52</f>
        <v>57037.594950000006</v>
      </c>
      <c r="H17" s="7">
        <f>F17*Parametres!$B$55</f>
        <v>89358.898755000002</v>
      </c>
      <c r="I17" s="7">
        <f>IF(A17&lt;Parametres!$B$21,IF(A17&lt;=12,Parametres!$B$18,Parametres!$B$18*(1+Parametres!$B$20)),IF(A17&lt;=24,Parametres!$B$19*(1+Parametres!$B$20),Parametres!$B$19*POWER(1+Parametres!$B$20,2)))</f>
        <v>9270</v>
      </c>
      <c r="J17" s="7">
        <f>Parametres!$B$30</f>
        <v>16680</v>
      </c>
      <c r="K17" s="7">
        <f>IF(A17&lt;Parametres!$B$12,0,IF(A17&lt;=24,Parametres!$B$14,Parametres!$B$15))</f>
        <v>9280.9695000000011</v>
      </c>
      <c r="L17" s="7">
        <f t="shared" si="1"/>
        <v>8497.8532950000135</v>
      </c>
      <c r="M17" s="8">
        <f t="shared" si="2"/>
        <v>4.4696063898465685E-2</v>
      </c>
      <c r="N17" s="7">
        <f>F17*Parametres!$B$24</f>
        <v>19012.531650000001</v>
      </c>
      <c r="O17" s="7">
        <f>F17*Parametres!$B$25</f>
        <v>38025.063300000002</v>
      </c>
      <c r="P17" s="7">
        <f>IF(A17&lt;=Parametres!$B$27,0,MIN(L17,N17))</f>
        <v>8497.8532950000135</v>
      </c>
      <c r="Q17" s="7">
        <f t="shared" si="3"/>
        <v>0</v>
      </c>
      <c r="R17" s="7">
        <f t="shared" si="4"/>
        <v>0</v>
      </c>
      <c r="S17" s="7">
        <f>R17*Parametres!$B$26</f>
        <v>0</v>
      </c>
      <c r="T17" s="7">
        <f>R17*Parametres!$B$26</f>
        <v>0</v>
      </c>
      <c r="U17" s="7">
        <f t="shared" si="5"/>
        <v>8497.8532950000135</v>
      </c>
      <c r="V17" s="7">
        <f t="shared" si="6"/>
        <v>0</v>
      </c>
      <c r="W17" s="7">
        <f t="shared" si="7"/>
        <v>0</v>
      </c>
      <c r="X17" s="7">
        <f t="shared" si="8"/>
        <v>31747.963500000064</v>
      </c>
    </row>
    <row r="18" spans="1:25" x14ac:dyDescent="0.25">
      <c r="A18" s="10">
        <v>14</v>
      </c>
      <c r="B18" s="10" t="s">
        <v>138</v>
      </c>
      <c r="C18" s="11">
        <f>Parametres!$B$33*(1+Parametres!$B$47)*Parametres!$B$35</f>
        <v>142851.73000000001</v>
      </c>
      <c r="D18" s="11">
        <f>IF(A18&gt;=Parametres!$B$60,Parametres!$B$61,0)</f>
        <v>40131</v>
      </c>
      <c r="E18" s="11">
        <f>IF(A18&gt;=Parametres!$B$65,Parametres!$B$66,0)</f>
        <v>0</v>
      </c>
      <c r="F18" s="11">
        <f t="shared" si="0"/>
        <v>182982.73</v>
      </c>
      <c r="G18" s="11">
        <f>F18*Parametres!$B$52</f>
        <v>54894.819000000003</v>
      </c>
      <c r="H18" s="11">
        <f>F18*Parametres!$B$55</f>
        <v>86001.883100000006</v>
      </c>
      <c r="I18" s="11">
        <f>IF(A18&lt;Parametres!$B$21,IF(A18&lt;=12,Parametres!$B$18,Parametres!$B$18*(1+Parametres!$B$20)),IF(A18&lt;=24,Parametres!$B$19*(1+Parametres!$B$20),Parametres!$B$19*POWER(1+Parametres!$B$20,2)))</f>
        <v>9270</v>
      </c>
      <c r="J18" s="11">
        <f>Parametres!$B$30</f>
        <v>16680</v>
      </c>
      <c r="K18" s="11">
        <f>IF(A18&lt;Parametres!$B$12,0,IF(A18&lt;=24,Parametres!$B$14,Parametres!$B$15))</f>
        <v>9280.9695000000011</v>
      </c>
      <c r="L18" s="11">
        <f t="shared" si="1"/>
        <v>6855.0583999999999</v>
      </c>
      <c r="M18" s="12">
        <f t="shared" si="2"/>
        <v>3.746287094962459E-2</v>
      </c>
      <c r="N18" s="11">
        <f>F18*Parametres!$B$24</f>
        <v>18298.273000000001</v>
      </c>
      <c r="O18" s="11">
        <f>F18*Parametres!$B$25</f>
        <v>36596.546000000002</v>
      </c>
      <c r="P18" s="11">
        <f>IF(A18&lt;=Parametres!$B$27,0,MIN(L18,N18))</f>
        <v>6855.0583999999999</v>
      </c>
      <c r="Q18" s="11">
        <f t="shared" si="3"/>
        <v>0</v>
      </c>
      <c r="R18" s="11">
        <f t="shared" si="4"/>
        <v>0</v>
      </c>
      <c r="S18" s="11">
        <f>R18*Parametres!$B$26</f>
        <v>0</v>
      </c>
      <c r="T18" s="11">
        <f>R18*Parametres!$B$26</f>
        <v>0</v>
      </c>
      <c r="U18" s="11">
        <f t="shared" si="5"/>
        <v>6855.0583999999999</v>
      </c>
      <c r="V18" s="11">
        <f t="shared" si="6"/>
        <v>0</v>
      </c>
      <c r="W18" s="11">
        <f t="shared" si="7"/>
        <v>0</v>
      </c>
      <c r="X18" s="11">
        <f t="shared" si="8"/>
        <v>31747.963500000064</v>
      </c>
      <c r="Y18" s="14"/>
    </row>
    <row r="19" spans="1:25" x14ac:dyDescent="0.25">
      <c r="A19" s="6">
        <v>15</v>
      </c>
      <c r="B19" s="6" t="s">
        <v>139</v>
      </c>
      <c r="C19" s="7">
        <f>Parametres!$B$33*(1+Parametres!$B$47)*Parametres!$B$36</f>
        <v>121423.97050000001</v>
      </c>
      <c r="D19" s="7">
        <f>IF(A19&gt;=Parametres!$B$60,Parametres!$B$61,0)</f>
        <v>40131</v>
      </c>
      <c r="E19" s="7">
        <f>IF(A19&gt;=Parametres!$B$65,Parametres!$B$66,0)</f>
        <v>0</v>
      </c>
      <c r="F19" s="7">
        <f t="shared" si="0"/>
        <v>161554.9705</v>
      </c>
      <c r="G19" s="7">
        <f>F19*Parametres!$B$52</f>
        <v>48466.491149999994</v>
      </c>
      <c r="H19" s="7">
        <f>F19*Parametres!$B$55</f>
        <v>75930.83613499999</v>
      </c>
      <c r="I19" s="7">
        <f>IF(A19&lt;Parametres!$B$21,IF(A19&lt;=12,Parametres!$B$18,Parametres!$B$18*(1+Parametres!$B$20)),IF(A19&lt;=24,Parametres!$B$19*(1+Parametres!$B$20),Parametres!$B$19*POWER(1+Parametres!$B$20,2)))</f>
        <v>9270</v>
      </c>
      <c r="J19" s="7">
        <f>Parametres!$B$30</f>
        <v>16680</v>
      </c>
      <c r="K19" s="7">
        <f>IF(A19&lt;Parametres!$B$12,0,IF(A19&lt;=24,Parametres!$B$14,Parametres!$B$15))</f>
        <v>9280.9695000000011</v>
      </c>
      <c r="L19" s="7">
        <f t="shared" si="1"/>
        <v>1926.6737150000172</v>
      </c>
      <c r="M19" s="8">
        <f t="shared" si="2"/>
        <v>1.1925808961724377E-2</v>
      </c>
      <c r="N19" s="7">
        <f>F19*Parametres!$B$24</f>
        <v>16155.49705</v>
      </c>
      <c r="O19" s="7">
        <f>F19*Parametres!$B$25</f>
        <v>32310.9941</v>
      </c>
      <c r="P19" s="7">
        <f>IF(A19&lt;=Parametres!$B$27,0,MIN(L19,N19))</f>
        <v>1926.6737150000172</v>
      </c>
      <c r="Q19" s="7">
        <f t="shared" si="3"/>
        <v>0</v>
      </c>
      <c r="R19" s="7">
        <f t="shared" si="4"/>
        <v>0</v>
      </c>
      <c r="S19" s="7">
        <f>R19*Parametres!$B$26</f>
        <v>0</v>
      </c>
      <c r="T19" s="7">
        <f>R19*Parametres!$B$26</f>
        <v>0</v>
      </c>
      <c r="U19" s="7">
        <f t="shared" si="5"/>
        <v>1926.6737150000172</v>
      </c>
      <c r="V19" s="7">
        <f t="shared" si="6"/>
        <v>0</v>
      </c>
      <c r="W19" s="7">
        <f t="shared" si="7"/>
        <v>0</v>
      </c>
      <c r="X19" s="7">
        <f t="shared" si="8"/>
        <v>31747.963500000064</v>
      </c>
    </row>
    <row r="20" spans="1:25" x14ac:dyDescent="0.25">
      <c r="A20" s="10">
        <v>16</v>
      </c>
      <c r="B20" s="10" t="s">
        <v>140</v>
      </c>
      <c r="C20" s="11">
        <f>Parametres!$B$33*(1+Parametres!$B$47)*Parametres!$B$37</f>
        <v>114281.38400000002</v>
      </c>
      <c r="D20" s="11">
        <f>IF(A20&gt;=Parametres!$B$60,Parametres!$B$61,0)</f>
        <v>40131</v>
      </c>
      <c r="E20" s="11">
        <f>IF(A20&gt;=Parametres!$B$65,Parametres!$B$66,0)</f>
        <v>0</v>
      </c>
      <c r="F20" s="11">
        <f t="shared" si="0"/>
        <v>154412.38400000002</v>
      </c>
      <c r="G20" s="11">
        <f>F20*Parametres!$B$52</f>
        <v>46323.715200000006</v>
      </c>
      <c r="H20" s="11">
        <f>F20*Parametres!$B$55</f>
        <v>72573.820480000009</v>
      </c>
      <c r="I20" s="11">
        <f>IF(A20&lt;Parametres!$B$21,IF(A20&lt;=12,Parametres!$B$18,Parametres!$B$18*(1+Parametres!$B$20)),IF(A20&lt;=24,Parametres!$B$19*(1+Parametres!$B$20),Parametres!$B$19*POWER(1+Parametres!$B$20,2)))</f>
        <v>11124</v>
      </c>
      <c r="J20" s="11">
        <f>Parametres!$B$30</f>
        <v>16680</v>
      </c>
      <c r="K20" s="11">
        <f>IF(A20&lt;Parametres!$B$12,0,IF(A20&lt;=24,Parametres!$B$14,Parametres!$B$15))</f>
        <v>9280.9695000000011</v>
      </c>
      <c r="L20" s="11">
        <f t="shared" si="1"/>
        <v>-1570.1211799999965</v>
      </c>
      <c r="M20" s="12">
        <f t="shared" si="2"/>
        <v>-1.0168363050466186E-2</v>
      </c>
      <c r="N20" s="11">
        <f>F20*Parametres!$B$24</f>
        <v>15441.238400000002</v>
      </c>
      <c r="O20" s="11">
        <f>F20*Parametres!$B$25</f>
        <v>30882.476800000004</v>
      </c>
      <c r="P20" s="11">
        <f>IF(A20&lt;=Parametres!$B$27,0,MIN(L20,N20))</f>
        <v>-1570.1211799999965</v>
      </c>
      <c r="Q20" s="11">
        <f t="shared" si="3"/>
        <v>0</v>
      </c>
      <c r="R20" s="11">
        <f t="shared" si="4"/>
        <v>0</v>
      </c>
      <c r="S20" s="11">
        <f>R20*Parametres!$B$26</f>
        <v>0</v>
      </c>
      <c r="T20" s="11">
        <f>R20*Parametres!$B$26</f>
        <v>0</v>
      </c>
      <c r="U20" s="11">
        <f t="shared" si="5"/>
        <v>-1570.1211799999965</v>
      </c>
      <c r="V20" s="11">
        <f t="shared" si="6"/>
        <v>0</v>
      </c>
      <c r="W20" s="11">
        <f t="shared" si="7"/>
        <v>0</v>
      </c>
      <c r="X20" s="11">
        <f t="shared" si="8"/>
        <v>31747.963500000064</v>
      </c>
      <c r="Y20" s="14"/>
    </row>
    <row r="21" spans="1:25" x14ac:dyDescent="0.25">
      <c r="A21" s="6">
        <v>17</v>
      </c>
      <c r="B21" s="6" t="s">
        <v>141</v>
      </c>
      <c r="C21" s="7">
        <f>Parametres!$B$33*(1+Parametres!$B$47)*Parametres!$B$38</f>
        <v>114281.38400000002</v>
      </c>
      <c r="D21" s="7">
        <f>IF(A21&gt;=Parametres!$B$60,Parametres!$B$61,0)</f>
        <v>40131</v>
      </c>
      <c r="E21" s="7">
        <f>IF(A21&gt;=Parametres!$B$65,Parametres!$B$66,0)</f>
        <v>0</v>
      </c>
      <c r="F21" s="7">
        <f t="shared" si="0"/>
        <v>154412.38400000002</v>
      </c>
      <c r="G21" s="7">
        <f>F21*Parametres!$B$52</f>
        <v>46323.715200000006</v>
      </c>
      <c r="H21" s="7">
        <f>F21*Parametres!$B$55</f>
        <v>72573.820480000009</v>
      </c>
      <c r="I21" s="7">
        <f>IF(A21&lt;Parametres!$B$21,IF(A21&lt;=12,Parametres!$B$18,Parametres!$B$18*(1+Parametres!$B$20)),IF(A21&lt;=24,Parametres!$B$19*(1+Parametres!$B$20),Parametres!$B$19*POWER(1+Parametres!$B$20,2)))</f>
        <v>11124</v>
      </c>
      <c r="J21" s="7">
        <f>Parametres!$B$30</f>
        <v>16680</v>
      </c>
      <c r="K21" s="7">
        <f>IF(A21&lt;Parametres!$B$12,0,IF(A21&lt;=24,Parametres!$B$14,Parametres!$B$15))</f>
        <v>9280.9695000000011</v>
      </c>
      <c r="L21" s="7">
        <f t="shared" si="1"/>
        <v>-1570.1211799999965</v>
      </c>
      <c r="M21" s="8">
        <f t="shared" si="2"/>
        <v>-1.0168363050466186E-2</v>
      </c>
      <c r="N21" s="7">
        <f>F21*Parametres!$B$24</f>
        <v>15441.238400000002</v>
      </c>
      <c r="O21" s="7">
        <f>F21*Parametres!$B$25</f>
        <v>30882.476800000004</v>
      </c>
      <c r="P21" s="7">
        <f>IF(A21&lt;=Parametres!$B$27,0,MIN(L21,N21))</f>
        <v>-1570.1211799999965</v>
      </c>
      <c r="Q21" s="7">
        <f t="shared" si="3"/>
        <v>0</v>
      </c>
      <c r="R21" s="7">
        <f t="shared" si="4"/>
        <v>0</v>
      </c>
      <c r="S21" s="7">
        <f>R21*Parametres!$B$26</f>
        <v>0</v>
      </c>
      <c r="T21" s="7">
        <f>R21*Parametres!$B$26</f>
        <v>0</v>
      </c>
      <c r="U21" s="7">
        <f t="shared" si="5"/>
        <v>-1570.1211799999965</v>
      </c>
      <c r="V21" s="7">
        <f t="shared" si="6"/>
        <v>0</v>
      </c>
      <c r="W21" s="7">
        <f t="shared" si="7"/>
        <v>0</v>
      </c>
      <c r="X21" s="7">
        <f t="shared" si="8"/>
        <v>31747.963500000064</v>
      </c>
    </row>
    <row r="22" spans="1:25" x14ac:dyDescent="0.25">
      <c r="A22" s="10">
        <v>18</v>
      </c>
      <c r="B22" s="10" t="s">
        <v>142</v>
      </c>
      <c r="C22" s="11">
        <f>Parametres!$B$33*(1+Parametres!$B$47)*Parametres!$B$39</f>
        <v>107138.79750000002</v>
      </c>
      <c r="D22" s="11">
        <f>IF(A22&gt;=Parametres!$B$60,Parametres!$B$61,0)</f>
        <v>40131</v>
      </c>
      <c r="E22" s="11">
        <f>IF(A22&gt;=Parametres!$B$65,Parametres!$B$66,0)</f>
        <v>0</v>
      </c>
      <c r="F22" s="11">
        <f t="shared" si="0"/>
        <v>147269.79750000002</v>
      </c>
      <c r="G22" s="11">
        <f>F22*Parametres!$B$52</f>
        <v>44180.939250000003</v>
      </c>
      <c r="H22" s="11">
        <f>F22*Parametres!$B$55</f>
        <v>69216.804824999999</v>
      </c>
      <c r="I22" s="11">
        <f>IF(A22&lt;Parametres!$B$21,IF(A22&lt;=12,Parametres!$B$18,Parametres!$B$18*(1+Parametres!$B$20)),IF(A22&lt;=24,Parametres!$B$19*(1+Parametres!$B$20),Parametres!$B$19*POWER(1+Parametres!$B$20,2)))</f>
        <v>11124</v>
      </c>
      <c r="J22" s="11">
        <f>Parametres!$B$30</f>
        <v>16680</v>
      </c>
      <c r="K22" s="11">
        <f>IF(A22&lt;Parametres!$B$12,0,IF(A22&lt;=24,Parametres!$B$14,Parametres!$B$15))</f>
        <v>9280.9695000000011</v>
      </c>
      <c r="L22" s="11">
        <f t="shared" si="1"/>
        <v>-3212.916074999981</v>
      </c>
      <c r="M22" s="12">
        <f t="shared" si="2"/>
        <v>-2.1816530813115166E-2</v>
      </c>
      <c r="N22" s="11">
        <f>F22*Parametres!$B$24</f>
        <v>14726.979750000002</v>
      </c>
      <c r="O22" s="11">
        <f>F22*Parametres!$B$25</f>
        <v>29453.959500000004</v>
      </c>
      <c r="P22" s="11">
        <f>IF(A22&lt;=Parametres!$B$27,0,MIN(L22,N22))</f>
        <v>-3212.916074999981</v>
      </c>
      <c r="Q22" s="11">
        <f t="shared" si="3"/>
        <v>0</v>
      </c>
      <c r="R22" s="11">
        <f t="shared" si="4"/>
        <v>0</v>
      </c>
      <c r="S22" s="11">
        <f>R22*Parametres!$B$26</f>
        <v>0</v>
      </c>
      <c r="T22" s="11">
        <f>R22*Parametres!$B$26</f>
        <v>0</v>
      </c>
      <c r="U22" s="11">
        <f t="shared" si="5"/>
        <v>-3212.916074999981</v>
      </c>
      <c r="V22" s="11">
        <f t="shared" si="6"/>
        <v>0</v>
      </c>
      <c r="W22" s="11">
        <f t="shared" si="7"/>
        <v>0</v>
      </c>
      <c r="X22" s="11">
        <f t="shared" si="8"/>
        <v>31747.963500000064</v>
      </c>
      <c r="Y22" s="14"/>
    </row>
    <row r="23" spans="1:25" x14ac:dyDescent="0.25">
      <c r="A23" s="6">
        <v>19</v>
      </c>
      <c r="B23" s="6" t="s">
        <v>143</v>
      </c>
      <c r="C23" s="7">
        <f>Parametres!$B$33*(1+Parametres!$B$47)*Parametres!$B$40</f>
        <v>128566.55700000002</v>
      </c>
      <c r="D23" s="7">
        <f>IF(A23&gt;=Parametres!$B$60,Parametres!$B$61,0)</f>
        <v>40131</v>
      </c>
      <c r="E23" s="7">
        <f>IF(A23&gt;=Parametres!$B$65,Parametres!$B$66,0)</f>
        <v>0</v>
      </c>
      <c r="F23" s="7">
        <f t="shared" si="0"/>
        <v>168697.55700000003</v>
      </c>
      <c r="G23" s="7">
        <f>F23*Parametres!$B$52</f>
        <v>50609.267100000005</v>
      </c>
      <c r="H23" s="7">
        <f>F23*Parametres!$B$55</f>
        <v>79287.851790000015</v>
      </c>
      <c r="I23" s="7">
        <f>IF(A23&lt;Parametres!$B$21,IF(A23&lt;=12,Parametres!$B$18,Parametres!$B$18*(1+Parametres!$B$20)),IF(A23&lt;=24,Parametres!$B$19*(1+Parametres!$B$20),Parametres!$B$19*POWER(1+Parametres!$B$20,2)))</f>
        <v>11124</v>
      </c>
      <c r="J23" s="7">
        <f>Parametres!$B$30</f>
        <v>16680</v>
      </c>
      <c r="K23" s="7">
        <f>IF(A23&lt;Parametres!$B$12,0,IF(A23&lt;=24,Parametres!$B$14,Parametres!$B$15))</f>
        <v>9280.9695000000011</v>
      </c>
      <c r="L23" s="7">
        <f t="shared" si="1"/>
        <v>1715.4686100000163</v>
      </c>
      <c r="M23" s="8">
        <f t="shared" si="2"/>
        <v>1.0168900134102215E-2</v>
      </c>
      <c r="N23" s="7">
        <f>F23*Parametres!$B$24</f>
        <v>16869.755700000005</v>
      </c>
      <c r="O23" s="7">
        <f>F23*Parametres!$B$25</f>
        <v>33739.51140000001</v>
      </c>
      <c r="P23" s="7">
        <f>IF(A23&lt;=Parametres!$B$27,0,MIN(L23,N23))</f>
        <v>1715.4686100000163</v>
      </c>
      <c r="Q23" s="7">
        <f t="shared" si="3"/>
        <v>0</v>
      </c>
      <c r="R23" s="7">
        <f t="shared" si="4"/>
        <v>0</v>
      </c>
      <c r="S23" s="7">
        <f>R23*Parametres!$B$26</f>
        <v>0</v>
      </c>
      <c r="T23" s="7">
        <f>R23*Parametres!$B$26</f>
        <v>0</v>
      </c>
      <c r="U23" s="7">
        <f t="shared" si="5"/>
        <v>1715.4686100000163</v>
      </c>
      <c r="V23" s="7">
        <f t="shared" si="6"/>
        <v>0</v>
      </c>
      <c r="W23" s="7">
        <f t="shared" si="7"/>
        <v>0</v>
      </c>
      <c r="X23" s="7">
        <f t="shared" si="8"/>
        <v>31747.963500000064</v>
      </c>
    </row>
    <row r="24" spans="1:25" x14ac:dyDescent="0.25">
      <c r="A24" s="10">
        <v>20</v>
      </c>
      <c r="B24" s="10" t="s">
        <v>144</v>
      </c>
      <c r="C24" s="11">
        <f>Parametres!$B$33*(1+Parametres!$B$47)*Parametres!$B$41</f>
        <v>142851.73000000001</v>
      </c>
      <c r="D24" s="11">
        <f>IF(A24&gt;=Parametres!$B$60,Parametres!$B$61,0)</f>
        <v>40131</v>
      </c>
      <c r="E24" s="11">
        <f>IF(A24&gt;=Parametres!$B$65,Parametres!$B$66,0)</f>
        <v>58704</v>
      </c>
      <c r="F24" s="11">
        <f t="shared" si="0"/>
        <v>241686.73</v>
      </c>
      <c r="G24" s="11">
        <f>F24*Parametres!$B$52</f>
        <v>72506.019</v>
      </c>
      <c r="H24" s="11">
        <f>F24*Parametres!$B$55</f>
        <v>113592.7631</v>
      </c>
      <c r="I24" s="11">
        <f>IF(A24&lt;Parametres!$B$21,IF(A24&lt;=12,Parametres!$B$18,Parametres!$B$18*(1+Parametres!$B$20)),IF(A24&lt;=24,Parametres!$B$19*(1+Parametres!$B$20),Parametres!$B$19*POWER(1+Parametres!$B$20,2)))</f>
        <v>11124</v>
      </c>
      <c r="J24" s="11">
        <f>Parametres!$B$30</f>
        <v>16680</v>
      </c>
      <c r="K24" s="11">
        <f>IF(A24&lt;Parametres!$B$12,0,IF(A24&lt;=24,Parametres!$B$14,Parametres!$B$15))</f>
        <v>9280.9695000000011</v>
      </c>
      <c r="L24" s="11">
        <f t="shared" si="1"/>
        <v>18502.978400000015</v>
      </c>
      <c r="M24" s="12">
        <f t="shared" si="2"/>
        <v>7.6557692679279546E-2</v>
      </c>
      <c r="N24" s="11">
        <f>F24*Parametres!$B$24</f>
        <v>24168.673000000003</v>
      </c>
      <c r="O24" s="11">
        <f>F24*Parametres!$B$25</f>
        <v>48337.346000000005</v>
      </c>
      <c r="P24" s="11">
        <f>IF(A24&lt;=Parametres!$B$27,0,MIN(L24,N24))</f>
        <v>18502.978400000015</v>
      </c>
      <c r="Q24" s="11">
        <f t="shared" si="3"/>
        <v>0</v>
      </c>
      <c r="R24" s="11">
        <f t="shared" si="4"/>
        <v>0</v>
      </c>
      <c r="S24" s="11">
        <f>R24*Parametres!$B$26</f>
        <v>0</v>
      </c>
      <c r="T24" s="11">
        <f>R24*Parametres!$B$26</f>
        <v>0</v>
      </c>
      <c r="U24" s="11">
        <f t="shared" si="5"/>
        <v>18502.978400000015</v>
      </c>
      <c r="V24" s="11">
        <f t="shared" si="6"/>
        <v>0</v>
      </c>
      <c r="W24" s="11">
        <f t="shared" si="7"/>
        <v>0</v>
      </c>
      <c r="X24" s="11">
        <f t="shared" si="8"/>
        <v>31747.963500000064</v>
      </c>
      <c r="Y24" s="14"/>
    </row>
    <row r="25" spans="1:25" x14ac:dyDescent="0.25">
      <c r="A25" s="6">
        <v>21</v>
      </c>
      <c r="B25" s="6" t="s">
        <v>145</v>
      </c>
      <c r="C25" s="7">
        <f>Parametres!$B$33*(1+Parametres!$B$47)*Parametres!$B$42</f>
        <v>149994.31650000002</v>
      </c>
      <c r="D25" s="7">
        <f>IF(A25&gt;=Parametres!$B$60,Parametres!$B$61,0)</f>
        <v>40131</v>
      </c>
      <c r="E25" s="7">
        <f>IF(A25&gt;=Parametres!$B$65,Parametres!$B$66,0)</f>
        <v>58704</v>
      </c>
      <c r="F25" s="7">
        <f t="shared" si="0"/>
        <v>248829.31650000002</v>
      </c>
      <c r="G25" s="7">
        <f>F25*Parametres!$B$52</f>
        <v>74648.794949999996</v>
      </c>
      <c r="H25" s="7">
        <f>F25*Parametres!$B$55</f>
        <v>116949.77875500001</v>
      </c>
      <c r="I25" s="7">
        <f>IF(A25&lt;Parametres!$B$21,IF(A25&lt;=12,Parametres!$B$18,Parametres!$B$18*(1+Parametres!$B$20)),IF(A25&lt;=24,Parametres!$B$19*(1+Parametres!$B$20),Parametres!$B$19*POWER(1+Parametres!$B$20,2)))</f>
        <v>11124</v>
      </c>
      <c r="J25" s="7">
        <f>Parametres!$B$30</f>
        <v>16680</v>
      </c>
      <c r="K25" s="7">
        <f>IF(A25&lt;Parametres!$B$12,0,IF(A25&lt;=24,Parametres!$B$14,Parametres!$B$15))</f>
        <v>9280.9695000000011</v>
      </c>
      <c r="L25" s="7">
        <f t="shared" si="1"/>
        <v>20145.773294999999</v>
      </c>
      <c r="M25" s="8">
        <f t="shared" si="2"/>
        <v>8.0962217709584061E-2</v>
      </c>
      <c r="N25" s="7">
        <f>F25*Parametres!$B$24</f>
        <v>24882.931650000002</v>
      </c>
      <c r="O25" s="7">
        <f>F25*Parametres!$B$25</f>
        <v>49765.863300000005</v>
      </c>
      <c r="P25" s="7">
        <f>IF(A25&lt;=Parametres!$B$27,0,MIN(L25,N25))</f>
        <v>20145.773294999999</v>
      </c>
      <c r="Q25" s="7">
        <f t="shared" si="3"/>
        <v>0</v>
      </c>
      <c r="R25" s="7">
        <f t="shared" si="4"/>
        <v>0</v>
      </c>
      <c r="S25" s="7">
        <f>R25*Parametres!$B$26</f>
        <v>0</v>
      </c>
      <c r="T25" s="7">
        <f>R25*Parametres!$B$26</f>
        <v>0</v>
      </c>
      <c r="U25" s="7">
        <f t="shared" si="5"/>
        <v>20145.773294999999</v>
      </c>
      <c r="V25" s="7">
        <f t="shared" si="6"/>
        <v>0</v>
      </c>
      <c r="W25" s="7">
        <f t="shared" si="7"/>
        <v>0</v>
      </c>
      <c r="X25" s="7">
        <f t="shared" si="8"/>
        <v>31747.963500000064</v>
      </c>
    </row>
    <row r="26" spans="1:25" x14ac:dyDescent="0.25">
      <c r="A26" s="10">
        <v>22</v>
      </c>
      <c r="B26" s="10" t="s">
        <v>146</v>
      </c>
      <c r="C26" s="11">
        <f>Parametres!$B$33*(1+Parametres!$B$47)*Parametres!$B$43</f>
        <v>164279.4895</v>
      </c>
      <c r="D26" s="11">
        <f>IF(A26&gt;=Parametres!$B$60,Parametres!$B$61,0)</f>
        <v>40131</v>
      </c>
      <c r="E26" s="11">
        <f>IF(A26&gt;=Parametres!$B$65,Parametres!$B$66,0)</f>
        <v>58704</v>
      </c>
      <c r="F26" s="11">
        <f t="shared" si="0"/>
        <v>263114.48950000003</v>
      </c>
      <c r="G26" s="11">
        <f>F26*Parametres!$B$52</f>
        <v>78934.346850000002</v>
      </c>
      <c r="H26" s="11">
        <f>F26*Parametres!$B$55</f>
        <v>123663.810065</v>
      </c>
      <c r="I26" s="11">
        <f>IF(A26&lt;Parametres!$B$21,IF(A26&lt;=12,Parametres!$B$18,Parametres!$B$18*(1+Parametres!$B$20)),IF(A26&lt;=24,Parametres!$B$19*(1+Parametres!$B$20),Parametres!$B$19*POWER(1+Parametres!$B$20,2)))</f>
        <v>11124</v>
      </c>
      <c r="J26" s="11">
        <f>Parametres!$B$30</f>
        <v>16680</v>
      </c>
      <c r="K26" s="11">
        <f>IF(A26&lt;Parametres!$B$12,0,IF(A26&lt;=24,Parametres!$B$14,Parametres!$B$15))</f>
        <v>9280.9695000000011</v>
      </c>
      <c r="L26" s="11">
        <f t="shared" si="1"/>
        <v>23431.363085000026</v>
      </c>
      <c r="M26" s="12">
        <f t="shared" si="2"/>
        <v>8.9053868259125368E-2</v>
      </c>
      <c r="N26" s="11">
        <f>F26*Parametres!$B$24</f>
        <v>26311.448950000005</v>
      </c>
      <c r="O26" s="11">
        <f>F26*Parametres!$B$25</f>
        <v>52622.897900000011</v>
      </c>
      <c r="P26" s="11">
        <f>IF(A26&lt;=Parametres!$B$27,0,MIN(L26,N26))</f>
        <v>23431.363085000026</v>
      </c>
      <c r="Q26" s="11">
        <f t="shared" si="3"/>
        <v>0</v>
      </c>
      <c r="R26" s="11">
        <f t="shared" si="4"/>
        <v>0</v>
      </c>
      <c r="S26" s="11">
        <f>R26*Parametres!$B$26</f>
        <v>0</v>
      </c>
      <c r="T26" s="11">
        <f>R26*Parametres!$B$26</f>
        <v>0</v>
      </c>
      <c r="U26" s="11">
        <f t="shared" si="5"/>
        <v>23431.363085000026</v>
      </c>
      <c r="V26" s="11">
        <f t="shared" si="6"/>
        <v>0</v>
      </c>
      <c r="W26" s="11">
        <f t="shared" si="7"/>
        <v>0</v>
      </c>
      <c r="X26" s="11">
        <f t="shared" si="8"/>
        <v>31747.963500000064</v>
      </c>
      <c r="Y26" s="14"/>
    </row>
    <row r="27" spans="1:25" x14ac:dyDescent="0.25">
      <c r="A27" s="6">
        <v>23</v>
      </c>
      <c r="B27" s="6" t="s">
        <v>147</v>
      </c>
      <c r="C27" s="7">
        <f>Parametres!$B$33*(1+Parametres!$B$47)*Parametres!$B$44</f>
        <v>164279.4895</v>
      </c>
      <c r="D27" s="7">
        <f>IF(A27&gt;=Parametres!$B$60,Parametres!$B$61,0)</f>
        <v>40131</v>
      </c>
      <c r="E27" s="7">
        <f>IF(A27&gt;=Parametres!$B$65,Parametres!$B$66,0)</f>
        <v>58704</v>
      </c>
      <c r="F27" s="7">
        <f t="shared" si="0"/>
        <v>263114.48950000003</v>
      </c>
      <c r="G27" s="7">
        <f>F27*Parametres!$B$52</f>
        <v>78934.346850000002</v>
      </c>
      <c r="H27" s="7">
        <f>F27*Parametres!$B$55</f>
        <v>123663.810065</v>
      </c>
      <c r="I27" s="7">
        <f>IF(A27&lt;Parametres!$B$21,IF(A27&lt;=12,Parametres!$B$18,Parametres!$B$18*(1+Parametres!$B$20)),IF(A27&lt;=24,Parametres!$B$19*(1+Parametres!$B$20),Parametres!$B$19*POWER(1+Parametres!$B$20,2)))</f>
        <v>11124</v>
      </c>
      <c r="J27" s="7">
        <f>Parametres!$B$30</f>
        <v>16680</v>
      </c>
      <c r="K27" s="7">
        <f>IF(A27&lt;Parametres!$B$12,0,IF(A27&lt;=24,Parametres!$B$14,Parametres!$B$15))</f>
        <v>9280.9695000000011</v>
      </c>
      <c r="L27" s="7">
        <f t="shared" si="1"/>
        <v>23431.363085000026</v>
      </c>
      <c r="M27" s="8">
        <f t="shared" si="2"/>
        <v>8.9053868259125368E-2</v>
      </c>
      <c r="N27" s="7">
        <f>F27*Parametres!$B$24</f>
        <v>26311.448950000005</v>
      </c>
      <c r="O27" s="7">
        <f>F27*Parametres!$B$25</f>
        <v>52622.897900000011</v>
      </c>
      <c r="P27" s="7">
        <f>IF(A27&lt;=Parametres!$B$27,0,MIN(L27,N27))</f>
        <v>23431.363085000026</v>
      </c>
      <c r="Q27" s="7">
        <f t="shared" si="3"/>
        <v>0</v>
      </c>
      <c r="R27" s="7">
        <f t="shared" si="4"/>
        <v>0</v>
      </c>
      <c r="S27" s="7">
        <f>R27*Parametres!$B$26</f>
        <v>0</v>
      </c>
      <c r="T27" s="7">
        <f>R27*Parametres!$B$26</f>
        <v>0</v>
      </c>
      <c r="U27" s="7">
        <f t="shared" si="5"/>
        <v>23431.363085000026</v>
      </c>
      <c r="V27" s="7">
        <f t="shared" si="6"/>
        <v>0</v>
      </c>
      <c r="W27" s="7">
        <f t="shared" si="7"/>
        <v>0</v>
      </c>
      <c r="X27" s="7">
        <f t="shared" si="8"/>
        <v>31747.963500000064</v>
      </c>
    </row>
    <row r="28" spans="1:25" x14ac:dyDescent="0.25">
      <c r="A28" s="10">
        <v>24</v>
      </c>
      <c r="B28" s="10" t="s">
        <v>148</v>
      </c>
      <c r="C28" s="11">
        <f>Parametres!$B$33*(1+Parametres!$B$47)*Parametres!$B$45</f>
        <v>164279.4895</v>
      </c>
      <c r="D28" s="11">
        <f>IF(A28&gt;=Parametres!$B$60,Parametres!$B$61,0)</f>
        <v>40131</v>
      </c>
      <c r="E28" s="11">
        <f>IF(A28&gt;=Parametres!$B$65,Parametres!$B$66,0)</f>
        <v>58704</v>
      </c>
      <c r="F28" s="11">
        <f t="shared" si="0"/>
        <v>263114.48950000003</v>
      </c>
      <c r="G28" s="11">
        <f>F28*Parametres!$B$52</f>
        <v>78934.346850000002</v>
      </c>
      <c r="H28" s="11">
        <f>F28*Parametres!$B$55</f>
        <v>123663.810065</v>
      </c>
      <c r="I28" s="11">
        <f>IF(A28&lt;Parametres!$B$21,IF(A28&lt;=12,Parametres!$B$18,Parametres!$B$18*(1+Parametres!$B$20)),IF(A28&lt;=24,Parametres!$B$19*(1+Parametres!$B$20),Parametres!$B$19*POWER(1+Parametres!$B$20,2)))</f>
        <v>11124</v>
      </c>
      <c r="J28" s="11">
        <f>Parametres!$B$30</f>
        <v>16680</v>
      </c>
      <c r="K28" s="11">
        <f>IF(A28&lt;Parametres!$B$12,0,IF(A28&lt;=24,Parametres!$B$14,Parametres!$B$15))</f>
        <v>9280.9695000000011</v>
      </c>
      <c r="L28" s="11">
        <f t="shared" si="1"/>
        <v>23431.363085000026</v>
      </c>
      <c r="M28" s="12">
        <f t="shared" si="2"/>
        <v>8.9053868259125368E-2</v>
      </c>
      <c r="N28" s="11">
        <f>F28*Parametres!$B$24</f>
        <v>26311.448950000005</v>
      </c>
      <c r="O28" s="11">
        <f>F28*Parametres!$B$25</f>
        <v>52622.897900000011</v>
      </c>
      <c r="P28" s="11">
        <f>IF(A28&lt;=Parametres!$B$27,0,MIN(L28,N28))</f>
        <v>23431.363085000026</v>
      </c>
      <c r="Q28" s="11">
        <f t="shared" si="3"/>
        <v>0</v>
      </c>
      <c r="R28" s="11">
        <f t="shared" si="4"/>
        <v>0</v>
      </c>
      <c r="S28" s="11">
        <f>R28*Parametres!$B$26</f>
        <v>0</v>
      </c>
      <c r="T28" s="11">
        <f>R28*Parametres!$B$26</f>
        <v>0</v>
      </c>
      <c r="U28" s="11">
        <f t="shared" si="5"/>
        <v>23431.363085000026</v>
      </c>
      <c r="V28" s="11">
        <f t="shared" si="6"/>
        <v>0</v>
      </c>
      <c r="W28" s="11">
        <f t="shared" si="7"/>
        <v>0</v>
      </c>
      <c r="X28" s="11">
        <f t="shared" si="8"/>
        <v>31747.963500000064</v>
      </c>
      <c r="Y28" s="14"/>
    </row>
    <row r="29" spans="1:25" x14ac:dyDescent="0.25">
      <c r="A29" s="6">
        <v>25</v>
      </c>
      <c r="B29" s="6" t="s">
        <v>149</v>
      </c>
      <c r="C29" s="7">
        <f>Parametres!$B$33*POWER(1+Parametres!$B$47,2)*Parametres!$B$34</f>
        <v>154494.145995</v>
      </c>
      <c r="D29" s="7">
        <f>IF(A29&gt;=Parametres!$B$60,Parametres!$B$61,0)</f>
        <v>40131</v>
      </c>
      <c r="E29" s="7">
        <f>IF(A29&gt;=Parametres!$B$65,Parametres!$B$66,0)</f>
        <v>58704</v>
      </c>
      <c r="F29" s="7">
        <f t="shared" si="0"/>
        <v>253329.145995</v>
      </c>
      <c r="G29" s="7">
        <f>F29*Parametres!$B$52</f>
        <v>75998.7437985</v>
      </c>
      <c r="H29" s="7">
        <f>F29*Parametres!$B$55</f>
        <v>119064.69861764999</v>
      </c>
      <c r="I29" s="7">
        <f>IF(A29&lt;Parametres!$B$21,IF(A29&lt;=12,Parametres!$B$18,Parametres!$B$18*(1+Parametres!$B$20)),IF(A29&lt;=24,Parametres!$B$19*(1+Parametres!$B$20),Parametres!$B$19*POWER(1+Parametres!$B$20,2)))</f>
        <v>11457.72</v>
      </c>
      <c r="J29" s="7">
        <f>Parametres!$B$30</f>
        <v>16680</v>
      </c>
      <c r="K29" s="7">
        <f>IF(A29&lt;Parametres!$B$12,0,IF(A29&lt;=24,Parametres!$B$14,Parametres!$B$15))</f>
        <v>17254</v>
      </c>
      <c r="L29" s="7">
        <f t="shared" si="1"/>
        <v>12873.983578849991</v>
      </c>
      <c r="M29" s="8">
        <f t="shared" si="2"/>
        <v>5.0819196221125254E-2</v>
      </c>
      <c r="N29" s="7">
        <f>F29*Parametres!$B$24</f>
        <v>25332.9145995</v>
      </c>
      <c r="O29" s="7">
        <f>F29*Parametres!$B$25</f>
        <v>50665.829199</v>
      </c>
      <c r="P29" s="7">
        <f>IF(A29&lt;=Parametres!$B$27,0,MIN(L29,N29))</f>
        <v>12873.983578849991</v>
      </c>
      <c r="Q29" s="7">
        <f t="shared" si="3"/>
        <v>0</v>
      </c>
      <c r="R29" s="7">
        <f t="shared" si="4"/>
        <v>0</v>
      </c>
      <c r="S29" s="7">
        <f>R29*Parametres!$B$26</f>
        <v>0</v>
      </c>
      <c r="T29" s="7">
        <f>R29*Parametres!$B$26</f>
        <v>0</v>
      </c>
      <c r="U29" s="7">
        <f t="shared" si="5"/>
        <v>12873.983578849991</v>
      </c>
      <c r="V29" s="7">
        <f t="shared" si="6"/>
        <v>0</v>
      </c>
      <c r="W29" s="7">
        <f t="shared" si="7"/>
        <v>0</v>
      </c>
      <c r="X29" s="7">
        <f t="shared" si="8"/>
        <v>31747.963500000064</v>
      </c>
    </row>
    <row r="30" spans="1:25" x14ac:dyDescent="0.25">
      <c r="A30" s="10">
        <v>26</v>
      </c>
      <c r="B30" s="10" t="s">
        <v>150</v>
      </c>
      <c r="C30" s="11">
        <f>Parametres!$B$33*POWER(1+Parametres!$B$47,2)*Parametres!$B$35</f>
        <v>147137.2819</v>
      </c>
      <c r="D30" s="11">
        <f>IF(A30&gt;=Parametres!$B$60,Parametres!$B$61,0)</f>
        <v>40131</v>
      </c>
      <c r="E30" s="11">
        <f>IF(A30&gt;=Parametres!$B$65,Parametres!$B$66,0)</f>
        <v>58704</v>
      </c>
      <c r="F30" s="11">
        <f t="shared" si="0"/>
        <v>245972.2819</v>
      </c>
      <c r="G30" s="11">
        <f>F30*Parametres!$B$52</f>
        <v>73791.684569999998</v>
      </c>
      <c r="H30" s="11">
        <f>F30*Parametres!$B$55</f>
        <v>115606.97249299999</v>
      </c>
      <c r="I30" s="11">
        <f>IF(A30&lt;Parametres!$B$21,IF(A30&lt;=12,Parametres!$B$18,Parametres!$B$18*(1+Parametres!$B$20)),IF(A30&lt;=24,Parametres!$B$19*(1+Parametres!$B$20),Parametres!$B$19*POWER(1+Parametres!$B$20,2)))</f>
        <v>11457.72</v>
      </c>
      <c r="J30" s="11">
        <f>Parametres!$B$30</f>
        <v>16680</v>
      </c>
      <c r="K30" s="11">
        <f>IF(A30&lt;Parametres!$B$12,0,IF(A30&lt;=24,Parametres!$B$14,Parametres!$B$15))</f>
        <v>17254</v>
      </c>
      <c r="L30" s="11">
        <f t="shared" si="1"/>
        <v>11181.904837000024</v>
      </c>
      <c r="M30" s="12">
        <f t="shared" si="2"/>
        <v>4.5460019928367477E-2</v>
      </c>
      <c r="N30" s="11">
        <f>F30*Parametres!$B$24</f>
        <v>24597.228190000002</v>
      </c>
      <c r="O30" s="11">
        <f>F30*Parametres!$B$25</f>
        <v>49194.456380000003</v>
      </c>
      <c r="P30" s="11">
        <f>IF(A30&lt;=Parametres!$B$27,0,MIN(L30,N30))</f>
        <v>11181.904837000024</v>
      </c>
      <c r="Q30" s="11">
        <f t="shared" si="3"/>
        <v>0</v>
      </c>
      <c r="R30" s="11">
        <f t="shared" si="4"/>
        <v>0</v>
      </c>
      <c r="S30" s="11">
        <f>R30*Parametres!$B$26</f>
        <v>0</v>
      </c>
      <c r="T30" s="11">
        <f>R30*Parametres!$B$26</f>
        <v>0</v>
      </c>
      <c r="U30" s="11">
        <f t="shared" si="5"/>
        <v>11181.904837000024</v>
      </c>
      <c r="V30" s="11">
        <f t="shared" si="6"/>
        <v>0</v>
      </c>
      <c r="W30" s="11">
        <f t="shared" si="7"/>
        <v>0</v>
      </c>
      <c r="X30" s="11">
        <f t="shared" si="8"/>
        <v>31747.963500000064</v>
      </c>
      <c r="Y30" s="14"/>
    </row>
    <row r="31" spans="1:25" x14ac:dyDescent="0.25">
      <c r="A31" s="6">
        <v>27</v>
      </c>
      <c r="B31" s="6" t="s">
        <v>151</v>
      </c>
      <c r="C31" s="7">
        <f>Parametres!$B$33*POWER(1+Parametres!$B$47,2)*Parametres!$B$36</f>
        <v>125066.689615</v>
      </c>
      <c r="D31" s="7">
        <f>IF(A31&gt;=Parametres!$B$60,Parametres!$B$61,0)</f>
        <v>40131</v>
      </c>
      <c r="E31" s="7">
        <f>IF(A31&gt;=Parametres!$B$65,Parametres!$B$66,0)</f>
        <v>58704</v>
      </c>
      <c r="F31" s="7">
        <f t="shared" si="0"/>
        <v>223901.68961499998</v>
      </c>
      <c r="G31" s="7">
        <f>F31*Parametres!$B$52</f>
        <v>67170.506884499991</v>
      </c>
      <c r="H31" s="7">
        <f>F31*Parametres!$B$55</f>
        <v>105233.79411904998</v>
      </c>
      <c r="I31" s="7">
        <f>IF(A31&lt;Parametres!$B$21,IF(A31&lt;=12,Parametres!$B$18,Parametres!$B$18*(1+Parametres!$B$20)),IF(A31&lt;=24,Parametres!$B$19*(1+Parametres!$B$20),Parametres!$B$19*POWER(1+Parametres!$B$20,2)))</f>
        <v>11457.72</v>
      </c>
      <c r="J31" s="7">
        <f>Parametres!$B$30</f>
        <v>16680</v>
      </c>
      <c r="K31" s="7">
        <f>IF(A31&lt;Parametres!$B$12,0,IF(A31&lt;=24,Parametres!$B$14,Parametres!$B$15))</f>
        <v>17254</v>
      </c>
      <c r="L31" s="7">
        <f t="shared" si="1"/>
        <v>6105.6686114500189</v>
      </c>
      <c r="M31" s="8">
        <f t="shared" si="2"/>
        <v>2.7269417314129005E-2</v>
      </c>
      <c r="N31" s="7">
        <f>F31*Parametres!$B$24</f>
        <v>22390.1689615</v>
      </c>
      <c r="O31" s="7">
        <f>F31*Parametres!$B$25</f>
        <v>44780.337922999999</v>
      </c>
      <c r="P31" s="7">
        <f>IF(A31&lt;=Parametres!$B$27,0,MIN(L31,N31))</f>
        <v>6105.6686114500189</v>
      </c>
      <c r="Q31" s="7">
        <f t="shared" si="3"/>
        <v>0</v>
      </c>
      <c r="R31" s="7">
        <f t="shared" si="4"/>
        <v>0</v>
      </c>
      <c r="S31" s="7">
        <f>R31*Parametres!$B$26</f>
        <v>0</v>
      </c>
      <c r="T31" s="7">
        <f>R31*Parametres!$B$26</f>
        <v>0</v>
      </c>
      <c r="U31" s="7">
        <f t="shared" si="5"/>
        <v>6105.6686114500189</v>
      </c>
      <c r="V31" s="7">
        <f t="shared" si="6"/>
        <v>0</v>
      </c>
      <c r="W31" s="7">
        <f t="shared" si="7"/>
        <v>0</v>
      </c>
      <c r="X31" s="7">
        <f t="shared" si="8"/>
        <v>31747.963500000064</v>
      </c>
    </row>
    <row r="32" spans="1:25" x14ac:dyDescent="0.25">
      <c r="A32" s="10">
        <v>28</v>
      </c>
      <c r="B32" s="10" t="s">
        <v>152</v>
      </c>
      <c r="C32" s="11">
        <f>Parametres!$B$33*POWER(1+Parametres!$B$47,2)*Parametres!$B$37</f>
        <v>117709.82552000001</v>
      </c>
      <c r="D32" s="11">
        <f>IF(A32&gt;=Parametres!$B$60,Parametres!$B$61,0)</f>
        <v>40131</v>
      </c>
      <c r="E32" s="11">
        <f>IF(A32&gt;=Parametres!$B$65,Parametres!$B$66,0)</f>
        <v>58704</v>
      </c>
      <c r="F32" s="11">
        <f t="shared" si="0"/>
        <v>216544.82552000001</v>
      </c>
      <c r="G32" s="11">
        <f>F32*Parametres!$B$52</f>
        <v>64963.447656000004</v>
      </c>
      <c r="H32" s="11">
        <f>F32*Parametres!$B$55</f>
        <v>101776.0679944</v>
      </c>
      <c r="I32" s="11">
        <f>IF(A32&lt;Parametres!$B$21,IF(A32&lt;=12,Parametres!$B$18,Parametres!$B$18*(1+Parametres!$B$20)),IF(A32&lt;=24,Parametres!$B$19*(1+Parametres!$B$20),Parametres!$B$19*POWER(1+Parametres!$B$20,2)))</f>
        <v>11457.72</v>
      </c>
      <c r="J32" s="11">
        <f>Parametres!$B$30</f>
        <v>16680</v>
      </c>
      <c r="K32" s="11">
        <f>IF(A32&lt;Parametres!$B$12,0,IF(A32&lt;=24,Parametres!$B$14,Parametres!$B$15))</f>
        <v>17254</v>
      </c>
      <c r="L32" s="11">
        <f t="shared" si="1"/>
        <v>4413.5898696000077</v>
      </c>
      <c r="M32" s="12">
        <f t="shared" si="2"/>
        <v>2.0381876403656525E-2</v>
      </c>
      <c r="N32" s="11">
        <f>F32*Parametres!$B$24</f>
        <v>21654.482552000001</v>
      </c>
      <c r="O32" s="11">
        <f>F32*Parametres!$B$25</f>
        <v>43308.965104000003</v>
      </c>
      <c r="P32" s="11">
        <f>IF(A32&lt;=Parametres!$B$27,0,MIN(L32,N32))</f>
        <v>4413.5898696000077</v>
      </c>
      <c r="Q32" s="11">
        <f t="shared" si="3"/>
        <v>0</v>
      </c>
      <c r="R32" s="11">
        <f t="shared" si="4"/>
        <v>0</v>
      </c>
      <c r="S32" s="11">
        <f>R32*Parametres!$B$26</f>
        <v>0</v>
      </c>
      <c r="T32" s="11">
        <f>R32*Parametres!$B$26</f>
        <v>0</v>
      </c>
      <c r="U32" s="11">
        <f t="shared" si="5"/>
        <v>4413.5898696000077</v>
      </c>
      <c r="V32" s="11">
        <f t="shared" si="6"/>
        <v>0</v>
      </c>
      <c r="W32" s="11">
        <f t="shared" si="7"/>
        <v>0</v>
      </c>
      <c r="X32" s="11">
        <f t="shared" si="8"/>
        <v>31747.963500000064</v>
      </c>
      <c r="Y32" s="14"/>
    </row>
    <row r="33" spans="1:25" x14ac:dyDescent="0.25">
      <c r="A33" s="6">
        <v>29</v>
      </c>
      <c r="B33" s="6" t="s">
        <v>153</v>
      </c>
      <c r="C33" s="7">
        <f>Parametres!$B$33*POWER(1+Parametres!$B$47,2)*Parametres!$B$38</f>
        <v>117709.82552000001</v>
      </c>
      <c r="D33" s="7">
        <f>IF(A33&gt;=Parametres!$B$60,Parametres!$B$61,0)</f>
        <v>40131</v>
      </c>
      <c r="E33" s="7">
        <f>IF(A33&gt;=Parametres!$B$65,Parametres!$B$66,0)</f>
        <v>58704</v>
      </c>
      <c r="F33" s="7">
        <f t="shared" si="0"/>
        <v>216544.82552000001</v>
      </c>
      <c r="G33" s="7">
        <f>F33*Parametres!$B$52</f>
        <v>64963.447656000004</v>
      </c>
      <c r="H33" s="7">
        <f>F33*Parametres!$B$55</f>
        <v>101776.0679944</v>
      </c>
      <c r="I33" s="7">
        <f>IF(A33&lt;Parametres!$B$21,IF(A33&lt;=12,Parametres!$B$18,Parametres!$B$18*(1+Parametres!$B$20)),IF(A33&lt;=24,Parametres!$B$19*(1+Parametres!$B$20),Parametres!$B$19*POWER(1+Parametres!$B$20,2)))</f>
        <v>11457.72</v>
      </c>
      <c r="J33" s="7">
        <f>Parametres!$B$30</f>
        <v>16680</v>
      </c>
      <c r="K33" s="7">
        <f>IF(A33&lt;Parametres!$B$12,0,IF(A33&lt;=24,Parametres!$B$14,Parametres!$B$15))</f>
        <v>17254</v>
      </c>
      <c r="L33" s="7">
        <f t="shared" si="1"/>
        <v>4413.5898696000077</v>
      </c>
      <c r="M33" s="8">
        <f t="shared" si="2"/>
        <v>2.0381876403656525E-2</v>
      </c>
      <c r="N33" s="7">
        <f>F33*Parametres!$B$24</f>
        <v>21654.482552000001</v>
      </c>
      <c r="O33" s="7">
        <f>F33*Parametres!$B$25</f>
        <v>43308.965104000003</v>
      </c>
      <c r="P33" s="7">
        <f>IF(A33&lt;=Parametres!$B$27,0,MIN(L33,N33))</f>
        <v>4413.5898696000077</v>
      </c>
      <c r="Q33" s="7">
        <f t="shared" si="3"/>
        <v>0</v>
      </c>
      <c r="R33" s="7">
        <f t="shared" si="4"/>
        <v>0</v>
      </c>
      <c r="S33" s="7">
        <f>R33*Parametres!$B$26</f>
        <v>0</v>
      </c>
      <c r="T33" s="7">
        <f>R33*Parametres!$B$26</f>
        <v>0</v>
      </c>
      <c r="U33" s="7">
        <f t="shared" si="5"/>
        <v>4413.5898696000077</v>
      </c>
      <c r="V33" s="7">
        <f t="shared" si="6"/>
        <v>0</v>
      </c>
      <c r="W33" s="7">
        <f t="shared" si="7"/>
        <v>0</v>
      </c>
      <c r="X33" s="7">
        <f t="shared" si="8"/>
        <v>31747.963500000064</v>
      </c>
    </row>
    <row r="34" spans="1:25" x14ac:dyDescent="0.25">
      <c r="A34" s="10">
        <v>30</v>
      </c>
      <c r="B34" s="10" t="s">
        <v>154</v>
      </c>
      <c r="C34" s="11">
        <f>Parametres!$B$33*POWER(1+Parametres!$B$47,2)*Parametres!$B$39</f>
        <v>110352.961425</v>
      </c>
      <c r="D34" s="11">
        <f>IF(A34&gt;=Parametres!$B$60,Parametres!$B$61,0)</f>
        <v>40131</v>
      </c>
      <c r="E34" s="11">
        <f>IF(A34&gt;=Parametres!$B$65,Parametres!$B$66,0)</f>
        <v>58704</v>
      </c>
      <c r="F34" s="11">
        <f t="shared" si="0"/>
        <v>209187.96142499999</v>
      </c>
      <c r="G34" s="11">
        <f>F34*Parametres!$B$52</f>
        <v>62756.388427499995</v>
      </c>
      <c r="H34" s="11">
        <f>F34*Parametres!$B$55</f>
        <v>98318.341869749987</v>
      </c>
      <c r="I34" s="11">
        <f>IF(A34&lt;Parametres!$B$21,IF(A34&lt;=12,Parametres!$B$18,Parametres!$B$18*(1+Parametres!$B$20)),IF(A34&lt;=24,Parametres!$B$19*(1+Parametres!$B$20),Parametres!$B$19*POWER(1+Parametres!$B$20,2)))</f>
        <v>11457.72</v>
      </c>
      <c r="J34" s="11">
        <f>Parametres!$B$30</f>
        <v>16680</v>
      </c>
      <c r="K34" s="11">
        <f>IF(A34&lt;Parametres!$B$12,0,IF(A34&lt;=24,Parametres!$B$14,Parametres!$B$15))</f>
        <v>17254</v>
      </c>
      <c r="L34" s="11">
        <f t="shared" si="1"/>
        <v>2721.5111277499964</v>
      </c>
      <c r="M34" s="12">
        <f t="shared" si="2"/>
        <v>1.3009884073686228E-2</v>
      </c>
      <c r="N34" s="11">
        <f>F34*Parametres!$B$24</f>
        <v>20918.796142499999</v>
      </c>
      <c r="O34" s="11">
        <f>F34*Parametres!$B$25</f>
        <v>41837.592284999999</v>
      </c>
      <c r="P34" s="11">
        <f>IF(A34&lt;=Parametres!$B$27,0,MIN(L34,N34))</f>
        <v>2721.5111277499964</v>
      </c>
      <c r="Q34" s="11">
        <f t="shared" si="3"/>
        <v>0</v>
      </c>
      <c r="R34" s="11">
        <f t="shared" si="4"/>
        <v>0</v>
      </c>
      <c r="S34" s="11">
        <f>R34*Parametres!$B$26</f>
        <v>0</v>
      </c>
      <c r="T34" s="11">
        <f>R34*Parametres!$B$26</f>
        <v>0</v>
      </c>
      <c r="U34" s="11">
        <f t="shared" si="5"/>
        <v>2721.5111277499964</v>
      </c>
      <c r="V34" s="11">
        <f t="shared" si="6"/>
        <v>0</v>
      </c>
      <c r="W34" s="11">
        <f t="shared" si="7"/>
        <v>0</v>
      </c>
      <c r="X34" s="11">
        <f t="shared" si="8"/>
        <v>31747.963500000064</v>
      </c>
      <c r="Y34" s="14"/>
    </row>
    <row r="35" spans="1:25" x14ac:dyDescent="0.25">
      <c r="A35" s="6">
        <v>31</v>
      </c>
      <c r="B35" s="6" t="s">
        <v>155</v>
      </c>
      <c r="C35" s="7">
        <f>Parametres!$B$33*POWER(1+Parametres!$B$47,2)*Parametres!$B$40</f>
        <v>132423.55371000001</v>
      </c>
      <c r="D35" s="7">
        <f>IF(A35&gt;=Parametres!$B$60,Parametres!$B$61,0)</f>
        <v>40131</v>
      </c>
      <c r="E35" s="7">
        <f>IF(A35&gt;=Parametres!$B$65,Parametres!$B$66,0)</f>
        <v>58704</v>
      </c>
      <c r="F35" s="7">
        <f t="shared" si="0"/>
        <v>231258.55371000001</v>
      </c>
      <c r="G35" s="7">
        <f>F35*Parametres!$B$52</f>
        <v>69377.566112999993</v>
      </c>
      <c r="H35" s="7">
        <f>F35*Parametres!$B$55</f>
        <v>108691.5202437</v>
      </c>
      <c r="I35" s="7">
        <f>IF(A35&lt;Parametres!$B$21,IF(A35&lt;=12,Parametres!$B$18,Parametres!$B$18*(1+Parametres!$B$20)),IF(A35&lt;=24,Parametres!$B$19*(1+Parametres!$B$20),Parametres!$B$19*POWER(1+Parametres!$B$20,2)))</f>
        <v>11457.72</v>
      </c>
      <c r="J35" s="7">
        <f>Parametres!$B$30</f>
        <v>16680</v>
      </c>
      <c r="K35" s="7">
        <f>IF(A35&lt;Parametres!$B$12,0,IF(A35&lt;=24,Parametres!$B$14,Parametres!$B$15))</f>
        <v>17254</v>
      </c>
      <c r="L35" s="7">
        <f t="shared" si="1"/>
        <v>7797.7473533000302</v>
      </c>
      <c r="M35" s="8">
        <f t="shared" si="2"/>
        <v>3.3718741331741027E-2</v>
      </c>
      <c r="N35" s="7">
        <f>F35*Parametres!$B$24</f>
        <v>23125.855371000001</v>
      </c>
      <c r="O35" s="7">
        <f>F35*Parametres!$B$25</f>
        <v>46251.710742000003</v>
      </c>
      <c r="P35" s="7">
        <f>IF(A35&lt;=Parametres!$B$27,0,MIN(L35,N35))</f>
        <v>7797.7473533000302</v>
      </c>
      <c r="Q35" s="7">
        <f t="shared" si="3"/>
        <v>0</v>
      </c>
      <c r="R35" s="7">
        <f t="shared" si="4"/>
        <v>0</v>
      </c>
      <c r="S35" s="7">
        <f>R35*Parametres!$B$26</f>
        <v>0</v>
      </c>
      <c r="T35" s="7">
        <f>R35*Parametres!$B$26</f>
        <v>0</v>
      </c>
      <c r="U35" s="7">
        <f t="shared" si="5"/>
        <v>7797.7473533000302</v>
      </c>
      <c r="V35" s="7">
        <f t="shared" si="6"/>
        <v>0</v>
      </c>
      <c r="W35" s="7">
        <f t="shared" si="7"/>
        <v>0</v>
      </c>
      <c r="X35" s="7">
        <f t="shared" si="8"/>
        <v>31747.963500000064</v>
      </c>
    </row>
    <row r="36" spans="1:25" x14ac:dyDescent="0.25">
      <c r="A36" s="10">
        <v>32</v>
      </c>
      <c r="B36" s="10" t="s">
        <v>156</v>
      </c>
      <c r="C36" s="11">
        <f>Parametres!$B$33*POWER(1+Parametres!$B$47,2)*Parametres!$B$41</f>
        <v>147137.2819</v>
      </c>
      <c r="D36" s="11">
        <f>IF(A36&gt;=Parametres!$B$60,Parametres!$B$61,0)</f>
        <v>40131</v>
      </c>
      <c r="E36" s="11">
        <f>IF(A36&gt;=Parametres!$B$65,Parametres!$B$66,0)</f>
        <v>58704</v>
      </c>
      <c r="F36" s="11">
        <f t="shared" si="0"/>
        <v>245972.2819</v>
      </c>
      <c r="G36" s="11">
        <f>F36*Parametres!$B$52</f>
        <v>73791.684569999998</v>
      </c>
      <c r="H36" s="11">
        <f>F36*Parametres!$B$55</f>
        <v>115606.97249299999</v>
      </c>
      <c r="I36" s="11">
        <f>IF(A36&lt;Parametres!$B$21,IF(A36&lt;=12,Parametres!$B$18,Parametres!$B$18*(1+Parametres!$B$20)),IF(A36&lt;=24,Parametres!$B$19*(1+Parametres!$B$20),Parametres!$B$19*POWER(1+Parametres!$B$20,2)))</f>
        <v>11457.72</v>
      </c>
      <c r="J36" s="11">
        <f>Parametres!$B$30</f>
        <v>16680</v>
      </c>
      <c r="K36" s="11">
        <f>IF(A36&lt;Parametres!$B$12,0,IF(A36&lt;=24,Parametres!$B$14,Parametres!$B$15))</f>
        <v>17254</v>
      </c>
      <c r="L36" s="11">
        <f t="shared" si="1"/>
        <v>11181.904837000024</v>
      </c>
      <c r="M36" s="12">
        <f t="shared" si="2"/>
        <v>4.5460019928367477E-2</v>
      </c>
      <c r="N36" s="11">
        <f>F36*Parametres!$B$24</f>
        <v>24597.228190000002</v>
      </c>
      <c r="O36" s="11">
        <f>F36*Parametres!$B$25</f>
        <v>49194.456380000003</v>
      </c>
      <c r="P36" s="11">
        <f>IF(A36&lt;=Parametres!$B$27,0,MIN(L36,N36))</f>
        <v>11181.904837000024</v>
      </c>
      <c r="Q36" s="11">
        <f t="shared" si="3"/>
        <v>0</v>
      </c>
      <c r="R36" s="11">
        <f t="shared" si="4"/>
        <v>0</v>
      </c>
      <c r="S36" s="11">
        <f>R36*Parametres!$B$26</f>
        <v>0</v>
      </c>
      <c r="T36" s="11">
        <f>R36*Parametres!$B$26</f>
        <v>0</v>
      </c>
      <c r="U36" s="11">
        <f t="shared" si="5"/>
        <v>11181.904837000024</v>
      </c>
      <c r="V36" s="11">
        <f t="shared" si="6"/>
        <v>0</v>
      </c>
      <c r="W36" s="11">
        <f t="shared" si="7"/>
        <v>0</v>
      </c>
      <c r="X36" s="11">
        <f t="shared" si="8"/>
        <v>31747.963500000064</v>
      </c>
      <c r="Y36" s="14"/>
    </row>
    <row r="37" spans="1:25" x14ac:dyDescent="0.25">
      <c r="A37" s="6">
        <v>33</v>
      </c>
      <c r="B37" s="6" t="s">
        <v>157</v>
      </c>
      <c r="C37" s="7">
        <f>Parametres!$B$33*POWER(1+Parametres!$B$47,2)*Parametres!$B$42</f>
        <v>154494.145995</v>
      </c>
      <c r="D37" s="7">
        <f>IF(A37&gt;=Parametres!$B$60,Parametres!$B$61,0)</f>
        <v>40131</v>
      </c>
      <c r="E37" s="7">
        <f>IF(A37&gt;=Parametres!$B$65,Parametres!$B$66,0)</f>
        <v>58704</v>
      </c>
      <c r="F37" s="7">
        <f t="shared" si="0"/>
        <v>253329.145995</v>
      </c>
      <c r="G37" s="7">
        <f>F37*Parametres!$B$52</f>
        <v>75998.7437985</v>
      </c>
      <c r="H37" s="7">
        <f>F37*Parametres!$B$55</f>
        <v>119064.69861764999</v>
      </c>
      <c r="I37" s="7">
        <f>IF(A37&lt;Parametres!$B$21,IF(A37&lt;=12,Parametres!$B$18,Parametres!$B$18*(1+Parametres!$B$20)),IF(A37&lt;=24,Parametres!$B$19*(1+Parametres!$B$20),Parametres!$B$19*POWER(1+Parametres!$B$20,2)))</f>
        <v>11457.72</v>
      </c>
      <c r="J37" s="7">
        <f>Parametres!$B$30</f>
        <v>16680</v>
      </c>
      <c r="K37" s="7">
        <f>IF(A37&lt;Parametres!$B$12,0,IF(A37&lt;=24,Parametres!$B$14,Parametres!$B$15))</f>
        <v>17254</v>
      </c>
      <c r="L37" s="7">
        <f t="shared" si="1"/>
        <v>12873.983578849991</v>
      </c>
      <c r="M37" s="8">
        <f t="shared" si="2"/>
        <v>5.0819196221125254E-2</v>
      </c>
      <c r="N37" s="7">
        <f>F37*Parametres!$B$24</f>
        <v>25332.9145995</v>
      </c>
      <c r="O37" s="7">
        <f>F37*Parametres!$B$25</f>
        <v>50665.829199</v>
      </c>
      <c r="P37" s="7">
        <f>IF(A37&lt;=Parametres!$B$27,0,MIN(L37,N37))</f>
        <v>12873.983578849991</v>
      </c>
      <c r="Q37" s="7">
        <f t="shared" si="3"/>
        <v>0</v>
      </c>
      <c r="R37" s="7">
        <f t="shared" si="4"/>
        <v>0</v>
      </c>
      <c r="S37" s="7">
        <f>R37*Parametres!$B$26</f>
        <v>0</v>
      </c>
      <c r="T37" s="7">
        <f>R37*Parametres!$B$26</f>
        <v>0</v>
      </c>
      <c r="U37" s="7">
        <f t="shared" si="5"/>
        <v>12873.983578849991</v>
      </c>
      <c r="V37" s="7">
        <f t="shared" si="6"/>
        <v>0</v>
      </c>
      <c r="W37" s="7">
        <f t="shared" si="7"/>
        <v>0</v>
      </c>
      <c r="X37" s="7">
        <f t="shared" si="8"/>
        <v>31747.963500000064</v>
      </c>
    </row>
    <row r="38" spans="1:25" x14ac:dyDescent="0.25">
      <c r="A38" s="10">
        <v>34</v>
      </c>
      <c r="B38" s="10" t="s">
        <v>158</v>
      </c>
      <c r="C38" s="11">
        <f>Parametres!$B$33*POWER(1+Parametres!$B$47,2)*Parametres!$B$43</f>
        <v>169207.87418499999</v>
      </c>
      <c r="D38" s="11">
        <f>IF(A38&gt;=Parametres!$B$60,Parametres!$B$61,0)</f>
        <v>40131</v>
      </c>
      <c r="E38" s="11">
        <f>IF(A38&gt;=Parametres!$B$65,Parametres!$B$66,0)</f>
        <v>58704</v>
      </c>
      <c r="F38" s="11">
        <f t="shared" si="0"/>
        <v>268042.87418499996</v>
      </c>
      <c r="G38" s="11">
        <f>F38*Parametres!$B$52</f>
        <v>80412.862255499989</v>
      </c>
      <c r="H38" s="11">
        <f>F38*Parametres!$B$55</f>
        <v>125980.15086694997</v>
      </c>
      <c r="I38" s="11">
        <f>IF(A38&lt;Parametres!$B$21,IF(A38&lt;=12,Parametres!$B$18,Parametres!$B$18*(1+Parametres!$B$20)),IF(A38&lt;=24,Parametres!$B$19*(1+Parametres!$B$20),Parametres!$B$19*POWER(1+Parametres!$B$20,2)))</f>
        <v>11457.72</v>
      </c>
      <c r="J38" s="11">
        <f>Parametres!$B$30</f>
        <v>16680</v>
      </c>
      <c r="K38" s="11">
        <f>IF(A38&lt;Parametres!$B$12,0,IF(A38&lt;=24,Parametres!$B$14,Parametres!$B$15))</f>
        <v>17254</v>
      </c>
      <c r="L38" s="11">
        <f t="shared" si="1"/>
        <v>16258.141062549999</v>
      </c>
      <c r="M38" s="12">
        <f t="shared" si="2"/>
        <v>6.0655001973038185E-2</v>
      </c>
      <c r="N38" s="11">
        <f>F38*Parametres!$B$24</f>
        <v>26804.287418499996</v>
      </c>
      <c r="O38" s="11">
        <f>F38*Parametres!$B$25</f>
        <v>53608.574836999993</v>
      </c>
      <c r="P38" s="11">
        <f>IF(A38&lt;=Parametres!$B$27,0,MIN(L38,N38))</f>
        <v>16258.141062549999</v>
      </c>
      <c r="Q38" s="11">
        <f t="shared" si="3"/>
        <v>0</v>
      </c>
      <c r="R38" s="11">
        <f t="shared" si="4"/>
        <v>0</v>
      </c>
      <c r="S38" s="11">
        <f>R38*Parametres!$B$26</f>
        <v>0</v>
      </c>
      <c r="T38" s="11">
        <f>R38*Parametres!$B$26</f>
        <v>0</v>
      </c>
      <c r="U38" s="11">
        <f t="shared" si="5"/>
        <v>16258.141062549999</v>
      </c>
      <c r="V38" s="11">
        <f t="shared" si="6"/>
        <v>0</v>
      </c>
      <c r="W38" s="11">
        <f t="shared" si="7"/>
        <v>0</v>
      </c>
      <c r="X38" s="11">
        <f t="shared" si="8"/>
        <v>31747.963500000064</v>
      </c>
      <c r="Y38" s="14"/>
    </row>
    <row r="39" spans="1:25" x14ac:dyDescent="0.25">
      <c r="A39" s="6">
        <v>35</v>
      </c>
      <c r="B39" s="6" t="s">
        <v>159</v>
      </c>
      <c r="C39" s="7">
        <f>Parametres!$B$33*POWER(1+Parametres!$B$47,2)*Parametres!$B$44</f>
        <v>169207.87418499999</v>
      </c>
      <c r="D39" s="7">
        <f>IF(A39&gt;=Parametres!$B$60,Parametres!$B$61,0)</f>
        <v>40131</v>
      </c>
      <c r="E39" s="7">
        <f>IF(A39&gt;=Parametres!$B$65,Parametres!$B$66,0)</f>
        <v>58704</v>
      </c>
      <c r="F39" s="7">
        <f t="shared" si="0"/>
        <v>268042.87418499996</v>
      </c>
      <c r="G39" s="7">
        <f>F39*Parametres!$B$52</f>
        <v>80412.862255499989</v>
      </c>
      <c r="H39" s="7">
        <f>F39*Parametres!$B$55</f>
        <v>125980.15086694997</v>
      </c>
      <c r="I39" s="7">
        <f>IF(A39&lt;Parametres!$B$21,IF(A39&lt;=12,Parametres!$B$18,Parametres!$B$18*(1+Parametres!$B$20)),IF(A39&lt;=24,Parametres!$B$19*(1+Parametres!$B$20),Parametres!$B$19*POWER(1+Parametres!$B$20,2)))</f>
        <v>11457.72</v>
      </c>
      <c r="J39" s="7">
        <f>Parametres!$B$30</f>
        <v>16680</v>
      </c>
      <c r="K39" s="7">
        <f>IF(A39&lt;Parametres!$B$12,0,IF(A39&lt;=24,Parametres!$B$14,Parametres!$B$15))</f>
        <v>17254</v>
      </c>
      <c r="L39" s="7">
        <f t="shared" si="1"/>
        <v>16258.141062549999</v>
      </c>
      <c r="M39" s="8">
        <f t="shared" si="2"/>
        <v>6.0655001973038185E-2</v>
      </c>
      <c r="N39" s="7">
        <f>F39*Parametres!$B$24</f>
        <v>26804.287418499996</v>
      </c>
      <c r="O39" s="7">
        <f>F39*Parametres!$B$25</f>
        <v>53608.574836999993</v>
      </c>
      <c r="P39" s="7">
        <f>IF(A39&lt;=Parametres!$B$27,0,MIN(L39,N39))</f>
        <v>16258.141062549999</v>
      </c>
      <c r="Q39" s="7">
        <f t="shared" si="3"/>
        <v>0</v>
      </c>
      <c r="R39" s="7">
        <f t="shared" si="4"/>
        <v>0</v>
      </c>
      <c r="S39" s="7">
        <f>R39*Parametres!$B$26</f>
        <v>0</v>
      </c>
      <c r="T39" s="7">
        <f>R39*Parametres!$B$26</f>
        <v>0</v>
      </c>
      <c r="U39" s="7">
        <f t="shared" si="5"/>
        <v>16258.141062549999</v>
      </c>
      <c r="V39" s="7">
        <f t="shared" si="6"/>
        <v>0</v>
      </c>
      <c r="W39" s="7">
        <f t="shared" si="7"/>
        <v>0</v>
      </c>
      <c r="X39" s="7">
        <f t="shared" si="8"/>
        <v>31747.963500000064</v>
      </c>
    </row>
    <row r="40" spans="1:25" x14ac:dyDescent="0.25">
      <c r="A40" s="10">
        <v>36</v>
      </c>
      <c r="B40" s="10" t="s">
        <v>160</v>
      </c>
      <c r="C40" s="11">
        <f>Parametres!$B$33*POWER(1+Parametres!$B$47,2)*Parametres!$B$45</f>
        <v>169207.87418499999</v>
      </c>
      <c r="D40" s="11">
        <f>IF(A40&gt;=Parametres!$B$60,Parametres!$B$61,0)</f>
        <v>40131</v>
      </c>
      <c r="E40" s="11">
        <f>IF(A40&gt;=Parametres!$B$65,Parametres!$B$66,0)</f>
        <v>58704</v>
      </c>
      <c r="F40" s="11">
        <f t="shared" si="0"/>
        <v>268042.87418499996</v>
      </c>
      <c r="G40" s="11">
        <f>F40*Parametres!$B$52</f>
        <v>80412.862255499989</v>
      </c>
      <c r="H40" s="11">
        <f>F40*Parametres!$B$55</f>
        <v>125980.15086694997</v>
      </c>
      <c r="I40" s="11">
        <f>IF(A40&lt;Parametres!$B$21,IF(A40&lt;=12,Parametres!$B$18,Parametres!$B$18*(1+Parametres!$B$20)),IF(A40&lt;=24,Parametres!$B$19*(1+Parametres!$B$20),Parametres!$B$19*POWER(1+Parametres!$B$20,2)))</f>
        <v>11457.72</v>
      </c>
      <c r="J40" s="11">
        <f>Parametres!$B$30</f>
        <v>16680</v>
      </c>
      <c r="K40" s="11">
        <f>IF(A40&lt;Parametres!$B$12,0,IF(A40&lt;=24,Parametres!$B$14,Parametres!$B$15))</f>
        <v>17254</v>
      </c>
      <c r="L40" s="11">
        <f t="shared" si="1"/>
        <v>16258.141062549999</v>
      </c>
      <c r="M40" s="12">
        <f t="shared" si="2"/>
        <v>6.0655001973038185E-2</v>
      </c>
      <c r="N40" s="11">
        <f>F40*Parametres!$B$24</f>
        <v>26804.287418499996</v>
      </c>
      <c r="O40" s="11">
        <f>F40*Parametres!$B$25</f>
        <v>53608.574836999993</v>
      </c>
      <c r="P40" s="11">
        <f>IF(A40&lt;=Parametres!$B$27,0,MIN(L40,N40))</f>
        <v>16258.141062549999</v>
      </c>
      <c r="Q40" s="11">
        <f t="shared" si="3"/>
        <v>0</v>
      </c>
      <c r="R40" s="11">
        <f t="shared" si="4"/>
        <v>0</v>
      </c>
      <c r="S40" s="11">
        <f>R40*Parametres!$B$26</f>
        <v>0</v>
      </c>
      <c r="T40" s="11">
        <f>R40*Parametres!$B$26</f>
        <v>0</v>
      </c>
      <c r="U40" s="11">
        <f t="shared" si="5"/>
        <v>16258.141062549999</v>
      </c>
      <c r="V40" s="11">
        <f t="shared" si="6"/>
        <v>0</v>
      </c>
      <c r="W40" s="11">
        <f t="shared" si="7"/>
        <v>0</v>
      </c>
      <c r="X40" s="11">
        <f t="shared" si="8"/>
        <v>31747.963500000064</v>
      </c>
      <c r="Y40" s="14"/>
    </row>
    <row r="41" spans="1:25" ht="15.75" x14ac:dyDescent="0.25">
      <c r="A41" s="32" t="s">
        <v>161</v>
      </c>
      <c r="B41" s="20"/>
      <c r="C41" s="15">
        <f t="shared" ref="C41:L41" si="9">SUM(C5:C40)</f>
        <v>4994122.1386349993</v>
      </c>
      <c r="D41" s="15">
        <f t="shared" si="9"/>
        <v>1364454</v>
      </c>
      <c r="E41" s="15">
        <f t="shared" si="9"/>
        <v>997968</v>
      </c>
      <c r="F41" s="15">
        <f t="shared" si="9"/>
        <v>7356544.1386349993</v>
      </c>
      <c r="G41" s="15">
        <f t="shared" si="9"/>
        <v>2206963.2415905003</v>
      </c>
      <c r="H41" s="15">
        <f t="shared" si="9"/>
        <v>3457575.7451584502</v>
      </c>
      <c r="I41" s="15">
        <f t="shared" si="9"/>
        <v>373418.63999999972</v>
      </c>
      <c r="J41" s="15">
        <f t="shared" si="9"/>
        <v>600480</v>
      </c>
      <c r="K41" s="15">
        <f t="shared" si="9"/>
        <v>392667.39000000007</v>
      </c>
      <c r="L41" s="15">
        <f t="shared" si="9"/>
        <v>325439.12188605039</v>
      </c>
      <c r="P41" s="15">
        <f t="shared" ref="P41:W41" si="10">SUM(P5:P40)</f>
        <v>293691.15838605037</v>
      </c>
      <c r="Q41" s="15">
        <f t="shared" si="10"/>
        <v>0</v>
      </c>
      <c r="R41" s="15">
        <f t="shared" si="10"/>
        <v>0</v>
      </c>
      <c r="S41" s="15">
        <f t="shared" si="10"/>
        <v>0</v>
      </c>
      <c r="T41" s="15">
        <f t="shared" si="10"/>
        <v>0</v>
      </c>
      <c r="U41" s="15">
        <f t="shared" si="10"/>
        <v>293691.15838605037</v>
      </c>
      <c r="V41" s="15">
        <f t="shared" si="10"/>
        <v>0</v>
      </c>
      <c r="W41" s="15">
        <f t="shared" si="10"/>
        <v>31747.963500000064</v>
      </c>
      <c r="X41" s="16">
        <f>X40</f>
        <v>31747.963500000064</v>
      </c>
    </row>
  </sheetData>
  <mergeCells count="9">
    <mergeCell ref="G3:K3"/>
    <mergeCell ref="L3:M3"/>
    <mergeCell ref="A41:B41"/>
    <mergeCell ref="A2:X2"/>
    <mergeCell ref="A1:X1"/>
    <mergeCell ref="V3:X3"/>
    <mergeCell ref="A3:F3"/>
    <mergeCell ref="N3:S3"/>
    <mergeCell ref="T3:U3"/>
  </mergeCells>
  <conditionalFormatting sqref="L5:M40">
    <cfRule type="cellIs" dxfId="5" priority="1" operator="lessThan">
      <formula>0</formula>
    </cfRule>
  </conditionalFormatting>
  <conditionalFormatting sqref="W5:X40">
    <cfRule type="cellIs" dxfId="4" priority="3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1"/>
  <sheetViews>
    <sheetView workbookViewId="0">
      <selection sqref="A1:X1"/>
    </sheetView>
  </sheetViews>
  <sheetFormatPr baseColWidth="10" defaultColWidth="9.140625" defaultRowHeight="15" x14ac:dyDescent="0.25"/>
  <cols>
    <col min="1" max="1" width="5" customWidth="1"/>
    <col min="2" max="2" width="10" customWidth="1"/>
    <col min="3" max="24" width="11" customWidth="1"/>
    <col min="25" max="25" width="15" customWidth="1"/>
  </cols>
  <sheetData>
    <row r="1" spans="1:25" ht="18.75" x14ac:dyDescent="0.3">
      <c r="A1" s="19" t="s">
        <v>162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5" x14ac:dyDescent="0.25">
      <c r="A2" s="28" t="s">
        <v>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5" x14ac:dyDescent="0.25">
      <c r="A3" s="35" t="s">
        <v>93</v>
      </c>
      <c r="B3" s="20"/>
      <c r="C3" s="20"/>
      <c r="D3" s="20"/>
      <c r="E3" s="20"/>
      <c r="F3" s="20"/>
      <c r="G3" s="30" t="s">
        <v>94</v>
      </c>
      <c r="H3" s="20"/>
      <c r="I3" s="20"/>
      <c r="J3" s="20"/>
      <c r="K3" s="20"/>
      <c r="L3" s="31" t="s">
        <v>95</v>
      </c>
      <c r="M3" s="20"/>
      <c r="N3" s="36" t="s">
        <v>96</v>
      </c>
      <c r="O3" s="20"/>
      <c r="P3" s="20"/>
      <c r="Q3" s="20"/>
      <c r="R3" s="20"/>
      <c r="S3" s="20"/>
      <c r="T3" s="37" t="s">
        <v>97</v>
      </c>
      <c r="U3" s="20"/>
      <c r="V3" s="34" t="s">
        <v>98</v>
      </c>
      <c r="W3" s="20"/>
      <c r="X3" s="20"/>
    </row>
    <row r="4" spans="1:25" ht="24" x14ac:dyDescent="0.25">
      <c r="A4" s="17" t="s">
        <v>99</v>
      </c>
      <c r="B4" s="17" t="s">
        <v>100</v>
      </c>
      <c r="C4" s="17" t="s">
        <v>101</v>
      </c>
      <c r="D4" s="17" t="s">
        <v>102</v>
      </c>
      <c r="E4" s="17" t="s">
        <v>103</v>
      </c>
      <c r="F4" s="17" t="s">
        <v>104</v>
      </c>
      <c r="G4" s="17" t="s">
        <v>105</v>
      </c>
      <c r="H4" s="17" t="s">
        <v>106</v>
      </c>
      <c r="I4" s="17" t="s">
        <v>107</v>
      </c>
      <c r="J4" s="17" t="s">
        <v>108</v>
      </c>
      <c r="K4" s="17" t="s">
        <v>109</v>
      </c>
      <c r="L4" s="17" t="s">
        <v>110</v>
      </c>
      <c r="M4" s="17" t="s">
        <v>111</v>
      </c>
      <c r="N4" s="17" t="s">
        <v>112</v>
      </c>
      <c r="O4" s="17" t="s">
        <v>113</v>
      </c>
      <c r="P4" s="17" t="s">
        <v>114</v>
      </c>
      <c r="Q4" s="17" t="s">
        <v>115</v>
      </c>
      <c r="R4" s="17" t="s">
        <v>116</v>
      </c>
      <c r="S4" s="17" t="s">
        <v>117</v>
      </c>
      <c r="T4" s="17" t="s">
        <v>118</v>
      </c>
      <c r="U4" s="17" t="s">
        <v>119</v>
      </c>
      <c r="V4" s="17" t="s">
        <v>120</v>
      </c>
      <c r="W4" s="17" t="s">
        <v>121</v>
      </c>
      <c r="X4" s="17" t="s">
        <v>122</v>
      </c>
      <c r="Y4" s="17" t="s">
        <v>123</v>
      </c>
    </row>
    <row r="5" spans="1:25" x14ac:dyDescent="0.25">
      <c r="A5" s="6">
        <v>1</v>
      </c>
      <c r="B5" s="6" t="s">
        <v>124</v>
      </c>
      <c r="C5" s="7">
        <f>Parametres!$B$33*Parametres!$B$34</f>
        <v>145625.55000000002</v>
      </c>
      <c r="D5" s="7">
        <f>IF(A5&gt;=Parametres!$B$60,Parametres!$B$62,0)</f>
        <v>0</v>
      </c>
      <c r="E5" s="7">
        <f>IF(A5&gt;=Parametres!$B$65,Parametres!$B$67,0)</f>
        <v>0</v>
      </c>
      <c r="F5" s="7">
        <f t="shared" ref="F5:F40" si="0">C5+D5+E5</f>
        <v>145625.55000000002</v>
      </c>
      <c r="G5" s="7">
        <f>F5*Parametres!$B$53</f>
        <v>41503.281750000002</v>
      </c>
      <c r="H5" s="7">
        <f>F5*Parametres!$B$56</f>
        <v>65531.497500000012</v>
      </c>
      <c r="I5" s="7">
        <f>IF(A5&lt;Parametres!$B$21,IF(A5&lt;=12,Parametres!$B$18,Parametres!$B$18*(1+Parametres!$B$20)),IF(A5&lt;=24,Parametres!$B$19*(1+Parametres!$B$20),Parametres!$B$19*POWER(1+Parametres!$B$20,2)))</f>
        <v>9000</v>
      </c>
      <c r="J5" s="7">
        <f>Parametres!$B$30</f>
        <v>16680</v>
      </c>
      <c r="K5" s="7">
        <f>IF(A5&lt;Parametres!$B$12,0,IF(A5&lt;=24,Parametres!$B$14,Parametres!$B$15))</f>
        <v>0</v>
      </c>
      <c r="L5" s="7">
        <f t="shared" ref="L5:L40" si="1">F5-G5-H5-I5-J5-K5</f>
        <v>12910.770750000011</v>
      </c>
      <c r="M5" s="8">
        <f t="shared" ref="M5:M40" si="2">IF(F5=0,0,L5/F5)</f>
        <v>8.8657318375793326E-2</v>
      </c>
      <c r="N5" s="7">
        <f>F5*Parametres!$B$24</f>
        <v>14562.555000000002</v>
      </c>
      <c r="O5" s="7">
        <f>F5*Parametres!$B$25</f>
        <v>29125.110000000004</v>
      </c>
      <c r="P5" s="7">
        <f>IF(A5&lt;=Parametres!$B$27,0,MIN(L5,N5))</f>
        <v>0</v>
      </c>
      <c r="Q5" s="7">
        <f t="shared" ref="Q5:Q40" si="3">IF(L5&gt;N5,MIN(L5-N5,O5-N5),0)</f>
        <v>0</v>
      </c>
      <c r="R5" s="7">
        <f t="shared" ref="R5:R40" si="4">IF(L5&gt;O5,L5-O5,0)</f>
        <v>0</v>
      </c>
      <c r="S5" s="7">
        <f>R5*Parametres!$B$26</f>
        <v>0</v>
      </c>
      <c r="T5" s="7">
        <f>R5*Parametres!$B$26</f>
        <v>0</v>
      </c>
      <c r="U5" s="7">
        <f t="shared" ref="U5:U40" si="5">P5+S5</f>
        <v>0</v>
      </c>
      <c r="V5" s="7">
        <f t="shared" ref="V5:V40" si="6">Q5+T5</f>
        <v>0</v>
      </c>
      <c r="W5" s="7">
        <f t="shared" ref="W5:W40" si="7">L5-U5-V5</f>
        <v>12910.770750000011</v>
      </c>
      <c r="X5" s="7">
        <f>W5</f>
        <v>12910.770750000011</v>
      </c>
      <c r="Y5" s="9" t="s">
        <v>125</v>
      </c>
    </row>
    <row r="6" spans="1:25" x14ac:dyDescent="0.25">
      <c r="A6" s="10">
        <v>2</v>
      </c>
      <c r="B6" s="10" t="s">
        <v>126</v>
      </c>
      <c r="C6" s="11">
        <f>Parametres!$B$33*Parametres!$B$35</f>
        <v>138691</v>
      </c>
      <c r="D6" s="11">
        <f>IF(A6&gt;=Parametres!$B$60,Parametres!$B$62,0)</f>
        <v>0</v>
      </c>
      <c r="E6" s="11">
        <f>IF(A6&gt;=Parametres!$B$65,Parametres!$B$67,0)</f>
        <v>0</v>
      </c>
      <c r="F6" s="11">
        <f t="shared" si="0"/>
        <v>138691</v>
      </c>
      <c r="G6" s="11">
        <f>F6*Parametres!$B$53</f>
        <v>39526.934999999998</v>
      </c>
      <c r="H6" s="11">
        <f>F6*Parametres!$B$56</f>
        <v>62410.950000000004</v>
      </c>
      <c r="I6" s="11">
        <f>IF(A6&lt;Parametres!$B$21,IF(A6&lt;=12,Parametres!$B$18,Parametres!$B$18*(1+Parametres!$B$20)),IF(A6&lt;=24,Parametres!$B$19*(1+Parametres!$B$20),Parametres!$B$19*POWER(1+Parametres!$B$20,2)))</f>
        <v>9000</v>
      </c>
      <c r="J6" s="11">
        <f>Parametres!$B$30</f>
        <v>16680</v>
      </c>
      <c r="K6" s="11">
        <f>IF(A6&lt;Parametres!$B$12,0,IF(A6&lt;=24,Parametres!$B$14,Parametres!$B$15))</f>
        <v>0</v>
      </c>
      <c r="L6" s="11">
        <f t="shared" si="1"/>
        <v>11073.114999999998</v>
      </c>
      <c r="M6" s="12">
        <f t="shared" si="2"/>
        <v>7.9840184294582908E-2</v>
      </c>
      <c r="N6" s="11">
        <f>F6*Parametres!$B$24</f>
        <v>13869.1</v>
      </c>
      <c r="O6" s="11">
        <f>F6*Parametres!$B$25</f>
        <v>27738.2</v>
      </c>
      <c r="P6" s="11">
        <f>IF(A6&lt;=Parametres!$B$27,0,MIN(L6,N6))</f>
        <v>0</v>
      </c>
      <c r="Q6" s="11">
        <f t="shared" si="3"/>
        <v>0</v>
      </c>
      <c r="R6" s="11">
        <f t="shared" si="4"/>
        <v>0</v>
      </c>
      <c r="S6" s="11">
        <f>R6*Parametres!$B$26</f>
        <v>0</v>
      </c>
      <c r="T6" s="11">
        <f>R6*Parametres!$B$26</f>
        <v>0</v>
      </c>
      <c r="U6" s="11">
        <f t="shared" si="5"/>
        <v>0</v>
      </c>
      <c r="V6" s="11">
        <f t="shared" si="6"/>
        <v>0</v>
      </c>
      <c r="W6" s="11">
        <f t="shared" si="7"/>
        <v>11073.114999999998</v>
      </c>
      <c r="X6" s="11">
        <f t="shared" ref="X6:X40" si="8">X5+W6</f>
        <v>23983.885750000009</v>
      </c>
      <c r="Y6" s="13" t="s">
        <v>125</v>
      </c>
    </row>
    <row r="7" spans="1:25" x14ac:dyDescent="0.25">
      <c r="A7" s="6">
        <v>3</v>
      </c>
      <c r="B7" s="6" t="s">
        <v>127</v>
      </c>
      <c r="C7" s="7">
        <f>Parametres!$B$33*Parametres!$B$36</f>
        <v>117887.34999999999</v>
      </c>
      <c r="D7" s="7">
        <f>IF(A7&gt;=Parametres!$B$60,Parametres!$B$62,0)</f>
        <v>48732</v>
      </c>
      <c r="E7" s="7">
        <f>IF(A7&gt;=Parametres!$B$65,Parametres!$B$67,0)</f>
        <v>0</v>
      </c>
      <c r="F7" s="7">
        <f t="shared" si="0"/>
        <v>166619.34999999998</v>
      </c>
      <c r="G7" s="7">
        <f>F7*Parametres!$B$53</f>
        <v>47486.514749999988</v>
      </c>
      <c r="H7" s="7">
        <f>F7*Parametres!$B$56</f>
        <v>74978.70749999999</v>
      </c>
      <c r="I7" s="7">
        <f>IF(A7&lt;Parametres!$B$21,IF(A7&lt;=12,Parametres!$B$18,Parametres!$B$18*(1+Parametres!$B$20)),IF(A7&lt;=24,Parametres!$B$19*(1+Parametres!$B$20),Parametres!$B$19*POWER(1+Parametres!$B$20,2)))</f>
        <v>9000</v>
      </c>
      <c r="J7" s="7">
        <f>Parametres!$B$30</f>
        <v>16680</v>
      </c>
      <c r="K7" s="7">
        <f>IF(A7&lt;Parametres!$B$12,0,IF(A7&lt;=24,Parametres!$B$14,Parametres!$B$15))</f>
        <v>0</v>
      </c>
      <c r="L7" s="7">
        <f t="shared" si="1"/>
        <v>18474.12775</v>
      </c>
      <c r="M7" s="8">
        <f t="shared" si="2"/>
        <v>0.11087624426574706</v>
      </c>
      <c r="N7" s="7">
        <f>F7*Parametres!$B$24</f>
        <v>16661.934999999998</v>
      </c>
      <c r="O7" s="7">
        <f>F7*Parametres!$B$25</f>
        <v>33323.869999999995</v>
      </c>
      <c r="P7" s="7">
        <f>IF(A7&lt;=Parametres!$B$27,0,MIN(L7,N7))</f>
        <v>0</v>
      </c>
      <c r="Q7" s="7">
        <f t="shared" si="3"/>
        <v>1812.192750000002</v>
      </c>
      <c r="R7" s="7">
        <f t="shared" si="4"/>
        <v>0</v>
      </c>
      <c r="S7" s="7">
        <f>R7*Parametres!$B$26</f>
        <v>0</v>
      </c>
      <c r="T7" s="7">
        <f>R7*Parametres!$B$26</f>
        <v>0</v>
      </c>
      <c r="U7" s="7">
        <f t="shared" si="5"/>
        <v>0</v>
      </c>
      <c r="V7" s="7">
        <f t="shared" si="6"/>
        <v>1812.192750000002</v>
      </c>
      <c r="W7" s="7">
        <f t="shared" si="7"/>
        <v>16661.934999999998</v>
      </c>
      <c r="X7" s="7">
        <f t="shared" si="8"/>
        <v>40645.820750000006</v>
      </c>
      <c r="Y7" s="9" t="s">
        <v>125</v>
      </c>
    </row>
    <row r="8" spans="1:25" x14ac:dyDescent="0.25">
      <c r="A8" s="10">
        <v>4</v>
      </c>
      <c r="B8" s="10" t="s">
        <v>128</v>
      </c>
      <c r="C8" s="11">
        <f>Parametres!$B$33*Parametres!$B$37</f>
        <v>110952.8</v>
      </c>
      <c r="D8" s="11">
        <f>IF(A8&gt;=Parametres!$B$60,Parametres!$B$62,0)</f>
        <v>48732</v>
      </c>
      <c r="E8" s="11">
        <f>IF(A8&gt;=Parametres!$B$65,Parametres!$B$67,0)</f>
        <v>0</v>
      </c>
      <c r="F8" s="11">
        <f t="shared" si="0"/>
        <v>159684.79999999999</v>
      </c>
      <c r="G8" s="11">
        <f>F8*Parametres!$B$53</f>
        <v>45510.167999999991</v>
      </c>
      <c r="H8" s="11">
        <f>F8*Parametres!$B$56</f>
        <v>71858.16</v>
      </c>
      <c r="I8" s="11">
        <f>IF(A8&lt;Parametres!$B$21,IF(A8&lt;=12,Parametres!$B$18,Parametres!$B$18*(1+Parametres!$B$20)),IF(A8&lt;=24,Parametres!$B$19*(1+Parametres!$B$20),Parametres!$B$19*POWER(1+Parametres!$B$20,2)))</f>
        <v>9000</v>
      </c>
      <c r="J8" s="11">
        <f>Parametres!$B$30</f>
        <v>16680</v>
      </c>
      <c r="K8" s="11">
        <f>IF(A8&lt;Parametres!$B$12,0,IF(A8&lt;=24,Parametres!$B$14,Parametres!$B$15))</f>
        <v>0</v>
      </c>
      <c r="L8" s="11">
        <f t="shared" si="1"/>
        <v>16636.471999999994</v>
      </c>
      <c r="M8" s="12">
        <f t="shared" si="2"/>
        <v>0.10418319088604548</v>
      </c>
      <c r="N8" s="11">
        <f>F8*Parametres!$B$24</f>
        <v>15968.48</v>
      </c>
      <c r="O8" s="11">
        <f>F8*Parametres!$B$25</f>
        <v>31936.959999999999</v>
      </c>
      <c r="P8" s="11">
        <f>IF(A8&lt;=Parametres!$B$27,0,MIN(L8,N8))</f>
        <v>0</v>
      </c>
      <c r="Q8" s="11">
        <f t="shared" si="3"/>
        <v>667.99199999999473</v>
      </c>
      <c r="R8" s="11">
        <f t="shared" si="4"/>
        <v>0</v>
      </c>
      <c r="S8" s="11">
        <f>R8*Parametres!$B$26</f>
        <v>0</v>
      </c>
      <c r="T8" s="11">
        <f>R8*Parametres!$B$26</f>
        <v>0</v>
      </c>
      <c r="U8" s="11">
        <f t="shared" si="5"/>
        <v>0</v>
      </c>
      <c r="V8" s="11">
        <f t="shared" si="6"/>
        <v>667.99199999999473</v>
      </c>
      <c r="W8" s="11">
        <f t="shared" si="7"/>
        <v>15968.48</v>
      </c>
      <c r="X8" s="11">
        <f t="shared" si="8"/>
        <v>56614.300750000009</v>
      </c>
      <c r="Y8" s="13" t="s">
        <v>125</v>
      </c>
    </row>
    <row r="9" spans="1:25" x14ac:dyDescent="0.25">
      <c r="A9" s="6">
        <v>5</v>
      </c>
      <c r="B9" s="6" t="s">
        <v>129</v>
      </c>
      <c r="C9" s="7">
        <f>Parametres!$B$33*Parametres!$B$38</f>
        <v>110952.8</v>
      </c>
      <c r="D9" s="7">
        <f>IF(A9&gt;=Parametres!$B$60,Parametres!$B$62,0)</f>
        <v>48732</v>
      </c>
      <c r="E9" s="7">
        <f>IF(A9&gt;=Parametres!$B$65,Parametres!$B$67,0)</f>
        <v>0</v>
      </c>
      <c r="F9" s="7">
        <f t="shared" si="0"/>
        <v>159684.79999999999</v>
      </c>
      <c r="G9" s="7">
        <f>F9*Parametres!$B$53</f>
        <v>45510.167999999991</v>
      </c>
      <c r="H9" s="7">
        <f>F9*Parametres!$B$56</f>
        <v>71858.16</v>
      </c>
      <c r="I9" s="7">
        <f>IF(A9&lt;Parametres!$B$21,IF(A9&lt;=12,Parametres!$B$18,Parametres!$B$18*(1+Parametres!$B$20)),IF(A9&lt;=24,Parametres!$B$19*(1+Parametres!$B$20),Parametres!$B$19*POWER(1+Parametres!$B$20,2)))</f>
        <v>9000</v>
      </c>
      <c r="J9" s="7">
        <f>Parametres!$B$30</f>
        <v>16680</v>
      </c>
      <c r="K9" s="7">
        <f>IF(A9&lt;Parametres!$B$12,0,IF(A9&lt;=24,Parametres!$B$14,Parametres!$B$15))</f>
        <v>9280.9695000000011</v>
      </c>
      <c r="L9" s="7">
        <f t="shared" si="1"/>
        <v>7355.5024999999932</v>
      </c>
      <c r="M9" s="8">
        <f t="shared" si="2"/>
        <v>4.6062634014007557E-2</v>
      </c>
      <c r="N9" s="7">
        <f>F9*Parametres!$B$24</f>
        <v>15968.48</v>
      </c>
      <c r="O9" s="7">
        <f>F9*Parametres!$B$25</f>
        <v>31936.959999999999</v>
      </c>
      <c r="P9" s="7">
        <f>IF(A9&lt;=Parametres!$B$27,0,MIN(L9,N9))</f>
        <v>0</v>
      </c>
      <c r="Q9" s="7">
        <f t="shared" si="3"/>
        <v>0</v>
      </c>
      <c r="R9" s="7">
        <f t="shared" si="4"/>
        <v>0</v>
      </c>
      <c r="S9" s="7">
        <f>R9*Parametres!$B$26</f>
        <v>0</v>
      </c>
      <c r="T9" s="7">
        <f>R9*Parametres!$B$26</f>
        <v>0</v>
      </c>
      <c r="U9" s="7">
        <f t="shared" si="5"/>
        <v>0</v>
      </c>
      <c r="V9" s="7">
        <f t="shared" si="6"/>
        <v>0</v>
      </c>
      <c r="W9" s="7">
        <f t="shared" si="7"/>
        <v>7355.5024999999932</v>
      </c>
      <c r="X9" s="7">
        <f t="shared" si="8"/>
        <v>63969.803250000004</v>
      </c>
      <c r="Y9" s="9" t="s">
        <v>125</v>
      </c>
    </row>
    <row r="10" spans="1:25" x14ac:dyDescent="0.25">
      <c r="A10" s="10">
        <v>6</v>
      </c>
      <c r="B10" s="10" t="s">
        <v>130</v>
      </c>
      <c r="C10" s="11">
        <f>Parametres!$B$33*Parametres!$B$39</f>
        <v>104018.25</v>
      </c>
      <c r="D10" s="11">
        <f>IF(A10&gt;=Parametres!$B$60,Parametres!$B$62,0)</f>
        <v>48732</v>
      </c>
      <c r="E10" s="11">
        <f>IF(A10&gt;=Parametres!$B$65,Parametres!$B$67,0)</f>
        <v>0</v>
      </c>
      <c r="F10" s="11">
        <f t="shared" si="0"/>
        <v>152750.25</v>
      </c>
      <c r="G10" s="11">
        <f>F10*Parametres!$B$53</f>
        <v>43533.821249999994</v>
      </c>
      <c r="H10" s="11">
        <f>F10*Parametres!$B$56</f>
        <v>68737.612500000003</v>
      </c>
      <c r="I10" s="11">
        <f>IF(A10&lt;Parametres!$B$21,IF(A10&lt;=12,Parametres!$B$18,Parametres!$B$18*(1+Parametres!$B$20)),IF(A10&lt;=24,Parametres!$B$19*(1+Parametres!$B$20),Parametres!$B$19*POWER(1+Parametres!$B$20,2)))</f>
        <v>9000</v>
      </c>
      <c r="J10" s="11">
        <f>Parametres!$B$30</f>
        <v>16680</v>
      </c>
      <c r="K10" s="11">
        <f>IF(A10&lt;Parametres!$B$12,0,IF(A10&lt;=24,Parametres!$B$14,Parametres!$B$15))</f>
        <v>9280.9695000000011</v>
      </c>
      <c r="L10" s="11">
        <f t="shared" si="1"/>
        <v>5517.8467500000024</v>
      </c>
      <c r="M10" s="12">
        <f t="shared" si="2"/>
        <v>3.6123323857080447E-2</v>
      </c>
      <c r="N10" s="11">
        <f>F10*Parametres!$B$24</f>
        <v>15275.025000000001</v>
      </c>
      <c r="O10" s="11">
        <f>F10*Parametres!$B$25</f>
        <v>30550.050000000003</v>
      </c>
      <c r="P10" s="11">
        <f>IF(A10&lt;=Parametres!$B$27,0,MIN(L10,N10))</f>
        <v>0</v>
      </c>
      <c r="Q10" s="11">
        <f t="shared" si="3"/>
        <v>0</v>
      </c>
      <c r="R10" s="11">
        <f t="shared" si="4"/>
        <v>0</v>
      </c>
      <c r="S10" s="11">
        <f>R10*Parametres!$B$26</f>
        <v>0</v>
      </c>
      <c r="T10" s="11">
        <f>R10*Parametres!$B$26</f>
        <v>0</v>
      </c>
      <c r="U10" s="11">
        <f t="shared" si="5"/>
        <v>0</v>
      </c>
      <c r="V10" s="11">
        <f t="shared" si="6"/>
        <v>0</v>
      </c>
      <c r="W10" s="11">
        <f t="shared" si="7"/>
        <v>5517.8467500000024</v>
      </c>
      <c r="X10" s="11">
        <f t="shared" si="8"/>
        <v>69487.650000000009</v>
      </c>
      <c r="Y10" s="13" t="s">
        <v>125</v>
      </c>
    </row>
    <row r="11" spans="1:25" x14ac:dyDescent="0.25">
      <c r="A11" s="6">
        <v>7</v>
      </c>
      <c r="B11" s="6" t="s">
        <v>131</v>
      </c>
      <c r="C11" s="7">
        <f>Parametres!$B$33*Parametres!$B$40</f>
        <v>124821.90000000001</v>
      </c>
      <c r="D11" s="7">
        <f>IF(A11&gt;=Parametres!$B$60,Parametres!$B$62,0)</f>
        <v>48732</v>
      </c>
      <c r="E11" s="7">
        <f>IF(A11&gt;=Parametres!$B$65,Parametres!$B$67,0)</f>
        <v>0</v>
      </c>
      <c r="F11" s="7">
        <f t="shared" si="0"/>
        <v>173553.90000000002</v>
      </c>
      <c r="G11" s="7">
        <f>F11*Parametres!$B$53</f>
        <v>49462.861499999999</v>
      </c>
      <c r="H11" s="7">
        <f>F11*Parametres!$B$56</f>
        <v>78099.255000000019</v>
      </c>
      <c r="I11" s="7">
        <f>IF(A11&lt;Parametres!$B$21,IF(A11&lt;=12,Parametres!$B$18,Parametres!$B$18*(1+Parametres!$B$20)),IF(A11&lt;=24,Parametres!$B$19*(1+Parametres!$B$20),Parametres!$B$19*POWER(1+Parametres!$B$20,2)))</f>
        <v>9000</v>
      </c>
      <c r="J11" s="7">
        <f>Parametres!$B$30</f>
        <v>16680</v>
      </c>
      <c r="K11" s="7">
        <f>IF(A11&lt;Parametres!$B$12,0,IF(A11&lt;=24,Parametres!$B$14,Parametres!$B$15))</f>
        <v>9280.9695000000011</v>
      </c>
      <c r="L11" s="7">
        <f t="shared" si="1"/>
        <v>11030.814000000004</v>
      </c>
      <c r="M11" s="8">
        <f t="shared" si="2"/>
        <v>6.3558433431919428E-2</v>
      </c>
      <c r="N11" s="7">
        <f>F11*Parametres!$B$24</f>
        <v>17355.390000000003</v>
      </c>
      <c r="O11" s="7">
        <f>F11*Parametres!$B$25</f>
        <v>34710.780000000006</v>
      </c>
      <c r="P11" s="7">
        <f>IF(A11&lt;=Parametres!$B$27,0,MIN(L11,N11))</f>
        <v>11030.814000000004</v>
      </c>
      <c r="Q11" s="7">
        <f t="shared" si="3"/>
        <v>0</v>
      </c>
      <c r="R11" s="7">
        <f t="shared" si="4"/>
        <v>0</v>
      </c>
      <c r="S11" s="7">
        <f>R11*Parametres!$B$26</f>
        <v>0</v>
      </c>
      <c r="T11" s="7">
        <f>R11*Parametres!$B$26</f>
        <v>0</v>
      </c>
      <c r="U11" s="7">
        <f t="shared" si="5"/>
        <v>11030.814000000004</v>
      </c>
      <c r="V11" s="7">
        <f t="shared" si="6"/>
        <v>0</v>
      </c>
      <c r="W11" s="7">
        <f t="shared" si="7"/>
        <v>0</v>
      </c>
      <c r="X11" s="7">
        <f t="shared" si="8"/>
        <v>69487.650000000009</v>
      </c>
    </row>
    <row r="12" spans="1:25" x14ac:dyDescent="0.25">
      <c r="A12" s="10">
        <v>8</v>
      </c>
      <c r="B12" s="10" t="s">
        <v>132</v>
      </c>
      <c r="C12" s="11">
        <f>Parametres!$B$33*Parametres!$B$41</f>
        <v>138691</v>
      </c>
      <c r="D12" s="11">
        <f>IF(A12&gt;=Parametres!$B$60,Parametres!$B$62,0)</f>
        <v>48732</v>
      </c>
      <c r="E12" s="11">
        <f>IF(A12&gt;=Parametres!$B$65,Parametres!$B$67,0)</f>
        <v>0</v>
      </c>
      <c r="F12" s="11">
        <f t="shared" si="0"/>
        <v>187423</v>
      </c>
      <c r="G12" s="11">
        <f>F12*Parametres!$B$53</f>
        <v>53415.554999999993</v>
      </c>
      <c r="H12" s="11">
        <f>F12*Parametres!$B$56</f>
        <v>84340.35</v>
      </c>
      <c r="I12" s="11">
        <f>IF(A12&lt;Parametres!$B$21,IF(A12&lt;=12,Parametres!$B$18,Parametres!$B$18*(1+Parametres!$B$20)),IF(A12&lt;=24,Parametres!$B$19*(1+Parametres!$B$20),Parametres!$B$19*POWER(1+Parametres!$B$20,2)))</f>
        <v>9000</v>
      </c>
      <c r="J12" s="11">
        <f>Parametres!$B$30</f>
        <v>16680</v>
      </c>
      <c r="K12" s="11">
        <f>IF(A12&lt;Parametres!$B$12,0,IF(A12&lt;=24,Parametres!$B$14,Parametres!$B$15))</f>
        <v>9280.9695000000011</v>
      </c>
      <c r="L12" s="11">
        <f t="shared" si="1"/>
        <v>14706.1255</v>
      </c>
      <c r="M12" s="12">
        <f t="shared" si="2"/>
        <v>7.8464892249083623E-2</v>
      </c>
      <c r="N12" s="11">
        <f>F12*Parametres!$B$24</f>
        <v>18742.3</v>
      </c>
      <c r="O12" s="11">
        <f>F12*Parametres!$B$25</f>
        <v>37484.6</v>
      </c>
      <c r="P12" s="11">
        <f>IF(A12&lt;=Parametres!$B$27,0,MIN(L12,N12))</f>
        <v>14706.1255</v>
      </c>
      <c r="Q12" s="11">
        <f t="shared" si="3"/>
        <v>0</v>
      </c>
      <c r="R12" s="11">
        <f t="shared" si="4"/>
        <v>0</v>
      </c>
      <c r="S12" s="11">
        <f>R12*Parametres!$B$26</f>
        <v>0</v>
      </c>
      <c r="T12" s="11">
        <f>R12*Parametres!$B$26</f>
        <v>0</v>
      </c>
      <c r="U12" s="11">
        <f t="shared" si="5"/>
        <v>14706.1255</v>
      </c>
      <c r="V12" s="11">
        <f t="shared" si="6"/>
        <v>0</v>
      </c>
      <c r="W12" s="11">
        <f t="shared" si="7"/>
        <v>0</v>
      </c>
      <c r="X12" s="11">
        <f t="shared" si="8"/>
        <v>69487.650000000009</v>
      </c>
      <c r="Y12" s="14"/>
    </row>
    <row r="13" spans="1:25" x14ac:dyDescent="0.25">
      <c r="A13" s="6">
        <v>9</v>
      </c>
      <c r="B13" s="6" t="s">
        <v>133</v>
      </c>
      <c r="C13" s="7">
        <f>Parametres!$B$33*Parametres!$B$42</f>
        <v>145625.55000000002</v>
      </c>
      <c r="D13" s="7">
        <f>IF(A13&gt;=Parametres!$B$60,Parametres!$B$62,0)</f>
        <v>48732</v>
      </c>
      <c r="E13" s="7">
        <f>IF(A13&gt;=Parametres!$B$65,Parametres!$B$67,0)</f>
        <v>0</v>
      </c>
      <c r="F13" s="7">
        <f t="shared" si="0"/>
        <v>194357.55000000002</v>
      </c>
      <c r="G13" s="7">
        <f>F13*Parametres!$B$53</f>
        <v>55391.901749999997</v>
      </c>
      <c r="H13" s="7">
        <f>F13*Parametres!$B$56</f>
        <v>87460.897500000006</v>
      </c>
      <c r="I13" s="7">
        <f>IF(A13&lt;Parametres!$B$21,IF(A13&lt;=12,Parametres!$B$18,Parametres!$B$18*(1+Parametres!$B$20)),IF(A13&lt;=24,Parametres!$B$19*(1+Parametres!$B$20),Parametres!$B$19*POWER(1+Parametres!$B$20,2)))</f>
        <v>9000</v>
      </c>
      <c r="J13" s="7">
        <f>Parametres!$B$30</f>
        <v>16680</v>
      </c>
      <c r="K13" s="7">
        <f>IF(A13&lt;Parametres!$B$12,0,IF(A13&lt;=24,Parametres!$B$14,Parametres!$B$15))</f>
        <v>9280.9695000000011</v>
      </c>
      <c r="L13" s="7">
        <f t="shared" si="1"/>
        <v>16543.781250000022</v>
      </c>
      <c r="M13" s="8">
        <f t="shared" si="2"/>
        <v>8.5120342636548052E-2</v>
      </c>
      <c r="N13" s="7">
        <f>F13*Parametres!$B$24</f>
        <v>19435.755000000001</v>
      </c>
      <c r="O13" s="7">
        <f>F13*Parametres!$B$25</f>
        <v>38871.51</v>
      </c>
      <c r="P13" s="7">
        <f>IF(A13&lt;=Parametres!$B$27,0,MIN(L13,N13))</f>
        <v>16543.781250000022</v>
      </c>
      <c r="Q13" s="7">
        <f t="shared" si="3"/>
        <v>0</v>
      </c>
      <c r="R13" s="7">
        <f t="shared" si="4"/>
        <v>0</v>
      </c>
      <c r="S13" s="7">
        <f>R13*Parametres!$B$26</f>
        <v>0</v>
      </c>
      <c r="T13" s="7">
        <f>R13*Parametres!$B$26</f>
        <v>0</v>
      </c>
      <c r="U13" s="7">
        <f t="shared" si="5"/>
        <v>16543.781250000022</v>
      </c>
      <c r="V13" s="7">
        <f t="shared" si="6"/>
        <v>0</v>
      </c>
      <c r="W13" s="7">
        <f t="shared" si="7"/>
        <v>0</v>
      </c>
      <c r="X13" s="7">
        <f t="shared" si="8"/>
        <v>69487.650000000009</v>
      </c>
    </row>
    <row r="14" spans="1:25" x14ac:dyDescent="0.25">
      <c r="A14" s="10">
        <v>10</v>
      </c>
      <c r="B14" s="10" t="s">
        <v>134</v>
      </c>
      <c r="C14" s="11">
        <f>Parametres!$B$33*Parametres!$B$43</f>
        <v>159494.65</v>
      </c>
      <c r="D14" s="11">
        <f>IF(A14&gt;=Parametres!$B$60,Parametres!$B$62,0)</f>
        <v>48732</v>
      </c>
      <c r="E14" s="11">
        <f>IF(A14&gt;=Parametres!$B$65,Parametres!$B$67,0)</f>
        <v>0</v>
      </c>
      <c r="F14" s="11">
        <f t="shared" si="0"/>
        <v>208226.65</v>
      </c>
      <c r="G14" s="11">
        <f>F14*Parametres!$B$53</f>
        <v>59344.595249999991</v>
      </c>
      <c r="H14" s="11">
        <f>F14*Parametres!$B$56</f>
        <v>93701.992499999993</v>
      </c>
      <c r="I14" s="11">
        <f>IF(A14&lt;Parametres!$B$21,IF(A14&lt;=12,Parametres!$B$18,Parametres!$B$18*(1+Parametres!$B$20)),IF(A14&lt;=24,Parametres!$B$19*(1+Parametres!$B$20),Parametres!$B$19*POWER(1+Parametres!$B$20,2)))</f>
        <v>9000</v>
      </c>
      <c r="J14" s="11">
        <f>Parametres!$B$30</f>
        <v>16680</v>
      </c>
      <c r="K14" s="11">
        <f>IF(A14&lt;Parametres!$B$12,0,IF(A14&lt;=24,Parametres!$B$14,Parametres!$B$15))</f>
        <v>9280.9695000000011</v>
      </c>
      <c r="L14" s="11">
        <f t="shared" si="1"/>
        <v>20219.092750000018</v>
      </c>
      <c r="M14" s="12">
        <f t="shared" si="2"/>
        <v>9.7101368868970514E-2</v>
      </c>
      <c r="N14" s="11">
        <f>F14*Parametres!$B$24</f>
        <v>20822.665000000001</v>
      </c>
      <c r="O14" s="11">
        <f>F14*Parametres!$B$25</f>
        <v>41645.33</v>
      </c>
      <c r="P14" s="11">
        <f>IF(A14&lt;=Parametres!$B$27,0,MIN(L14,N14))</f>
        <v>20219.092750000018</v>
      </c>
      <c r="Q14" s="11">
        <f t="shared" si="3"/>
        <v>0</v>
      </c>
      <c r="R14" s="11">
        <f t="shared" si="4"/>
        <v>0</v>
      </c>
      <c r="S14" s="11">
        <f>R14*Parametres!$B$26</f>
        <v>0</v>
      </c>
      <c r="T14" s="11">
        <f>R14*Parametres!$B$26</f>
        <v>0</v>
      </c>
      <c r="U14" s="11">
        <f t="shared" si="5"/>
        <v>20219.092750000018</v>
      </c>
      <c r="V14" s="11">
        <f t="shared" si="6"/>
        <v>0</v>
      </c>
      <c r="W14" s="11">
        <f t="shared" si="7"/>
        <v>0</v>
      </c>
      <c r="X14" s="11">
        <f t="shared" si="8"/>
        <v>69487.650000000009</v>
      </c>
      <c r="Y14" s="14"/>
    </row>
    <row r="15" spans="1:25" x14ac:dyDescent="0.25">
      <c r="A15" s="6">
        <v>11</v>
      </c>
      <c r="B15" s="6" t="s">
        <v>135</v>
      </c>
      <c r="C15" s="7">
        <f>Parametres!$B$33*Parametres!$B$44</f>
        <v>159494.65</v>
      </c>
      <c r="D15" s="7">
        <f>IF(A15&gt;=Parametres!$B$60,Parametres!$B$62,0)</f>
        <v>48732</v>
      </c>
      <c r="E15" s="7">
        <f>IF(A15&gt;=Parametres!$B$65,Parametres!$B$67,0)</f>
        <v>0</v>
      </c>
      <c r="F15" s="7">
        <f t="shared" si="0"/>
        <v>208226.65</v>
      </c>
      <c r="G15" s="7">
        <f>F15*Parametres!$B$53</f>
        <v>59344.595249999991</v>
      </c>
      <c r="H15" s="7">
        <f>F15*Parametres!$B$56</f>
        <v>93701.992499999993</v>
      </c>
      <c r="I15" s="7">
        <f>IF(A15&lt;Parametres!$B$21,IF(A15&lt;=12,Parametres!$B$18,Parametres!$B$18*(1+Parametres!$B$20)),IF(A15&lt;=24,Parametres!$B$19*(1+Parametres!$B$20),Parametres!$B$19*POWER(1+Parametres!$B$20,2)))</f>
        <v>9000</v>
      </c>
      <c r="J15" s="7">
        <f>Parametres!$B$30</f>
        <v>16680</v>
      </c>
      <c r="K15" s="7">
        <f>IF(A15&lt;Parametres!$B$12,0,IF(A15&lt;=24,Parametres!$B$14,Parametres!$B$15))</f>
        <v>9280.9695000000011</v>
      </c>
      <c r="L15" s="7">
        <f t="shared" si="1"/>
        <v>20219.092750000018</v>
      </c>
      <c r="M15" s="8">
        <f t="shared" si="2"/>
        <v>9.7101368868970514E-2</v>
      </c>
      <c r="N15" s="7">
        <f>F15*Parametres!$B$24</f>
        <v>20822.665000000001</v>
      </c>
      <c r="O15" s="7">
        <f>F15*Parametres!$B$25</f>
        <v>41645.33</v>
      </c>
      <c r="P15" s="7">
        <f>IF(A15&lt;=Parametres!$B$27,0,MIN(L15,N15))</f>
        <v>20219.092750000018</v>
      </c>
      <c r="Q15" s="7">
        <f t="shared" si="3"/>
        <v>0</v>
      </c>
      <c r="R15" s="7">
        <f t="shared" si="4"/>
        <v>0</v>
      </c>
      <c r="S15" s="7">
        <f>R15*Parametres!$B$26</f>
        <v>0</v>
      </c>
      <c r="T15" s="7">
        <f>R15*Parametres!$B$26</f>
        <v>0</v>
      </c>
      <c r="U15" s="7">
        <f t="shared" si="5"/>
        <v>20219.092750000018</v>
      </c>
      <c r="V15" s="7">
        <f t="shared" si="6"/>
        <v>0</v>
      </c>
      <c r="W15" s="7">
        <f t="shared" si="7"/>
        <v>0</v>
      </c>
      <c r="X15" s="7">
        <f t="shared" si="8"/>
        <v>69487.650000000009</v>
      </c>
    </row>
    <row r="16" spans="1:25" x14ac:dyDescent="0.25">
      <c r="A16" s="10">
        <v>12</v>
      </c>
      <c r="B16" s="10" t="s">
        <v>136</v>
      </c>
      <c r="C16" s="11">
        <f>Parametres!$B$33*Parametres!$B$45</f>
        <v>159494.65</v>
      </c>
      <c r="D16" s="11">
        <f>IF(A16&gt;=Parametres!$B$60,Parametres!$B$62,0)</f>
        <v>48732</v>
      </c>
      <c r="E16" s="11">
        <f>IF(A16&gt;=Parametres!$B$65,Parametres!$B$67,0)</f>
        <v>0</v>
      </c>
      <c r="F16" s="11">
        <f t="shared" si="0"/>
        <v>208226.65</v>
      </c>
      <c r="G16" s="11">
        <f>F16*Parametres!$B$53</f>
        <v>59344.595249999991</v>
      </c>
      <c r="H16" s="11">
        <f>F16*Parametres!$B$56</f>
        <v>93701.992499999993</v>
      </c>
      <c r="I16" s="11">
        <f>IF(A16&lt;Parametres!$B$21,IF(A16&lt;=12,Parametres!$B$18,Parametres!$B$18*(1+Parametres!$B$20)),IF(A16&lt;=24,Parametres!$B$19*(1+Parametres!$B$20),Parametres!$B$19*POWER(1+Parametres!$B$20,2)))</f>
        <v>9000</v>
      </c>
      <c r="J16" s="11">
        <f>Parametres!$B$30</f>
        <v>16680</v>
      </c>
      <c r="K16" s="11">
        <f>IF(A16&lt;Parametres!$B$12,0,IF(A16&lt;=24,Parametres!$B$14,Parametres!$B$15))</f>
        <v>9280.9695000000011</v>
      </c>
      <c r="L16" s="11">
        <f t="shared" si="1"/>
        <v>20219.092750000018</v>
      </c>
      <c r="M16" s="12">
        <f t="shared" si="2"/>
        <v>9.7101368868970514E-2</v>
      </c>
      <c r="N16" s="11">
        <f>F16*Parametres!$B$24</f>
        <v>20822.665000000001</v>
      </c>
      <c r="O16" s="11">
        <f>F16*Parametres!$B$25</f>
        <v>41645.33</v>
      </c>
      <c r="P16" s="11">
        <f>IF(A16&lt;=Parametres!$B$27,0,MIN(L16,N16))</f>
        <v>20219.092750000018</v>
      </c>
      <c r="Q16" s="11">
        <f t="shared" si="3"/>
        <v>0</v>
      </c>
      <c r="R16" s="11">
        <f t="shared" si="4"/>
        <v>0</v>
      </c>
      <c r="S16" s="11">
        <f>R16*Parametres!$B$26</f>
        <v>0</v>
      </c>
      <c r="T16" s="11">
        <f>R16*Parametres!$B$26</f>
        <v>0</v>
      </c>
      <c r="U16" s="11">
        <f t="shared" si="5"/>
        <v>20219.092750000018</v>
      </c>
      <c r="V16" s="11">
        <f t="shared" si="6"/>
        <v>0</v>
      </c>
      <c r="W16" s="11">
        <f t="shared" si="7"/>
        <v>0</v>
      </c>
      <c r="X16" s="11">
        <f t="shared" si="8"/>
        <v>69487.650000000009</v>
      </c>
      <c r="Y16" s="14"/>
    </row>
    <row r="17" spans="1:25" x14ac:dyDescent="0.25">
      <c r="A17" s="6">
        <v>13</v>
      </c>
      <c r="B17" s="6" t="s">
        <v>137</v>
      </c>
      <c r="C17" s="7">
        <f>Parametres!$B$33*(1+Parametres!$B$48)*Parametres!$B$34</f>
        <v>152906.82750000001</v>
      </c>
      <c r="D17" s="7">
        <f>IF(A17&gt;=Parametres!$B$60,Parametres!$B$62,0)</f>
        <v>48732</v>
      </c>
      <c r="E17" s="7">
        <f>IF(A17&gt;=Parametres!$B$65,Parametres!$B$67,0)</f>
        <v>0</v>
      </c>
      <c r="F17" s="7">
        <f t="shared" si="0"/>
        <v>201638.82750000001</v>
      </c>
      <c r="G17" s="7">
        <f>F17*Parametres!$B$53</f>
        <v>57467.065837499998</v>
      </c>
      <c r="H17" s="7">
        <f>F17*Parametres!$B$56</f>
        <v>90737.472375000012</v>
      </c>
      <c r="I17" s="7">
        <f>IF(A17&lt;Parametres!$B$21,IF(A17&lt;=12,Parametres!$B$18,Parametres!$B$18*(1+Parametres!$B$20)),IF(A17&lt;=24,Parametres!$B$19*(1+Parametres!$B$20),Parametres!$B$19*POWER(1+Parametres!$B$20,2)))</f>
        <v>9270</v>
      </c>
      <c r="J17" s="7">
        <f>Parametres!$B$30</f>
        <v>16680</v>
      </c>
      <c r="K17" s="7">
        <f>IF(A17&lt;Parametres!$B$12,0,IF(A17&lt;=24,Parametres!$B$14,Parametres!$B$15))</f>
        <v>9280.9695000000011</v>
      </c>
      <c r="L17" s="7">
        <f t="shared" si="1"/>
        <v>18203.319787499997</v>
      </c>
      <c r="M17" s="8">
        <f t="shared" si="2"/>
        <v>9.0276857950386549E-2</v>
      </c>
      <c r="N17" s="7">
        <f>F17*Parametres!$B$24</f>
        <v>20163.882750000004</v>
      </c>
      <c r="O17" s="7">
        <f>F17*Parametres!$B$25</f>
        <v>40327.765500000009</v>
      </c>
      <c r="P17" s="7">
        <f>IF(A17&lt;=Parametres!$B$27,0,MIN(L17,N17))</f>
        <v>18203.319787499997</v>
      </c>
      <c r="Q17" s="7">
        <f t="shared" si="3"/>
        <v>0</v>
      </c>
      <c r="R17" s="7">
        <f t="shared" si="4"/>
        <v>0</v>
      </c>
      <c r="S17" s="7">
        <f>R17*Parametres!$B$26</f>
        <v>0</v>
      </c>
      <c r="T17" s="7">
        <f>R17*Parametres!$B$26</f>
        <v>0</v>
      </c>
      <c r="U17" s="7">
        <f t="shared" si="5"/>
        <v>18203.319787499997</v>
      </c>
      <c r="V17" s="7">
        <f t="shared" si="6"/>
        <v>0</v>
      </c>
      <c r="W17" s="7">
        <f t="shared" si="7"/>
        <v>0</v>
      </c>
      <c r="X17" s="7">
        <f t="shared" si="8"/>
        <v>69487.650000000009</v>
      </c>
    </row>
    <row r="18" spans="1:25" x14ac:dyDescent="0.25">
      <c r="A18" s="10">
        <v>14</v>
      </c>
      <c r="B18" s="10" t="s">
        <v>138</v>
      </c>
      <c r="C18" s="11">
        <f>Parametres!$B$33*(1+Parametres!$B$48)*Parametres!$B$35</f>
        <v>145625.55000000002</v>
      </c>
      <c r="D18" s="11">
        <f>IF(A18&gt;=Parametres!$B$60,Parametres!$B$62,0)</f>
        <v>48732</v>
      </c>
      <c r="E18" s="11">
        <f>IF(A18&gt;=Parametres!$B$65,Parametres!$B$67,0)</f>
        <v>0</v>
      </c>
      <c r="F18" s="11">
        <f t="shared" si="0"/>
        <v>194357.55000000002</v>
      </c>
      <c r="G18" s="11">
        <f>F18*Parametres!$B$53</f>
        <v>55391.901749999997</v>
      </c>
      <c r="H18" s="11">
        <f>F18*Parametres!$B$56</f>
        <v>87460.897500000006</v>
      </c>
      <c r="I18" s="11">
        <f>IF(A18&lt;Parametres!$B$21,IF(A18&lt;=12,Parametres!$B$18,Parametres!$B$18*(1+Parametres!$B$20)),IF(A18&lt;=24,Parametres!$B$19*(1+Parametres!$B$20),Parametres!$B$19*POWER(1+Parametres!$B$20,2)))</f>
        <v>9270</v>
      </c>
      <c r="J18" s="11">
        <f>Parametres!$B$30</f>
        <v>16680</v>
      </c>
      <c r="K18" s="11">
        <f>IF(A18&lt;Parametres!$B$12,0,IF(A18&lt;=24,Parametres!$B$14,Parametres!$B$15))</f>
        <v>9280.9695000000011</v>
      </c>
      <c r="L18" s="11">
        <f t="shared" si="1"/>
        <v>16273.78125000002</v>
      </c>
      <c r="M18" s="12">
        <f t="shared" si="2"/>
        <v>8.3731150397810733E-2</v>
      </c>
      <c r="N18" s="11">
        <f>F18*Parametres!$B$24</f>
        <v>19435.755000000001</v>
      </c>
      <c r="O18" s="11">
        <f>F18*Parametres!$B$25</f>
        <v>38871.51</v>
      </c>
      <c r="P18" s="11">
        <f>IF(A18&lt;=Parametres!$B$27,0,MIN(L18,N18))</f>
        <v>16273.78125000002</v>
      </c>
      <c r="Q18" s="11">
        <f t="shared" si="3"/>
        <v>0</v>
      </c>
      <c r="R18" s="11">
        <f t="shared" si="4"/>
        <v>0</v>
      </c>
      <c r="S18" s="11">
        <f>R18*Parametres!$B$26</f>
        <v>0</v>
      </c>
      <c r="T18" s="11">
        <f>R18*Parametres!$B$26</f>
        <v>0</v>
      </c>
      <c r="U18" s="11">
        <f t="shared" si="5"/>
        <v>16273.78125000002</v>
      </c>
      <c r="V18" s="11">
        <f t="shared" si="6"/>
        <v>0</v>
      </c>
      <c r="W18" s="11">
        <f t="shared" si="7"/>
        <v>0</v>
      </c>
      <c r="X18" s="11">
        <f t="shared" si="8"/>
        <v>69487.650000000009</v>
      </c>
      <c r="Y18" s="14"/>
    </row>
    <row r="19" spans="1:25" x14ac:dyDescent="0.25">
      <c r="A19" s="6">
        <v>15</v>
      </c>
      <c r="B19" s="6" t="s">
        <v>139</v>
      </c>
      <c r="C19" s="7">
        <f>Parametres!$B$33*(1+Parametres!$B$48)*Parametres!$B$36</f>
        <v>123781.71750000001</v>
      </c>
      <c r="D19" s="7">
        <f>IF(A19&gt;=Parametres!$B$60,Parametres!$B$62,0)</f>
        <v>48732</v>
      </c>
      <c r="E19" s="7">
        <f>IF(A19&gt;=Parametres!$B$65,Parametres!$B$67,0)</f>
        <v>0</v>
      </c>
      <c r="F19" s="7">
        <f t="shared" si="0"/>
        <v>172513.71750000003</v>
      </c>
      <c r="G19" s="7">
        <f>F19*Parametres!$B$53</f>
        <v>49166.409487500001</v>
      </c>
      <c r="H19" s="7">
        <f>F19*Parametres!$B$56</f>
        <v>77631.172875000018</v>
      </c>
      <c r="I19" s="7">
        <f>IF(A19&lt;Parametres!$B$21,IF(A19&lt;=12,Parametres!$B$18,Parametres!$B$18*(1+Parametres!$B$20)),IF(A19&lt;=24,Parametres!$B$19*(1+Parametres!$B$20),Parametres!$B$19*POWER(1+Parametres!$B$20,2)))</f>
        <v>9270</v>
      </c>
      <c r="J19" s="7">
        <f>Parametres!$B$30</f>
        <v>16680</v>
      </c>
      <c r="K19" s="7">
        <f>IF(A19&lt;Parametres!$B$12,0,IF(A19&lt;=24,Parametres!$B$14,Parametres!$B$15))</f>
        <v>9280.9695000000011</v>
      </c>
      <c r="L19" s="7">
        <f t="shared" si="1"/>
        <v>10485.165637500008</v>
      </c>
      <c r="M19" s="8">
        <f t="shared" si="2"/>
        <v>6.0778735682279907E-2</v>
      </c>
      <c r="N19" s="7">
        <f>F19*Parametres!$B$24</f>
        <v>17251.371750000002</v>
      </c>
      <c r="O19" s="7">
        <f>F19*Parametres!$B$25</f>
        <v>34502.743500000004</v>
      </c>
      <c r="P19" s="7">
        <f>IF(A19&lt;=Parametres!$B$27,0,MIN(L19,N19))</f>
        <v>10485.165637500008</v>
      </c>
      <c r="Q19" s="7">
        <f t="shared" si="3"/>
        <v>0</v>
      </c>
      <c r="R19" s="7">
        <f t="shared" si="4"/>
        <v>0</v>
      </c>
      <c r="S19" s="7">
        <f>R19*Parametres!$B$26</f>
        <v>0</v>
      </c>
      <c r="T19" s="7">
        <f>R19*Parametres!$B$26</f>
        <v>0</v>
      </c>
      <c r="U19" s="7">
        <f t="shared" si="5"/>
        <v>10485.165637500008</v>
      </c>
      <c r="V19" s="7">
        <f t="shared" si="6"/>
        <v>0</v>
      </c>
      <c r="W19" s="7">
        <f t="shared" si="7"/>
        <v>0</v>
      </c>
      <c r="X19" s="7">
        <f t="shared" si="8"/>
        <v>69487.650000000009</v>
      </c>
    </row>
    <row r="20" spans="1:25" x14ac:dyDescent="0.25">
      <c r="A20" s="10">
        <v>16</v>
      </c>
      <c r="B20" s="10" t="s">
        <v>140</v>
      </c>
      <c r="C20" s="11">
        <f>Parametres!$B$33*(1+Parametres!$B$48)*Parametres!$B$37</f>
        <v>116500.44000000002</v>
      </c>
      <c r="D20" s="11">
        <f>IF(A20&gt;=Parametres!$B$60,Parametres!$B$62,0)</f>
        <v>48732</v>
      </c>
      <c r="E20" s="11">
        <f>IF(A20&gt;=Parametres!$B$65,Parametres!$B$67,0)</f>
        <v>0</v>
      </c>
      <c r="F20" s="11">
        <f t="shared" si="0"/>
        <v>165232.44</v>
      </c>
      <c r="G20" s="11">
        <f>F20*Parametres!$B$53</f>
        <v>47091.2454</v>
      </c>
      <c r="H20" s="11">
        <f>F20*Parametres!$B$56</f>
        <v>74354.597999999998</v>
      </c>
      <c r="I20" s="11">
        <f>IF(A20&lt;Parametres!$B$21,IF(A20&lt;=12,Parametres!$B$18,Parametres!$B$18*(1+Parametres!$B$20)),IF(A20&lt;=24,Parametres!$B$19*(1+Parametres!$B$20),Parametres!$B$19*POWER(1+Parametres!$B$20,2)))</f>
        <v>11124</v>
      </c>
      <c r="J20" s="11">
        <f>Parametres!$B$30</f>
        <v>16680</v>
      </c>
      <c r="K20" s="11">
        <f>IF(A20&lt;Parametres!$B$12,0,IF(A20&lt;=24,Parametres!$B$14,Parametres!$B$15))</f>
        <v>9280.9695000000011</v>
      </c>
      <c r="L20" s="11">
        <f t="shared" si="1"/>
        <v>6701.6271000000033</v>
      </c>
      <c r="M20" s="12">
        <f t="shared" si="2"/>
        <v>4.0558785550827689E-2</v>
      </c>
      <c r="N20" s="11">
        <f>F20*Parametres!$B$24</f>
        <v>16523.244000000002</v>
      </c>
      <c r="O20" s="11">
        <f>F20*Parametres!$B$25</f>
        <v>33046.488000000005</v>
      </c>
      <c r="P20" s="11">
        <f>IF(A20&lt;=Parametres!$B$27,0,MIN(L20,N20))</f>
        <v>6701.6271000000033</v>
      </c>
      <c r="Q20" s="11">
        <f t="shared" si="3"/>
        <v>0</v>
      </c>
      <c r="R20" s="11">
        <f t="shared" si="4"/>
        <v>0</v>
      </c>
      <c r="S20" s="11">
        <f>R20*Parametres!$B$26</f>
        <v>0</v>
      </c>
      <c r="T20" s="11">
        <f>R20*Parametres!$B$26</f>
        <v>0</v>
      </c>
      <c r="U20" s="11">
        <f t="shared" si="5"/>
        <v>6701.6271000000033</v>
      </c>
      <c r="V20" s="11">
        <f t="shared" si="6"/>
        <v>0</v>
      </c>
      <c r="W20" s="11">
        <f t="shared" si="7"/>
        <v>0</v>
      </c>
      <c r="X20" s="11">
        <f t="shared" si="8"/>
        <v>69487.650000000009</v>
      </c>
      <c r="Y20" s="14"/>
    </row>
    <row r="21" spans="1:25" x14ac:dyDescent="0.25">
      <c r="A21" s="6">
        <v>17</v>
      </c>
      <c r="B21" s="6" t="s">
        <v>141</v>
      </c>
      <c r="C21" s="7">
        <f>Parametres!$B$33*(1+Parametres!$B$48)*Parametres!$B$38</f>
        <v>116500.44000000002</v>
      </c>
      <c r="D21" s="7">
        <f>IF(A21&gt;=Parametres!$B$60,Parametres!$B$62,0)</f>
        <v>48732</v>
      </c>
      <c r="E21" s="7">
        <f>IF(A21&gt;=Parametres!$B$65,Parametres!$B$67,0)</f>
        <v>0</v>
      </c>
      <c r="F21" s="7">
        <f t="shared" si="0"/>
        <v>165232.44</v>
      </c>
      <c r="G21" s="7">
        <f>F21*Parametres!$B$53</f>
        <v>47091.2454</v>
      </c>
      <c r="H21" s="7">
        <f>F21*Parametres!$B$56</f>
        <v>74354.597999999998</v>
      </c>
      <c r="I21" s="7">
        <f>IF(A21&lt;Parametres!$B$21,IF(A21&lt;=12,Parametres!$B$18,Parametres!$B$18*(1+Parametres!$B$20)),IF(A21&lt;=24,Parametres!$B$19*(1+Parametres!$B$20),Parametres!$B$19*POWER(1+Parametres!$B$20,2)))</f>
        <v>11124</v>
      </c>
      <c r="J21" s="7">
        <f>Parametres!$B$30</f>
        <v>16680</v>
      </c>
      <c r="K21" s="7">
        <f>IF(A21&lt;Parametres!$B$12,0,IF(A21&lt;=24,Parametres!$B$14,Parametres!$B$15))</f>
        <v>9280.9695000000011</v>
      </c>
      <c r="L21" s="7">
        <f t="shared" si="1"/>
        <v>6701.6271000000033</v>
      </c>
      <c r="M21" s="8">
        <f t="shared" si="2"/>
        <v>4.0558785550827689E-2</v>
      </c>
      <c r="N21" s="7">
        <f>F21*Parametres!$B$24</f>
        <v>16523.244000000002</v>
      </c>
      <c r="O21" s="7">
        <f>F21*Parametres!$B$25</f>
        <v>33046.488000000005</v>
      </c>
      <c r="P21" s="7">
        <f>IF(A21&lt;=Parametres!$B$27,0,MIN(L21,N21))</f>
        <v>6701.6271000000033</v>
      </c>
      <c r="Q21" s="7">
        <f t="shared" si="3"/>
        <v>0</v>
      </c>
      <c r="R21" s="7">
        <f t="shared" si="4"/>
        <v>0</v>
      </c>
      <c r="S21" s="7">
        <f>R21*Parametres!$B$26</f>
        <v>0</v>
      </c>
      <c r="T21" s="7">
        <f>R21*Parametres!$B$26</f>
        <v>0</v>
      </c>
      <c r="U21" s="7">
        <f t="shared" si="5"/>
        <v>6701.6271000000033</v>
      </c>
      <c r="V21" s="7">
        <f t="shared" si="6"/>
        <v>0</v>
      </c>
      <c r="W21" s="7">
        <f t="shared" si="7"/>
        <v>0</v>
      </c>
      <c r="X21" s="7">
        <f t="shared" si="8"/>
        <v>69487.650000000009</v>
      </c>
    </row>
    <row r="22" spans="1:25" x14ac:dyDescent="0.25">
      <c r="A22" s="10">
        <v>18</v>
      </c>
      <c r="B22" s="10" t="s">
        <v>142</v>
      </c>
      <c r="C22" s="11">
        <f>Parametres!$B$33*(1+Parametres!$B$48)*Parametres!$B$39</f>
        <v>109219.16250000001</v>
      </c>
      <c r="D22" s="11">
        <f>IF(A22&gt;=Parametres!$B$60,Parametres!$B$62,0)</f>
        <v>48732</v>
      </c>
      <c r="E22" s="11">
        <f>IF(A22&gt;=Parametres!$B$65,Parametres!$B$67,0)</f>
        <v>0</v>
      </c>
      <c r="F22" s="11">
        <f t="shared" si="0"/>
        <v>157951.16250000001</v>
      </c>
      <c r="G22" s="11">
        <f>F22*Parametres!$B$53</f>
        <v>45016.081312499999</v>
      </c>
      <c r="H22" s="11">
        <f>F22*Parametres!$B$56</f>
        <v>71078.023125000007</v>
      </c>
      <c r="I22" s="11">
        <f>IF(A22&lt;Parametres!$B$21,IF(A22&lt;=12,Parametres!$B$18,Parametres!$B$18*(1+Parametres!$B$20)),IF(A22&lt;=24,Parametres!$B$19*(1+Parametres!$B$20),Parametres!$B$19*POWER(1+Parametres!$B$20,2)))</f>
        <v>11124</v>
      </c>
      <c r="J22" s="11">
        <f>Parametres!$B$30</f>
        <v>16680</v>
      </c>
      <c r="K22" s="11">
        <f>IF(A22&lt;Parametres!$B$12,0,IF(A22&lt;=24,Parametres!$B$14,Parametres!$B$15))</f>
        <v>9280.9695000000011</v>
      </c>
      <c r="L22" s="11">
        <f t="shared" si="1"/>
        <v>4772.0885624999992</v>
      </c>
      <c r="M22" s="12">
        <f t="shared" si="2"/>
        <v>3.0212430772707983E-2</v>
      </c>
      <c r="N22" s="11">
        <f>F22*Parametres!$B$24</f>
        <v>15795.116250000001</v>
      </c>
      <c r="O22" s="11">
        <f>F22*Parametres!$B$25</f>
        <v>31590.232500000002</v>
      </c>
      <c r="P22" s="11">
        <f>IF(A22&lt;=Parametres!$B$27,0,MIN(L22,N22))</f>
        <v>4772.0885624999992</v>
      </c>
      <c r="Q22" s="11">
        <f t="shared" si="3"/>
        <v>0</v>
      </c>
      <c r="R22" s="11">
        <f t="shared" si="4"/>
        <v>0</v>
      </c>
      <c r="S22" s="11">
        <f>R22*Parametres!$B$26</f>
        <v>0</v>
      </c>
      <c r="T22" s="11">
        <f>R22*Parametres!$B$26</f>
        <v>0</v>
      </c>
      <c r="U22" s="11">
        <f t="shared" si="5"/>
        <v>4772.0885624999992</v>
      </c>
      <c r="V22" s="11">
        <f t="shared" si="6"/>
        <v>0</v>
      </c>
      <c r="W22" s="11">
        <f t="shared" si="7"/>
        <v>0</v>
      </c>
      <c r="X22" s="11">
        <f t="shared" si="8"/>
        <v>69487.650000000009</v>
      </c>
      <c r="Y22" s="14"/>
    </row>
    <row r="23" spans="1:25" x14ac:dyDescent="0.25">
      <c r="A23" s="6">
        <v>19</v>
      </c>
      <c r="B23" s="6" t="s">
        <v>143</v>
      </c>
      <c r="C23" s="7">
        <f>Parametres!$B$33*(1+Parametres!$B$48)*Parametres!$B$40</f>
        <v>131062.99500000002</v>
      </c>
      <c r="D23" s="7">
        <f>IF(A23&gt;=Parametres!$B$60,Parametres!$B$62,0)</f>
        <v>48732</v>
      </c>
      <c r="E23" s="7">
        <f>IF(A23&gt;=Parametres!$B$65,Parametres!$B$67,0)</f>
        <v>0</v>
      </c>
      <c r="F23" s="7">
        <f t="shared" si="0"/>
        <v>179794.99500000002</v>
      </c>
      <c r="G23" s="7">
        <f>F23*Parametres!$B$53</f>
        <v>51241.573575000002</v>
      </c>
      <c r="H23" s="7">
        <f>F23*Parametres!$B$56</f>
        <v>80907.74775000001</v>
      </c>
      <c r="I23" s="7">
        <f>IF(A23&lt;Parametres!$B$21,IF(A23&lt;=12,Parametres!$B$18,Parametres!$B$18*(1+Parametres!$B$20)),IF(A23&lt;=24,Parametres!$B$19*(1+Parametres!$B$20),Parametres!$B$19*POWER(1+Parametres!$B$20,2)))</f>
        <v>11124</v>
      </c>
      <c r="J23" s="7">
        <f>Parametres!$B$30</f>
        <v>16680</v>
      </c>
      <c r="K23" s="7">
        <f>IF(A23&lt;Parametres!$B$12,0,IF(A23&lt;=24,Parametres!$B$14,Parametres!$B$15))</f>
        <v>9280.9695000000011</v>
      </c>
      <c r="L23" s="7">
        <f t="shared" si="1"/>
        <v>10560.704175000012</v>
      </c>
      <c r="M23" s="8">
        <f t="shared" si="2"/>
        <v>5.8737475840192385E-2</v>
      </c>
      <c r="N23" s="7">
        <f>F23*Parametres!$B$24</f>
        <v>17979.499500000002</v>
      </c>
      <c r="O23" s="7">
        <f>F23*Parametres!$B$25</f>
        <v>35958.999000000003</v>
      </c>
      <c r="P23" s="7">
        <f>IF(A23&lt;=Parametres!$B$27,0,MIN(L23,N23))</f>
        <v>10560.704175000012</v>
      </c>
      <c r="Q23" s="7">
        <f t="shared" si="3"/>
        <v>0</v>
      </c>
      <c r="R23" s="7">
        <f t="shared" si="4"/>
        <v>0</v>
      </c>
      <c r="S23" s="7">
        <f>R23*Parametres!$B$26</f>
        <v>0</v>
      </c>
      <c r="T23" s="7">
        <f>R23*Parametres!$B$26</f>
        <v>0</v>
      </c>
      <c r="U23" s="7">
        <f t="shared" si="5"/>
        <v>10560.704175000012</v>
      </c>
      <c r="V23" s="7">
        <f t="shared" si="6"/>
        <v>0</v>
      </c>
      <c r="W23" s="7">
        <f t="shared" si="7"/>
        <v>0</v>
      </c>
      <c r="X23" s="7">
        <f t="shared" si="8"/>
        <v>69487.650000000009</v>
      </c>
    </row>
    <row r="24" spans="1:25" x14ac:dyDescent="0.25">
      <c r="A24" s="10">
        <v>20</v>
      </c>
      <c r="B24" s="10" t="s">
        <v>144</v>
      </c>
      <c r="C24" s="11">
        <f>Parametres!$B$33*(1+Parametres!$B$48)*Parametres!$B$41</f>
        <v>145625.55000000002</v>
      </c>
      <c r="D24" s="11">
        <f>IF(A24&gt;=Parametres!$B$60,Parametres!$B$62,0)</f>
        <v>48732</v>
      </c>
      <c r="E24" s="11">
        <f>IF(A24&gt;=Parametres!$B$65,Parametres!$B$67,0)</f>
        <v>71284</v>
      </c>
      <c r="F24" s="11">
        <f t="shared" si="0"/>
        <v>265641.55000000005</v>
      </c>
      <c r="G24" s="11">
        <f>F24*Parametres!$B$53</f>
        <v>75707.841750000007</v>
      </c>
      <c r="H24" s="11">
        <f>F24*Parametres!$B$56</f>
        <v>119538.69750000002</v>
      </c>
      <c r="I24" s="11">
        <f>IF(A24&lt;Parametres!$B$21,IF(A24&lt;=12,Parametres!$B$18,Parametres!$B$18*(1+Parametres!$B$20)),IF(A24&lt;=24,Parametres!$B$19*(1+Parametres!$B$20),Parametres!$B$19*POWER(1+Parametres!$B$20,2)))</f>
        <v>11124</v>
      </c>
      <c r="J24" s="11">
        <f>Parametres!$B$30</f>
        <v>16680</v>
      </c>
      <c r="K24" s="11">
        <f>IF(A24&lt;Parametres!$B$12,0,IF(A24&lt;=24,Parametres!$B$14,Parametres!$B$15))</f>
        <v>9280.9695000000011</v>
      </c>
      <c r="L24" s="11">
        <f t="shared" si="1"/>
        <v>33310.041250000002</v>
      </c>
      <c r="M24" s="12">
        <f t="shared" si="2"/>
        <v>0.12539469540815432</v>
      </c>
      <c r="N24" s="11">
        <f>F24*Parametres!$B$24</f>
        <v>26564.155000000006</v>
      </c>
      <c r="O24" s="11">
        <f>F24*Parametres!$B$25</f>
        <v>53128.310000000012</v>
      </c>
      <c r="P24" s="11">
        <f>IF(A24&lt;=Parametres!$B$27,0,MIN(L24,N24))</f>
        <v>26564.155000000006</v>
      </c>
      <c r="Q24" s="11">
        <f t="shared" si="3"/>
        <v>6745.8862499999959</v>
      </c>
      <c r="R24" s="11">
        <f t="shared" si="4"/>
        <v>0</v>
      </c>
      <c r="S24" s="11">
        <f>R24*Parametres!$B$26</f>
        <v>0</v>
      </c>
      <c r="T24" s="11">
        <f>R24*Parametres!$B$26</f>
        <v>0</v>
      </c>
      <c r="U24" s="11">
        <f t="shared" si="5"/>
        <v>26564.155000000006</v>
      </c>
      <c r="V24" s="11">
        <f t="shared" si="6"/>
        <v>6745.8862499999959</v>
      </c>
      <c r="W24" s="11">
        <f t="shared" si="7"/>
        <v>0</v>
      </c>
      <c r="X24" s="11">
        <f t="shared" si="8"/>
        <v>69487.650000000009</v>
      </c>
      <c r="Y24" s="14"/>
    </row>
    <row r="25" spans="1:25" x14ac:dyDescent="0.25">
      <c r="A25" s="6">
        <v>21</v>
      </c>
      <c r="B25" s="6" t="s">
        <v>145</v>
      </c>
      <c r="C25" s="7">
        <f>Parametres!$B$33*(1+Parametres!$B$48)*Parametres!$B$42</f>
        <v>152906.82750000001</v>
      </c>
      <c r="D25" s="7">
        <f>IF(A25&gt;=Parametres!$B$60,Parametres!$B$62,0)</f>
        <v>48732</v>
      </c>
      <c r="E25" s="7">
        <f>IF(A25&gt;=Parametres!$B$65,Parametres!$B$67,0)</f>
        <v>71284</v>
      </c>
      <c r="F25" s="7">
        <f t="shared" si="0"/>
        <v>272922.82750000001</v>
      </c>
      <c r="G25" s="7">
        <f>F25*Parametres!$B$53</f>
        <v>77783.005837499994</v>
      </c>
      <c r="H25" s="7">
        <f>F25*Parametres!$B$56</f>
        <v>122815.27237500002</v>
      </c>
      <c r="I25" s="7">
        <f>IF(A25&lt;Parametres!$B$21,IF(A25&lt;=12,Parametres!$B$18,Parametres!$B$18*(1+Parametres!$B$20)),IF(A25&lt;=24,Parametres!$B$19*(1+Parametres!$B$20),Parametres!$B$19*POWER(1+Parametres!$B$20,2)))</f>
        <v>11124</v>
      </c>
      <c r="J25" s="7">
        <f>Parametres!$B$30</f>
        <v>16680</v>
      </c>
      <c r="K25" s="7">
        <f>IF(A25&lt;Parametres!$B$12,0,IF(A25&lt;=24,Parametres!$B$14,Parametres!$B$15))</f>
        <v>9280.9695000000011</v>
      </c>
      <c r="L25" s="7">
        <f t="shared" si="1"/>
        <v>35239.579787500021</v>
      </c>
      <c r="M25" s="8">
        <f t="shared" si="2"/>
        <v>0.12911920966926088</v>
      </c>
      <c r="N25" s="7">
        <f>F25*Parametres!$B$24</f>
        <v>27292.282750000002</v>
      </c>
      <c r="O25" s="7">
        <f>F25*Parametres!$B$25</f>
        <v>54584.565500000004</v>
      </c>
      <c r="P25" s="7">
        <f>IF(A25&lt;=Parametres!$B$27,0,MIN(L25,N25))</f>
        <v>27292.282750000002</v>
      </c>
      <c r="Q25" s="7">
        <f t="shared" si="3"/>
        <v>7947.2970375000186</v>
      </c>
      <c r="R25" s="7">
        <f t="shared" si="4"/>
        <v>0</v>
      </c>
      <c r="S25" s="7">
        <f>R25*Parametres!$B$26</f>
        <v>0</v>
      </c>
      <c r="T25" s="7">
        <f>R25*Parametres!$B$26</f>
        <v>0</v>
      </c>
      <c r="U25" s="7">
        <f t="shared" si="5"/>
        <v>27292.282750000002</v>
      </c>
      <c r="V25" s="7">
        <f t="shared" si="6"/>
        <v>7947.2970375000186</v>
      </c>
      <c r="W25" s="7">
        <f t="shared" si="7"/>
        <v>0</v>
      </c>
      <c r="X25" s="7">
        <f t="shared" si="8"/>
        <v>69487.650000000009</v>
      </c>
    </row>
    <row r="26" spans="1:25" x14ac:dyDescent="0.25">
      <c r="A26" s="10">
        <v>22</v>
      </c>
      <c r="B26" s="10" t="s">
        <v>146</v>
      </c>
      <c r="C26" s="11">
        <f>Parametres!$B$33*(1+Parametres!$B$48)*Parametres!$B$43</f>
        <v>167469.38250000001</v>
      </c>
      <c r="D26" s="11">
        <f>IF(A26&gt;=Parametres!$B$60,Parametres!$B$62,0)</f>
        <v>48732</v>
      </c>
      <c r="E26" s="11">
        <f>IF(A26&gt;=Parametres!$B$65,Parametres!$B$67,0)</f>
        <v>71284</v>
      </c>
      <c r="F26" s="11">
        <f t="shared" si="0"/>
        <v>287485.38250000001</v>
      </c>
      <c r="G26" s="11">
        <f>F26*Parametres!$B$53</f>
        <v>81933.334012499996</v>
      </c>
      <c r="H26" s="11">
        <f>F26*Parametres!$B$56</f>
        <v>129368.42212500001</v>
      </c>
      <c r="I26" s="11">
        <f>IF(A26&lt;Parametres!$B$21,IF(A26&lt;=12,Parametres!$B$18,Parametres!$B$18*(1+Parametres!$B$20)),IF(A26&lt;=24,Parametres!$B$19*(1+Parametres!$B$20),Parametres!$B$19*POWER(1+Parametres!$B$20,2)))</f>
        <v>11124</v>
      </c>
      <c r="J26" s="11">
        <f>Parametres!$B$30</f>
        <v>16680</v>
      </c>
      <c r="K26" s="11">
        <f>IF(A26&lt;Parametres!$B$12,0,IF(A26&lt;=24,Parametres!$B$14,Parametres!$B$15))</f>
        <v>9280.9695000000011</v>
      </c>
      <c r="L26" s="11">
        <f t="shared" si="1"/>
        <v>39098.656862499985</v>
      </c>
      <c r="M26" s="12">
        <f t="shared" si="2"/>
        <v>0.13600224304447892</v>
      </c>
      <c r="N26" s="11">
        <f>F26*Parametres!$B$24</f>
        <v>28748.538250000001</v>
      </c>
      <c r="O26" s="11">
        <f>F26*Parametres!$B$25</f>
        <v>57497.076500000003</v>
      </c>
      <c r="P26" s="11">
        <f>IF(A26&lt;=Parametres!$B$27,0,MIN(L26,N26))</f>
        <v>28748.538250000001</v>
      </c>
      <c r="Q26" s="11">
        <f t="shared" si="3"/>
        <v>10350.118612499984</v>
      </c>
      <c r="R26" s="11">
        <f t="shared" si="4"/>
        <v>0</v>
      </c>
      <c r="S26" s="11">
        <f>R26*Parametres!$B$26</f>
        <v>0</v>
      </c>
      <c r="T26" s="11">
        <f>R26*Parametres!$B$26</f>
        <v>0</v>
      </c>
      <c r="U26" s="11">
        <f t="shared" si="5"/>
        <v>28748.538250000001</v>
      </c>
      <c r="V26" s="11">
        <f t="shared" si="6"/>
        <v>10350.118612499984</v>
      </c>
      <c r="W26" s="11">
        <f t="shared" si="7"/>
        <v>0</v>
      </c>
      <c r="X26" s="11">
        <f t="shared" si="8"/>
        <v>69487.650000000009</v>
      </c>
      <c r="Y26" s="14"/>
    </row>
    <row r="27" spans="1:25" x14ac:dyDescent="0.25">
      <c r="A27" s="6">
        <v>23</v>
      </c>
      <c r="B27" s="6" t="s">
        <v>147</v>
      </c>
      <c r="C27" s="7">
        <f>Parametres!$B$33*(1+Parametres!$B$48)*Parametres!$B$44</f>
        <v>167469.38250000001</v>
      </c>
      <c r="D27" s="7">
        <f>IF(A27&gt;=Parametres!$B$60,Parametres!$B$62,0)</f>
        <v>48732</v>
      </c>
      <c r="E27" s="7">
        <f>IF(A27&gt;=Parametres!$B$65,Parametres!$B$67,0)</f>
        <v>71284</v>
      </c>
      <c r="F27" s="7">
        <f t="shared" si="0"/>
        <v>287485.38250000001</v>
      </c>
      <c r="G27" s="7">
        <f>F27*Parametres!$B$53</f>
        <v>81933.334012499996</v>
      </c>
      <c r="H27" s="7">
        <f>F27*Parametres!$B$56</f>
        <v>129368.42212500001</v>
      </c>
      <c r="I27" s="7">
        <f>IF(A27&lt;Parametres!$B$21,IF(A27&lt;=12,Parametres!$B$18,Parametres!$B$18*(1+Parametres!$B$20)),IF(A27&lt;=24,Parametres!$B$19*(1+Parametres!$B$20),Parametres!$B$19*POWER(1+Parametres!$B$20,2)))</f>
        <v>11124</v>
      </c>
      <c r="J27" s="7">
        <f>Parametres!$B$30</f>
        <v>16680</v>
      </c>
      <c r="K27" s="7">
        <f>IF(A27&lt;Parametres!$B$12,0,IF(A27&lt;=24,Parametres!$B$14,Parametres!$B$15))</f>
        <v>9280.9695000000011</v>
      </c>
      <c r="L27" s="7">
        <f t="shared" si="1"/>
        <v>39098.656862499985</v>
      </c>
      <c r="M27" s="8">
        <f t="shared" si="2"/>
        <v>0.13600224304447892</v>
      </c>
      <c r="N27" s="7">
        <f>F27*Parametres!$B$24</f>
        <v>28748.538250000001</v>
      </c>
      <c r="O27" s="7">
        <f>F27*Parametres!$B$25</f>
        <v>57497.076500000003</v>
      </c>
      <c r="P27" s="7">
        <f>IF(A27&lt;=Parametres!$B$27,0,MIN(L27,N27))</f>
        <v>28748.538250000001</v>
      </c>
      <c r="Q27" s="7">
        <f t="shared" si="3"/>
        <v>10350.118612499984</v>
      </c>
      <c r="R27" s="7">
        <f t="shared" si="4"/>
        <v>0</v>
      </c>
      <c r="S27" s="7">
        <f>R27*Parametres!$B$26</f>
        <v>0</v>
      </c>
      <c r="T27" s="7">
        <f>R27*Parametres!$B$26</f>
        <v>0</v>
      </c>
      <c r="U27" s="7">
        <f t="shared" si="5"/>
        <v>28748.538250000001</v>
      </c>
      <c r="V27" s="7">
        <f t="shared" si="6"/>
        <v>10350.118612499984</v>
      </c>
      <c r="W27" s="7">
        <f t="shared" si="7"/>
        <v>0</v>
      </c>
      <c r="X27" s="7">
        <f t="shared" si="8"/>
        <v>69487.650000000009</v>
      </c>
    </row>
    <row r="28" spans="1:25" x14ac:dyDescent="0.25">
      <c r="A28" s="10">
        <v>24</v>
      </c>
      <c r="B28" s="10" t="s">
        <v>148</v>
      </c>
      <c r="C28" s="11">
        <f>Parametres!$B$33*(1+Parametres!$B$48)*Parametres!$B$45</f>
        <v>167469.38250000001</v>
      </c>
      <c r="D28" s="11">
        <f>IF(A28&gt;=Parametres!$B$60,Parametres!$B$62,0)</f>
        <v>48732</v>
      </c>
      <c r="E28" s="11">
        <f>IF(A28&gt;=Parametres!$B$65,Parametres!$B$67,0)</f>
        <v>71284</v>
      </c>
      <c r="F28" s="11">
        <f t="shared" si="0"/>
        <v>287485.38250000001</v>
      </c>
      <c r="G28" s="11">
        <f>F28*Parametres!$B$53</f>
        <v>81933.334012499996</v>
      </c>
      <c r="H28" s="11">
        <f>F28*Parametres!$B$56</f>
        <v>129368.42212500001</v>
      </c>
      <c r="I28" s="11">
        <f>IF(A28&lt;Parametres!$B$21,IF(A28&lt;=12,Parametres!$B$18,Parametres!$B$18*(1+Parametres!$B$20)),IF(A28&lt;=24,Parametres!$B$19*(1+Parametres!$B$20),Parametres!$B$19*POWER(1+Parametres!$B$20,2)))</f>
        <v>11124</v>
      </c>
      <c r="J28" s="11">
        <f>Parametres!$B$30</f>
        <v>16680</v>
      </c>
      <c r="K28" s="11">
        <f>IF(A28&lt;Parametres!$B$12,0,IF(A28&lt;=24,Parametres!$B$14,Parametres!$B$15))</f>
        <v>9280.9695000000011</v>
      </c>
      <c r="L28" s="11">
        <f t="shared" si="1"/>
        <v>39098.656862499985</v>
      </c>
      <c r="M28" s="12">
        <f t="shared" si="2"/>
        <v>0.13600224304447892</v>
      </c>
      <c r="N28" s="11">
        <f>F28*Parametres!$B$24</f>
        <v>28748.538250000001</v>
      </c>
      <c r="O28" s="11">
        <f>F28*Parametres!$B$25</f>
        <v>57497.076500000003</v>
      </c>
      <c r="P28" s="11">
        <f>IF(A28&lt;=Parametres!$B$27,0,MIN(L28,N28))</f>
        <v>28748.538250000001</v>
      </c>
      <c r="Q28" s="11">
        <f t="shared" si="3"/>
        <v>10350.118612499984</v>
      </c>
      <c r="R28" s="11">
        <f t="shared" si="4"/>
        <v>0</v>
      </c>
      <c r="S28" s="11">
        <f>R28*Parametres!$B$26</f>
        <v>0</v>
      </c>
      <c r="T28" s="11">
        <f>R28*Parametres!$B$26</f>
        <v>0</v>
      </c>
      <c r="U28" s="11">
        <f t="shared" si="5"/>
        <v>28748.538250000001</v>
      </c>
      <c r="V28" s="11">
        <f t="shared" si="6"/>
        <v>10350.118612499984</v>
      </c>
      <c r="W28" s="11">
        <f t="shared" si="7"/>
        <v>0</v>
      </c>
      <c r="X28" s="11">
        <f t="shared" si="8"/>
        <v>69487.650000000009</v>
      </c>
      <c r="Y28" s="14"/>
    </row>
    <row r="29" spans="1:25" x14ac:dyDescent="0.25">
      <c r="A29" s="6">
        <v>25</v>
      </c>
      <c r="B29" s="6" t="s">
        <v>149</v>
      </c>
      <c r="C29" s="7">
        <f>Parametres!$B$33*POWER(1+Parametres!$B$48,2)*Parametres!$B$34</f>
        <v>160552.16887500003</v>
      </c>
      <c r="D29" s="7">
        <f>IF(A29&gt;=Parametres!$B$60,Parametres!$B$62,0)</f>
        <v>48732</v>
      </c>
      <c r="E29" s="7">
        <f>IF(A29&gt;=Parametres!$B$65,Parametres!$B$67,0)</f>
        <v>71284</v>
      </c>
      <c r="F29" s="7">
        <f t="shared" si="0"/>
        <v>280568.16887500003</v>
      </c>
      <c r="G29" s="7">
        <f>F29*Parametres!$B$53</f>
        <v>79961.928129374995</v>
      </c>
      <c r="H29" s="7">
        <f>F29*Parametres!$B$56</f>
        <v>126255.67599375002</v>
      </c>
      <c r="I29" s="7">
        <f>IF(A29&lt;Parametres!$B$21,IF(A29&lt;=12,Parametres!$B$18,Parametres!$B$18*(1+Parametres!$B$20)),IF(A29&lt;=24,Parametres!$B$19*(1+Parametres!$B$20),Parametres!$B$19*POWER(1+Parametres!$B$20,2)))</f>
        <v>11457.72</v>
      </c>
      <c r="J29" s="7">
        <f>Parametres!$B$30</f>
        <v>16680</v>
      </c>
      <c r="K29" s="7">
        <f>IF(A29&lt;Parametres!$B$12,0,IF(A29&lt;=24,Parametres!$B$14,Parametres!$B$15))</f>
        <v>17254</v>
      </c>
      <c r="L29" s="7">
        <f t="shared" si="1"/>
        <v>28958.844751875033</v>
      </c>
      <c r="M29" s="8">
        <f t="shared" si="2"/>
        <v>0.10321500428217466</v>
      </c>
      <c r="N29" s="7">
        <f>F29*Parametres!$B$24</f>
        <v>28056.816887500005</v>
      </c>
      <c r="O29" s="7">
        <f>F29*Parametres!$B$25</f>
        <v>56113.633775000009</v>
      </c>
      <c r="P29" s="7">
        <f>IF(A29&lt;=Parametres!$B$27,0,MIN(L29,N29))</f>
        <v>28056.816887500005</v>
      </c>
      <c r="Q29" s="7">
        <f t="shared" si="3"/>
        <v>902.027864375028</v>
      </c>
      <c r="R29" s="7">
        <f t="shared" si="4"/>
        <v>0</v>
      </c>
      <c r="S29" s="7">
        <f>R29*Parametres!$B$26</f>
        <v>0</v>
      </c>
      <c r="T29" s="7">
        <f>R29*Parametres!$B$26</f>
        <v>0</v>
      </c>
      <c r="U29" s="7">
        <f t="shared" si="5"/>
        <v>28056.816887500005</v>
      </c>
      <c r="V29" s="7">
        <f t="shared" si="6"/>
        <v>902.027864375028</v>
      </c>
      <c r="W29" s="7">
        <f t="shared" si="7"/>
        <v>0</v>
      </c>
      <c r="X29" s="7">
        <f t="shared" si="8"/>
        <v>69487.650000000009</v>
      </c>
    </row>
    <row r="30" spans="1:25" x14ac:dyDescent="0.25">
      <c r="A30" s="10">
        <v>26</v>
      </c>
      <c r="B30" s="10" t="s">
        <v>150</v>
      </c>
      <c r="C30" s="11">
        <f>Parametres!$B$33*POWER(1+Parametres!$B$48,2)*Parametres!$B$35</f>
        <v>152906.82750000001</v>
      </c>
      <c r="D30" s="11">
        <f>IF(A30&gt;=Parametres!$B$60,Parametres!$B$62,0)</f>
        <v>48732</v>
      </c>
      <c r="E30" s="11">
        <f>IF(A30&gt;=Parametres!$B$65,Parametres!$B$67,0)</f>
        <v>71284</v>
      </c>
      <c r="F30" s="11">
        <f t="shared" si="0"/>
        <v>272922.82750000001</v>
      </c>
      <c r="G30" s="11">
        <f>F30*Parametres!$B$53</f>
        <v>77783.005837499994</v>
      </c>
      <c r="H30" s="11">
        <f>F30*Parametres!$B$56</f>
        <v>122815.27237500002</v>
      </c>
      <c r="I30" s="11">
        <f>IF(A30&lt;Parametres!$B$21,IF(A30&lt;=12,Parametres!$B$18,Parametres!$B$18*(1+Parametres!$B$20)),IF(A30&lt;=24,Parametres!$B$19*(1+Parametres!$B$20),Parametres!$B$19*POWER(1+Parametres!$B$20,2)))</f>
        <v>11457.72</v>
      </c>
      <c r="J30" s="11">
        <f>Parametres!$B$30</f>
        <v>16680</v>
      </c>
      <c r="K30" s="11">
        <f>IF(A30&lt;Parametres!$B$12,0,IF(A30&lt;=24,Parametres!$B$14,Parametres!$B$15))</f>
        <v>17254</v>
      </c>
      <c r="L30" s="11">
        <f t="shared" si="1"/>
        <v>26932.829287500019</v>
      </c>
      <c r="M30" s="12">
        <f t="shared" si="2"/>
        <v>9.8682948341871538E-2</v>
      </c>
      <c r="N30" s="11">
        <f>F30*Parametres!$B$24</f>
        <v>27292.282750000002</v>
      </c>
      <c r="O30" s="11">
        <f>F30*Parametres!$B$25</f>
        <v>54584.565500000004</v>
      </c>
      <c r="P30" s="11">
        <f>IF(A30&lt;=Parametres!$B$27,0,MIN(L30,N30))</f>
        <v>26932.829287500019</v>
      </c>
      <c r="Q30" s="11">
        <f t="shared" si="3"/>
        <v>0</v>
      </c>
      <c r="R30" s="11">
        <f t="shared" si="4"/>
        <v>0</v>
      </c>
      <c r="S30" s="11">
        <f>R30*Parametres!$B$26</f>
        <v>0</v>
      </c>
      <c r="T30" s="11">
        <f>R30*Parametres!$B$26</f>
        <v>0</v>
      </c>
      <c r="U30" s="11">
        <f t="shared" si="5"/>
        <v>26932.829287500019</v>
      </c>
      <c r="V30" s="11">
        <f t="shared" si="6"/>
        <v>0</v>
      </c>
      <c r="W30" s="11">
        <f t="shared" si="7"/>
        <v>0</v>
      </c>
      <c r="X30" s="11">
        <f t="shared" si="8"/>
        <v>69487.650000000009</v>
      </c>
      <c r="Y30" s="14"/>
    </row>
    <row r="31" spans="1:25" x14ac:dyDescent="0.25">
      <c r="A31" s="6">
        <v>27</v>
      </c>
      <c r="B31" s="6" t="s">
        <v>151</v>
      </c>
      <c r="C31" s="7">
        <f>Parametres!$B$33*POWER(1+Parametres!$B$48,2)*Parametres!$B$36</f>
        <v>129970.803375</v>
      </c>
      <c r="D31" s="7">
        <f>IF(A31&gt;=Parametres!$B$60,Parametres!$B$62,0)</f>
        <v>48732</v>
      </c>
      <c r="E31" s="7">
        <f>IF(A31&gt;=Parametres!$B$65,Parametres!$B$67,0)</f>
        <v>71284</v>
      </c>
      <c r="F31" s="7">
        <f t="shared" si="0"/>
        <v>249986.80337500002</v>
      </c>
      <c r="G31" s="7">
        <f>F31*Parametres!$B$53</f>
        <v>71246.238961875002</v>
      </c>
      <c r="H31" s="7">
        <f>F31*Parametres!$B$56</f>
        <v>112494.06151875001</v>
      </c>
      <c r="I31" s="7">
        <f>IF(A31&lt;Parametres!$B$21,IF(A31&lt;=12,Parametres!$B$18,Parametres!$B$18*(1+Parametres!$B$20)),IF(A31&lt;=24,Parametres!$B$19*(1+Parametres!$B$20),Parametres!$B$19*POWER(1+Parametres!$B$20,2)))</f>
        <v>11457.72</v>
      </c>
      <c r="J31" s="7">
        <f>Parametres!$B$30</f>
        <v>16680</v>
      </c>
      <c r="K31" s="7">
        <f>IF(A31&lt;Parametres!$B$12,0,IF(A31&lt;=24,Parametres!$B$14,Parametres!$B$15))</f>
        <v>17254</v>
      </c>
      <c r="L31" s="7">
        <f t="shared" si="1"/>
        <v>20854.782894375006</v>
      </c>
      <c r="M31" s="8">
        <f t="shared" si="2"/>
        <v>8.3423535213941594E-2</v>
      </c>
      <c r="N31" s="7">
        <f>F31*Parametres!$B$24</f>
        <v>24998.680337500002</v>
      </c>
      <c r="O31" s="7">
        <f>F31*Parametres!$B$25</f>
        <v>49997.360675000004</v>
      </c>
      <c r="P31" s="7">
        <f>IF(A31&lt;=Parametres!$B$27,0,MIN(L31,N31))</f>
        <v>20854.782894375006</v>
      </c>
      <c r="Q31" s="7">
        <f t="shared" si="3"/>
        <v>0</v>
      </c>
      <c r="R31" s="7">
        <f t="shared" si="4"/>
        <v>0</v>
      </c>
      <c r="S31" s="7">
        <f>R31*Parametres!$B$26</f>
        <v>0</v>
      </c>
      <c r="T31" s="7">
        <f>R31*Parametres!$B$26</f>
        <v>0</v>
      </c>
      <c r="U31" s="7">
        <f t="shared" si="5"/>
        <v>20854.782894375006</v>
      </c>
      <c r="V31" s="7">
        <f t="shared" si="6"/>
        <v>0</v>
      </c>
      <c r="W31" s="7">
        <f t="shared" si="7"/>
        <v>0</v>
      </c>
      <c r="X31" s="7">
        <f t="shared" si="8"/>
        <v>69487.650000000009</v>
      </c>
    </row>
    <row r="32" spans="1:25" x14ac:dyDescent="0.25">
      <c r="A32" s="10">
        <v>28</v>
      </c>
      <c r="B32" s="10" t="s">
        <v>152</v>
      </c>
      <c r="C32" s="11">
        <f>Parametres!$B$33*POWER(1+Parametres!$B$48,2)*Parametres!$B$37</f>
        <v>122325.46200000001</v>
      </c>
      <c r="D32" s="11">
        <f>IF(A32&gt;=Parametres!$B$60,Parametres!$B$62,0)</f>
        <v>48732</v>
      </c>
      <c r="E32" s="11">
        <f>IF(A32&gt;=Parametres!$B$65,Parametres!$B$67,0)</f>
        <v>71284</v>
      </c>
      <c r="F32" s="11">
        <f t="shared" si="0"/>
        <v>242341.462</v>
      </c>
      <c r="G32" s="11">
        <f>F32*Parametres!$B$53</f>
        <v>69067.31667</v>
      </c>
      <c r="H32" s="11">
        <f>F32*Parametres!$B$56</f>
        <v>109053.65790000001</v>
      </c>
      <c r="I32" s="11">
        <f>IF(A32&lt;Parametres!$B$21,IF(A32&lt;=12,Parametres!$B$18,Parametres!$B$18*(1+Parametres!$B$20)),IF(A32&lt;=24,Parametres!$B$19*(1+Parametres!$B$20),Parametres!$B$19*POWER(1+Parametres!$B$20,2)))</f>
        <v>11457.72</v>
      </c>
      <c r="J32" s="11">
        <f>Parametres!$B$30</f>
        <v>16680</v>
      </c>
      <c r="K32" s="11">
        <f>IF(A32&lt;Parametres!$B$12,0,IF(A32&lt;=24,Parametres!$B$14,Parametres!$B$15))</f>
        <v>17254</v>
      </c>
      <c r="L32" s="11">
        <f t="shared" si="1"/>
        <v>18828.767429999993</v>
      </c>
      <c r="M32" s="12">
        <f t="shared" si="2"/>
        <v>7.7695196169114439E-2</v>
      </c>
      <c r="N32" s="11">
        <f>F32*Parametres!$B$24</f>
        <v>24234.146200000003</v>
      </c>
      <c r="O32" s="11">
        <f>F32*Parametres!$B$25</f>
        <v>48468.292400000006</v>
      </c>
      <c r="P32" s="11">
        <f>IF(A32&lt;=Parametres!$B$27,0,MIN(L32,N32))</f>
        <v>18828.767429999993</v>
      </c>
      <c r="Q32" s="11">
        <f t="shared" si="3"/>
        <v>0</v>
      </c>
      <c r="R32" s="11">
        <f t="shared" si="4"/>
        <v>0</v>
      </c>
      <c r="S32" s="11">
        <f>R32*Parametres!$B$26</f>
        <v>0</v>
      </c>
      <c r="T32" s="11">
        <f>R32*Parametres!$B$26</f>
        <v>0</v>
      </c>
      <c r="U32" s="11">
        <f t="shared" si="5"/>
        <v>18828.767429999993</v>
      </c>
      <c r="V32" s="11">
        <f t="shared" si="6"/>
        <v>0</v>
      </c>
      <c r="W32" s="11">
        <f t="shared" si="7"/>
        <v>0</v>
      </c>
      <c r="X32" s="11">
        <f t="shared" si="8"/>
        <v>69487.650000000009</v>
      </c>
      <c r="Y32" s="14"/>
    </row>
    <row r="33" spans="1:25" x14ac:dyDescent="0.25">
      <c r="A33" s="6">
        <v>29</v>
      </c>
      <c r="B33" s="6" t="s">
        <v>153</v>
      </c>
      <c r="C33" s="7">
        <f>Parametres!$B$33*POWER(1+Parametres!$B$48,2)*Parametres!$B$38</f>
        <v>122325.46200000001</v>
      </c>
      <c r="D33" s="7">
        <f>IF(A33&gt;=Parametres!$B$60,Parametres!$B$62,0)</f>
        <v>48732</v>
      </c>
      <c r="E33" s="7">
        <f>IF(A33&gt;=Parametres!$B$65,Parametres!$B$67,0)</f>
        <v>71284</v>
      </c>
      <c r="F33" s="7">
        <f t="shared" si="0"/>
        <v>242341.462</v>
      </c>
      <c r="G33" s="7">
        <f>F33*Parametres!$B$53</f>
        <v>69067.31667</v>
      </c>
      <c r="H33" s="7">
        <f>F33*Parametres!$B$56</f>
        <v>109053.65790000001</v>
      </c>
      <c r="I33" s="7">
        <f>IF(A33&lt;Parametres!$B$21,IF(A33&lt;=12,Parametres!$B$18,Parametres!$B$18*(1+Parametres!$B$20)),IF(A33&lt;=24,Parametres!$B$19*(1+Parametres!$B$20),Parametres!$B$19*POWER(1+Parametres!$B$20,2)))</f>
        <v>11457.72</v>
      </c>
      <c r="J33" s="7">
        <f>Parametres!$B$30</f>
        <v>16680</v>
      </c>
      <c r="K33" s="7">
        <f>IF(A33&lt;Parametres!$B$12,0,IF(A33&lt;=24,Parametres!$B$14,Parametres!$B$15))</f>
        <v>17254</v>
      </c>
      <c r="L33" s="7">
        <f t="shared" si="1"/>
        <v>18828.767429999993</v>
      </c>
      <c r="M33" s="8">
        <f t="shared" si="2"/>
        <v>7.7695196169114439E-2</v>
      </c>
      <c r="N33" s="7">
        <f>F33*Parametres!$B$24</f>
        <v>24234.146200000003</v>
      </c>
      <c r="O33" s="7">
        <f>F33*Parametres!$B$25</f>
        <v>48468.292400000006</v>
      </c>
      <c r="P33" s="7">
        <f>IF(A33&lt;=Parametres!$B$27,0,MIN(L33,N33))</f>
        <v>18828.767429999993</v>
      </c>
      <c r="Q33" s="7">
        <f t="shared" si="3"/>
        <v>0</v>
      </c>
      <c r="R33" s="7">
        <f t="shared" si="4"/>
        <v>0</v>
      </c>
      <c r="S33" s="7">
        <f>R33*Parametres!$B$26</f>
        <v>0</v>
      </c>
      <c r="T33" s="7">
        <f>R33*Parametres!$B$26</f>
        <v>0</v>
      </c>
      <c r="U33" s="7">
        <f t="shared" si="5"/>
        <v>18828.767429999993</v>
      </c>
      <c r="V33" s="7">
        <f t="shared" si="6"/>
        <v>0</v>
      </c>
      <c r="W33" s="7">
        <f t="shared" si="7"/>
        <v>0</v>
      </c>
      <c r="X33" s="7">
        <f t="shared" si="8"/>
        <v>69487.650000000009</v>
      </c>
    </row>
    <row r="34" spans="1:25" x14ac:dyDescent="0.25">
      <c r="A34" s="10">
        <v>30</v>
      </c>
      <c r="B34" s="10" t="s">
        <v>154</v>
      </c>
      <c r="C34" s="11">
        <f>Parametres!$B$33*POWER(1+Parametres!$B$48,2)*Parametres!$B$39</f>
        <v>114680.12062500001</v>
      </c>
      <c r="D34" s="11">
        <f>IF(A34&gt;=Parametres!$B$60,Parametres!$B$62,0)</f>
        <v>48732</v>
      </c>
      <c r="E34" s="11">
        <f>IF(A34&gt;=Parametres!$B$65,Parametres!$B$67,0)</f>
        <v>71284</v>
      </c>
      <c r="F34" s="11">
        <f t="shared" si="0"/>
        <v>234696.12062500001</v>
      </c>
      <c r="G34" s="11">
        <f>F34*Parametres!$B$53</f>
        <v>66888.394378124998</v>
      </c>
      <c r="H34" s="11">
        <f>F34*Parametres!$B$56</f>
        <v>105613.25428125</v>
      </c>
      <c r="I34" s="11">
        <f>IF(A34&lt;Parametres!$B$21,IF(A34&lt;=12,Parametres!$B$18,Parametres!$B$18*(1+Parametres!$B$20)),IF(A34&lt;=24,Parametres!$B$19*(1+Parametres!$B$20),Parametres!$B$19*POWER(1+Parametres!$B$20,2)))</f>
        <v>11457.72</v>
      </c>
      <c r="J34" s="11">
        <f>Parametres!$B$30</f>
        <v>16680</v>
      </c>
      <c r="K34" s="11">
        <f>IF(A34&lt;Parametres!$B$12,0,IF(A34&lt;=24,Parametres!$B$14,Parametres!$B$15))</f>
        <v>17254</v>
      </c>
      <c r="L34" s="11">
        <f t="shared" si="1"/>
        <v>16802.751965625008</v>
      </c>
      <c r="M34" s="12">
        <f t="shared" si="2"/>
        <v>7.1593650209807375E-2</v>
      </c>
      <c r="N34" s="11">
        <f>F34*Parametres!$B$24</f>
        <v>23469.612062500004</v>
      </c>
      <c r="O34" s="11">
        <f>F34*Parametres!$B$25</f>
        <v>46939.224125000008</v>
      </c>
      <c r="P34" s="11">
        <f>IF(A34&lt;=Parametres!$B$27,0,MIN(L34,N34))</f>
        <v>16802.751965625008</v>
      </c>
      <c r="Q34" s="11">
        <f t="shared" si="3"/>
        <v>0</v>
      </c>
      <c r="R34" s="11">
        <f t="shared" si="4"/>
        <v>0</v>
      </c>
      <c r="S34" s="11">
        <f>R34*Parametres!$B$26</f>
        <v>0</v>
      </c>
      <c r="T34" s="11">
        <f>R34*Parametres!$B$26</f>
        <v>0</v>
      </c>
      <c r="U34" s="11">
        <f t="shared" si="5"/>
        <v>16802.751965625008</v>
      </c>
      <c r="V34" s="11">
        <f t="shared" si="6"/>
        <v>0</v>
      </c>
      <c r="W34" s="11">
        <f t="shared" si="7"/>
        <v>0</v>
      </c>
      <c r="X34" s="11">
        <f t="shared" si="8"/>
        <v>69487.650000000009</v>
      </c>
      <c r="Y34" s="14"/>
    </row>
    <row r="35" spans="1:25" x14ac:dyDescent="0.25">
      <c r="A35" s="6">
        <v>31</v>
      </c>
      <c r="B35" s="6" t="s">
        <v>155</v>
      </c>
      <c r="C35" s="7">
        <f>Parametres!$B$33*POWER(1+Parametres!$B$48,2)*Parametres!$B$40</f>
        <v>137616.14475000001</v>
      </c>
      <c r="D35" s="7">
        <f>IF(A35&gt;=Parametres!$B$60,Parametres!$B$62,0)</f>
        <v>48732</v>
      </c>
      <c r="E35" s="7">
        <f>IF(A35&gt;=Parametres!$B$65,Parametres!$B$67,0)</f>
        <v>71284</v>
      </c>
      <c r="F35" s="7">
        <f t="shared" si="0"/>
        <v>257632.14475000001</v>
      </c>
      <c r="G35" s="7">
        <f>F35*Parametres!$B$53</f>
        <v>73425.16125374999</v>
      </c>
      <c r="H35" s="7">
        <f>F35*Parametres!$B$56</f>
        <v>115934.46513750001</v>
      </c>
      <c r="I35" s="7">
        <f>IF(A35&lt;Parametres!$B$21,IF(A35&lt;=12,Parametres!$B$18,Parametres!$B$18*(1+Parametres!$B$20)),IF(A35&lt;=24,Parametres!$B$19*(1+Parametres!$B$20),Parametres!$B$19*POWER(1+Parametres!$B$20,2)))</f>
        <v>11457.72</v>
      </c>
      <c r="J35" s="7">
        <f>Parametres!$B$30</f>
        <v>16680</v>
      </c>
      <c r="K35" s="7">
        <f>IF(A35&lt;Parametres!$B$12,0,IF(A35&lt;=24,Parametres!$B$14,Parametres!$B$15))</f>
        <v>17254</v>
      </c>
      <c r="L35" s="7">
        <f t="shared" si="1"/>
        <v>22880.798358749991</v>
      </c>
      <c r="M35" s="8">
        <f t="shared" si="2"/>
        <v>8.8811892556936028E-2</v>
      </c>
      <c r="N35" s="7">
        <f>F35*Parametres!$B$24</f>
        <v>25763.214475000001</v>
      </c>
      <c r="O35" s="7">
        <f>F35*Parametres!$B$25</f>
        <v>51526.428950000001</v>
      </c>
      <c r="P35" s="7">
        <f>IF(A35&lt;=Parametres!$B$27,0,MIN(L35,N35))</f>
        <v>22880.798358749991</v>
      </c>
      <c r="Q35" s="7">
        <f t="shared" si="3"/>
        <v>0</v>
      </c>
      <c r="R35" s="7">
        <f t="shared" si="4"/>
        <v>0</v>
      </c>
      <c r="S35" s="7">
        <f>R35*Parametres!$B$26</f>
        <v>0</v>
      </c>
      <c r="T35" s="7">
        <f>R35*Parametres!$B$26</f>
        <v>0</v>
      </c>
      <c r="U35" s="7">
        <f t="shared" si="5"/>
        <v>22880.798358749991</v>
      </c>
      <c r="V35" s="7">
        <f t="shared" si="6"/>
        <v>0</v>
      </c>
      <c r="W35" s="7">
        <f t="shared" si="7"/>
        <v>0</v>
      </c>
      <c r="X35" s="7">
        <f t="shared" si="8"/>
        <v>69487.650000000009</v>
      </c>
    </row>
    <row r="36" spans="1:25" x14ac:dyDescent="0.25">
      <c r="A36" s="10">
        <v>32</v>
      </c>
      <c r="B36" s="10" t="s">
        <v>156</v>
      </c>
      <c r="C36" s="11">
        <f>Parametres!$B$33*POWER(1+Parametres!$B$48,2)*Parametres!$B$41</f>
        <v>152906.82750000001</v>
      </c>
      <c r="D36" s="11">
        <f>IF(A36&gt;=Parametres!$B$60,Parametres!$B$62,0)</f>
        <v>48732</v>
      </c>
      <c r="E36" s="11">
        <f>IF(A36&gt;=Parametres!$B$65,Parametres!$B$67,0)</f>
        <v>71284</v>
      </c>
      <c r="F36" s="11">
        <f t="shared" si="0"/>
        <v>272922.82750000001</v>
      </c>
      <c r="G36" s="11">
        <f>F36*Parametres!$B$53</f>
        <v>77783.005837499994</v>
      </c>
      <c r="H36" s="11">
        <f>F36*Parametres!$B$56</f>
        <v>122815.27237500002</v>
      </c>
      <c r="I36" s="11">
        <f>IF(A36&lt;Parametres!$B$21,IF(A36&lt;=12,Parametres!$B$18,Parametres!$B$18*(1+Parametres!$B$20)),IF(A36&lt;=24,Parametres!$B$19*(1+Parametres!$B$20),Parametres!$B$19*POWER(1+Parametres!$B$20,2)))</f>
        <v>11457.72</v>
      </c>
      <c r="J36" s="11">
        <f>Parametres!$B$30</f>
        <v>16680</v>
      </c>
      <c r="K36" s="11">
        <f>IF(A36&lt;Parametres!$B$12,0,IF(A36&lt;=24,Parametres!$B$14,Parametres!$B$15))</f>
        <v>17254</v>
      </c>
      <c r="L36" s="11">
        <f t="shared" si="1"/>
        <v>26932.829287500019</v>
      </c>
      <c r="M36" s="12">
        <f t="shared" si="2"/>
        <v>9.8682948341871538E-2</v>
      </c>
      <c r="N36" s="11">
        <f>F36*Parametres!$B$24</f>
        <v>27292.282750000002</v>
      </c>
      <c r="O36" s="11">
        <f>F36*Parametres!$B$25</f>
        <v>54584.565500000004</v>
      </c>
      <c r="P36" s="11">
        <f>IF(A36&lt;=Parametres!$B$27,0,MIN(L36,N36))</f>
        <v>26932.829287500019</v>
      </c>
      <c r="Q36" s="11">
        <f t="shared" si="3"/>
        <v>0</v>
      </c>
      <c r="R36" s="11">
        <f t="shared" si="4"/>
        <v>0</v>
      </c>
      <c r="S36" s="11">
        <f>R36*Parametres!$B$26</f>
        <v>0</v>
      </c>
      <c r="T36" s="11">
        <f>R36*Parametres!$B$26</f>
        <v>0</v>
      </c>
      <c r="U36" s="11">
        <f t="shared" si="5"/>
        <v>26932.829287500019</v>
      </c>
      <c r="V36" s="11">
        <f t="shared" si="6"/>
        <v>0</v>
      </c>
      <c r="W36" s="11">
        <f t="shared" si="7"/>
        <v>0</v>
      </c>
      <c r="X36" s="11">
        <f t="shared" si="8"/>
        <v>69487.650000000009</v>
      </c>
      <c r="Y36" s="14"/>
    </row>
    <row r="37" spans="1:25" x14ac:dyDescent="0.25">
      <c r="A37" s="6">
        <v>33</v>
      </c>
      <c r="B37" s="6" t="s">
        <v>157</v>
      </c>
      <c r="C37" s="7">
        <f>Parametres!$B$33*POWER(1+Parametres!$B$48,2)*Parametres!$B$42</f>
        <v>160552.16887500003</v>
      </c>
      <c r="D37" s="7">
        <f>IF(A37&gt;=Parametres!$B$60,Parametres!$B$62,0)</f>
        <v>48732</v>
      </c>
      <c r="E37" s="7">
        <f>IF(A37&gt;=Parametres!$B$65,Parametres!$B$67,0)</f>
        <v>71284</v>
      </c>
      <c r="F37" s="7">
        <f t="shared" si="0"/>
        <v>280568.16887500003</v>
      </c>
      <c r="G37" s="7">
        <f>F37*Parametres!$B$53</f>
        <v>79961.928129374995</v>
      </c>
      <c r="H37" s="7">
        <f>F37*Parametres!$B$56</f>
        <v>126255.67599375002</v>
      </c>
      <c r="I37" s="7">
        <f>IF(A37&lt;Parametres!$B$21,IF(A37&lt;=12,Parametres!$B$18,Parametres!$B$18*(1+Parametres!$B$20)),IF(A37&lt;=24,Parametres!$B$19*(1+Parametres!$B$20),Parametres!$B$19*POWER(1+Parametres!$B$20,2)))</f>
        <v>11457.72</v>
      </c>
      <c r="J37" s="7">
        <f>Parametres!$B$30</f>
        <v>16680</v>
      </c>
      <c r="K37" s="7">
        <f>IF(A37&lt;Parametres!$B$12,0,IF(A37&lt;=24,Parametres!$B$14,Parametres!$B$15))</f>
        <v>17254</v>
      </c>
      <c r="L37" s="7">
        <f t="shared" si="1"/>
        <v>28958.844751875033</v>
      </c>
      <c r="M37" s="8">
        <f t="shared" si="2"/>
        <v>0.10321500428217466</v>
      </c>
      <c r="N37" s="7">
        <f>F37*Parametres!$B$24</f>
        <v>28056.816887500005</v>
      </c>
      <c r="O37" s="7">
        <f>F37*Parametres!$B$25</f>
        <v>56113.633775000009</v>
      </c>
      <c r="P37" s="7">
        <f>IF(A37&lt;=Parametres!$B$27,0,MIN(L37,N37))</f>
        <v>28056.816887500005</v>
      </c>
      <c r="Q37" s="7">
        <f t="shared" si="3"/>
        <v>902.027864375028</v>
      </c>
      <c r="R37" s="7">
        <f t="shared" si="4"/>
        <v>0</v>
      </c>
      <c r="S37" s="7">
        <f>R37*Parametres!$B$26</f>
        <v>0</v>
      </c>
      <c r="T37" s="7">
        <f>R37*Parametres!$B$26</f>
        <v>0</v>
      </c>
      <c r="U37" s="7">
        <f t="shared" si="5"/>
        <v>28056.816887500005</v>
      </c>
      <c r="V37" s="7">
        <f t="shared" si="6"/>
        <v>902.027864375028</v>
      </c>
      <c r="W37" s="7">
        <f t="shared" si="7"/>
        <v>0</v>
      </c>
      <c r="X37" s="7">
        <f t="shared" si="8"/>
        <v>69487.650000000009</v>
      </c>
    </row>
    <row r="38" spans="1:25" x14ac:dyDescent="0.25">
      <c r="A38" s="10">
        <v>34</v>
      </c>
      <c r="B38" s="10" t="s">
        <v>158</v>
      </c>
      <c r="C38" s="11">
        <f>Parametres!$B$33*POWER(1+Parametres!$B$48,2)*Parametres!$B$43</f>
        <v>175842.85162500001</v>
      </c>
      <c r="D38" s="11">
        <f>IF(A38&gt;=Parametres!$B$60,Parametres!$B$62,0)</f>
        <v>48732</v>
      </c>
      <c r="E38" s="11">
        <f>IF(A38&gt;=Parametres!$B$65,Parametres!$B$67,0)</f>
        <v>71284</v>
      </c>
      <c r="F38" s="11">
        <f t="shared" si="0"/>
        <v>295858.85162500001</v>
      </c>
      <c r="G38" s="11">
        <f>F38*Parametres!$B$53</f>
        <v>84319.772713124999</v>
      </c>
      <c r="H38" s="11">
        <f>F38*Parametres!$B$56</f>
        <v>133136.48323125002</v>
      </c>
      <c r="I38" s="11">
        <f>IF(A38&lt;Parametres!$B$21,IF(A38&lt;=12,Parametres!$B$18,Parametres!$B$18*(1+Parametres!$B$20)),IF(A38&lt;=24,Parametres!$B$19*(1+Parametres!$B$20),Parametres!$B$19*POWER(1+Parametres!$B$20,2)))</f>
        <v>11457.72</v>
      </c>
      <c r="J38" s="11">
        <f>Parametres!$B$30</f>
        <v>16680</v>
      </c>
      <c r="K38" s="11">
        <f>IF(A38&lt;Parametres!$B$12,0,IF(A38&lt;=24,Parametres!$B$14,Parametres!$B$15))</f>
        <v>17254</v>
      </c>
      <c r="L38" s="11">
        <f t="shared" si="1"/>
        <v>33010.875680625002</v>
      </c>
      <c r="M38" s="12">
        <f t="shared" si="2"/>
        <v>0.11157643416552622</v>
      </c>
      <c r="N38" s="11">
        <f>F38*Parametres!$B$24</f>
        <v>29585.885162500002</v>
      </c>
      <c r="O38" s="11">
        <f>F38*Parametres!$B$25</f>
        <v>59171.770325000005</v>
      </c>
      <c r="P38" s="11">
        <f>IF(A38&lt;=Parametres!$B$27,0,MIN(L38,N38))</f>
        <v>29585.885162500002</v>
      </c>
      <c r="Q38" s="11">
        <f t="shared" si="3"/>
        <v>3424.9905181249997</v>
      </c>
      <c r="R38" s="11">
        <f t="shared" si="4"/>
        <v>0</v>
      </c>
      <c r="S38" s="11">
        <f>R38*Parametres!$B$26</f>
        <v>0</v>
      </c>
      <c r="T38" s="11">
        <f>R38*Parametres!$B$26</f>
        <v>0</v>
      </c>
      <c r="U38" s="11">
        <f t="shared" si="5"/>
        <v>29585.885162500002</v>
      </c>
      <c r="V38" s="11">
        <f t="shared" si="6"/>
        <v>3424.9905181249997</v>
      </c>
      <c r="W38" s="11">
        <f t="shared" si="7"/>
        <v>0</v>
      </c>
      <c r="X38" s="11">
        <f t="shared" si="8"/>
        <v>69487.650000000009</v>
      </c>
      <c r="Y38" s="14"/>
    </row>
    <row r="39" spans="1:25" x14ac:dyDescent="0.25">
      <c r="A39" s="6">
        <v>35</v>
      </c>
      <c r="B39" s="6" t="s">
        <v>159</v>
      </c>
      <c r="C39" s="7">
        <f>Parametres!$B$33*POWER(1+Parametres!$B$48,2)*Parametres!$B$44</f>
        <v>175842.85162500001</v>
      </c>
      <c r="D39" s="7">
        <f>IF(A39&gt;=Parametres!$B$60,Parametres!$B$62,0)</f>
        <v>48732</v>
      </c>
      <c r="E39" s="7">
        <f>IF(A39&gt;=Parametres!$B$65,Parametres!$B$67,0)</f>
        <v>71284</v>
      </c>
      <c r="F39" s="7">
        <f t="shared" si="0"/>
        <v>295858.85162500001</v>
      </c>
      <c r="G39" s="7">
        <f>F39*Parametres!$B$53</f>
        <v>84319.772713124999</v>
      </c>
      <c r="H39" s="7">
        <f>F39*Parametres!$B$56</f>
        <v>133136.48323125002</v>
      </c>
      <c r="I39" s="7">
        <f>IF(A39&lt;Parametres!$B$21,IF(A39&lt;=12,Parametres!$B$18,Parametres!$B$18*(1+Parametres!$B$20)),IF(A39&lt;=24,Parametres!$B$19*(1+Parametres!$B$20),Parametres!$B$19*POWER(1+Parametres!$B$20,2)))</f>
        <v>11457.72</v>
      </c>
      <c r="J39" s="7">
        <f>Parametres!$B$30</f>
        <v>16680</v>
      </c>
      <c r="K39" s="7">
        <f>IF(A39&lt;Parametres!$B$12,0,IF(A39&lt;=24,Parametres!$B$14,Parametres!$B$15))</f>
        <v>17254</v>
      </c>
      <c r="L39" s="7">
        <f t="shared" si="1"/>
        <v>33010.875680625002</v>
      </c>
      <c r="M39" s="8">
        <f t="shared" si="2"/>
        <v>0.11157643416552622</v>
      </c>
      <c r="N39" s="7">
        <f>F39*Parametres!$B$24</f>
        <v>29585.885162500002</v>
      </c>
      <c r="O39" s="7">
        <f>F39*Parametres!$B$25</f>
        <v>59171.770325000005</v>
      </c>
      <c r="P39" s="7">
        <f>IF(A39&lt;=Parametres!$B$27,0,MIN(L39,N39))</f>
        <v>29585.885162500002</v>
      </c>
      <c r="Q39" s="7">
        <f t="shared" si="3"/>
        <v>3424.9905181249997</v>
      </c>
      <c r="R39" s="7">
        <f t="shared" si="4"/>
        <v>0</v>
      </c>
      <c r="S39" s="7">
        <f>R39*Parametres!$B$26</f>
        <v>0</v>
      </c>
      <c r="T39" s="7">
        <f>R39*Parametres!$B$26</f>
        <v>0</v>
      </c>
      <c r="U39" s="7">
        <f t="shared" si="5"/>
        <v>29585.885162500002</v>
      </c>
      <c r="V39" s="7">
        <f t="shared" si="6"/>
        <v>3424.9905181249997</v>
      </c>
      <c r="W39" s="7">
        <f t="shared" si="7"/>
        <v>0</v>
      </c>
      <c r="X39" s="7">
        <f t="shared" si="8"/>
        <v>69487.650000000009</v>
      </c>
    </row>
    <row r="40" spans="1:25" x14ac:dyDescent="0.25">
      <c r="A40" s="10">
        <v>36</v>
      </c>
      <c r="B40" s="10" t="s">
        <v>160</v>
      </c>
      <c r="C40" s="11">
        <f>Parametres!$B$33*POWER(1+Parametres!$B$48,2)*Parametres!$B$45</f>
        <v>175842.85162500001</v>
      </c>
      <c r="D40" s="11">
        <f>IF(A40&gt;=Parametres!$B$60,Parametres!$B$62,0)</f>
        <v>48732</v>
      </c>
      <c r="E40" s="11">
        <f>IF(A40&gt;=Parametres!$B$65,Parametres!$B$67,0)</f>
        <v>71284</v>
      </c>
      <c r="F40" s="11">
        <f t="shared" si="0"/>
        <v>295858.85162500001</v>
      </c>
      <c r="G40" s="11">
        <f>F40*Parametres!$B$53</f>
        <v>84319.772713124999</v>
      </c>
      <c r="H40" s="11">
        <f>F40*Parametres!$B$56</f>
        <v>133136.48323125002</v>
      </c>
      <c r="I40" s="11">
        <f>IF(A40&lt;Parametres!$B$21,IF(A40&lt;=12,Parametres!$B$18,Parametres!$B$18*(1+Parametres!$B$20)),IF(A40&lt;=24,Parametres!$B$19*(1+Parametres!$B$20),Parametres!$B$19*POWER(1+Parametres!$B$20,2)))</f>
        <v>11457.72</v>
      </c>
      <c r="J40" s="11">
        <f>Parametres!$B$30</f>
        <v>16680</v>
      </c>
      <c r="K40" s="11">
        <f>IF(A40&lt;Parametres!$B$12,0,IF(A40&lt;=24,Parametres!$B$14,Parametres!$B$15))</f>
        <v>17254</v>
      </c>
      <c r="L40" s="11">
        <f t="shared" si="1"/>
        <v>33010.875680625002</v>
      </c>
      <c r="M40" s="12">
        <f t="shared" si="2"/>
        <v>0.11157643416552622</v>
      </c>
      <c r="N40" s="11">
        <f>F40*Parametres!$B$24</f>
        <v>29585.885162500002</v>
      </c>
      <c r="O40" s="11">
        <f>F40*Parametres!$B$25</f>
        <v>59171.770325000005</v>
      </c>
      <c r="P40" s="11">
        <f>IF(A40&lt;=Parametres!$B$27,0,MIN(L40,N40))</f>
        <v>29585.885162500002</v>
      </c>
      <c r="Q40" s="11">
        <f t="shared" si="3"/>
        <v>3424.9905181249997</v>
      </c>
      <c r="R40" s="11">
        <f t="shared" si="4"/>
        <v>0</v>
      </c>
      <c r="S40" s="11">
        <f>R40*Parametres!$B$26</f>
        <v>0</v>
      </c>
      <c r="T40" s="11">
        <f>R40*Parametres!$B$26</f>
        <v>0</v>
      </c>
      <c r="U40" s="11">
        <f t="shared" si="5"/>
        <v>29585.885162500002</v>
      </c>
      <c r="V40" s="11">
        <f t="shared" si="6"/>
        <v>3424.9905181249997</v>
      </c>
      <c r="W40" s="11">
        <f t="shared" si="7"/>
        <v>0</v>
      </c>
      <c r="X40" s="11">
        <f t="shared" si="8"/>
        <v>69487.650000000009</v>
      </c>
      <c r="Y40" s="14"/>
    </row>
    <row r="41" spans="1:25" ht="15.75" x14ac:dyDescent="0.25">
      <c r="A41" s="38" t="s">
        <v>161</v>
      </c>
      <c r="B41" s="20"/>
      <c r="C41" s="15">
        <f t="shared" ref="C41:L41" si="9">SUM(C5:C40)</f>
        <v>5093652.347875</v>
      </c>
      <c r="D41" s="15">
        <f t="shared" si="9"/>
        <v>1656888</v>
      </c>
      <c r="E41" s="15">
        <f t="shared" si="9"/>
        <v>1211828</v>
      </c>
      <c r="F41" s="15">
        <f t="shared" si="9"/>
        <v>7962368.3478750028</v>
      </c>
      <c r="G41" s="15">
        <f t="shared" si="9"/>
        <v>2269274.9791443758</v>
      </c>
      <c r="H41" s="15">
        <f t="shared" si="9"/>
        <v>3583065.7565437504</v>
      </c>
      <c r="I41" s="15">
        <f t="shared" si="9"/>
        <v>373418.63999999972</v>
      </c>
      <c r="J41" s="15">
        <f t="shared" si="9"/>
        <v>600480</v>
      </c>
      <c r="K41" s="15">
        <f t="shared" si="9"/>
        <v>392667.39000000007</v>
      </c>
      <c r="L41" s="15">
        <f t="shared" si="9"/>
        <v>743461.58218687505</v>
      </c>
      <c r="P41" s="15">
        <f t="shared" ref="P41:W41" si="10">SUM(P5:P40)</f>
        <v>613671.18102875014</v>
      </c>
      <c r="Q41" s="15">
        <f t="shared" si="10"/>
        <v>60302.751158125022</v>
      </c>
      <c r="R41" s="15">
        <f t="shared" si="10"/>
        <v>0</v>
      </c>
      <c r="S41" s="15">
        <f t="shared" si="10"/>
        <v>0</v>
      </c>
      <c r="T41" s="15">
        <f t="shared" si="10"/>
        <v>0</v>
      </c>
      <c r="U41" s="15">
        <f t="shared" si="10"/>
        <v>613671.18102875014</v>
      </c>
      <c r="V41" s="15">
        <f t="shared" si="10"/>
        <v>60302.751158125022</v>
      </c>
      <c r="W41" s="15">
        <f t="shared" si="10"/>
        <v>69487.650000000009</v>
      </c>
      <c r="X41" s="16">
        <f>X40</f>
        <v>69487.650000000009</v>
      </c>
    </row>
  </sheetData>
  <mergeCells count="9">
    <mergeCell ref="G3:K3"/>
    <mergeCell ref="L3:M3"/>
    <mergeCell ref="A41:B41"/>
    <mergeCell ref="A2:X2"/>
    <mergeCell ref="A1:X1"/>
    <mergeCell ref="V3:X3"/>
    <mergeCell ref="A3:F3"/>
    <mergeCell ref="N3:S3"/>
    <mergeCell ref="T3:U3"/>
  </mergeCells>
  <conditionalFormatting sqref="L5:M40">
    <cfRule type="cellIs" dxfId="3" priority="1" operator="lessThan">
      <formula>0</formula>
    </cfRule>
  </conditionalFormatting>
  <conditionalFormatting sqref="W5:X40">
    <cfRule type="cellIs" dxfId="2" priority="3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1"/>
  <sheetViews>
    <sheetView workbookViewId="0">
      <selection sqref="A1:X1"/>
    </sheetView>
  </sheetViews>
  <sheetFormatPr baseColWidth="10" defaultColWidth="9.140625" defaultRowHeight="15" x14ac:dyDescent="0.25"/>
  <cols>
    <col min="1" max="1" width="5" customWidth="1"/>
    <col min="2" max="2" width="10" customWidth="1"/>
    <col min="3" max="24" width="11" customWidth="1"/>
    <col min="25" max="25" width="15" customWidth="1"/>
  </cols>
  <sheetData>
    <row r="1" spans="1:25" ht="18.75" x14ac:dyDescent="0.3">
      <c r="A1" s="40" t="s">
        <v>163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5" x14ac:dyDescent="0.25">
      <c r="A2" s="28" t="s">
        <v>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5" x14ac:dyDescent="0.25">
      <c r="A3" s="35" t="s">
        <v>93</v>
      </c>
      <c r="B3" s="20"/>
      <c r="C3" s="20"/>
      <c r="D3" s="20"/>
      <c r="E3" s="20"/>
      <c r="F3" s="20"/>
      <c r="G3" s="30" t="s">
        <v>94</v>
      </c>
      <c r="H3" s="20"/>
      <c r="I3" s="20"/>
      <c r="J3" s="20"/>
      <c r="K3" s="20"/>
      <c r="L3" s="31" t="s">
        <v>95</v>
      </c>
      <c r="M3" s="20"/>
      <c r="N3" s="36" t="s">
        <v>96</v>
      </c>
      <c r="O3" s="20"/>
      <c r="P3" s="20"/>
      <c r="Q3" s="20"/>
      <c r="R3" s="20"/>
      <c r="S3" s="20"/>
      <c r="T3" s="37" t="s">
        <v>97</v>
      </c>
      <c r="U3" s="20"/>
      <c r="V3" s="34" t="s">
        <v>98</v>
      </c>
      <c r="W3" s="20"/>
      <c r="X3" s="20"/>
    </row>
    <row r="4" spans="1:25" ht="24" x14ac:dyDescent="0.25">
      <c r="A4" s="18" t="s">
        <v>99</v>
      </c>
      <c r="B4" s="18" t="s">
        <v>100</v>
      </c>
      <c r="C4" s="18" t="s">
        <v>101</v>
      </c>
      <c r="D4" s="18" t="s">
        <v>102</v>
      </c>
      <c r="E4" s="18" t="s">
        <v>103</v>
      </c>
      <c r="F4" s="18" t="s">
        <v>104</v>
      </c>
      <c r="G4" s="18" t="s">
        <v>105</v>
      </c>
      <c r="H4" s="18" t="s">
        <v>106</v>
      </c>
      <c r="I4" s="18" t="s">
        <v>107</v>
      </c>
      <c r="J4" s="18" t="s">
        <v>108</v>
      </c>
      <c r="K4" s="18" t="s">
        <v>109</v>
      </c>
      <c r="L4" s="18" t="s">
        <v>110</v>
      </c>
      <c r="M4" s="18" t="s">
        <v>111</v>
      </c>
      <c r="N4" s="18" t="s">
        <v>112</v>
      </c>
      <c r="O4" s="18" t="s">
        <v>113</v>
      </c>
      <c r="P4" s="18" t="s">
        <v>114</v>
      </c>
      <c r="Q4" s="18" t="s">
        <v>115</v>
      </c>
      <c r="R4" s="18" t="s">
        <v>116</v>
      </c>
      <c r="S4" s="18" t="s">
        <v>117</v>
      </c>
      <c r="T4" s="18" t="s">
        <v>118</v>
      </c>
      <c r="U4" s="18" t="s">
        <v>119</v>
      </c>
      <c r="V4" s="18" t="s">
        <v>120</v>
      </c>
      <c r="W4" s="18" t="s">
        <v>121</v>
      </c>
      <c r="X4" s="18" t="s">
        <v>122</v>
      </c>
      <c r="Y4" s="18" t="s">
        <v>123</v>
      </c>
    </row>
    <row r="5" spans="1:25" x14ac:dyDescent="0.25">
      <c r="A5" s="6">
        <v>1</v>
      </c>
      <c r="B5" s="6" t="s">
        <v>124</v>
      </c>
      <c r="C5" s="7">
        <f>Parametres!$B$33*Parametres!$B$34</f>
        <v>145625.55000000002</v>
      </c>
      <c r="D5" s="7">
        <f>IF(A5&gt;=Parametres!$B$60,Parametres!$B$63,0)</f>
        <v>0</v>
      </c>
      <c r="E5" s="7">
        <f>IF(A5&gt;=Parametres!$B$65,Parametres!$B$68,0)</f>
        <v>0</v>
      </c>
      <c r="F5" s="7">
        <f t="shared" ref="F5:F40" si="0">C5+D5+E5</f>
        <v>145625.55000000002</v>
      </c>
      <c r="G5" s="7">
        <f>F5*Parametres!$B$54</f>
        <v>39318.89850000001</v>
      </c>
      <c r="H5" s="7">
        <f>F5*Parametres!$B$57</f>
        <v>62618.986500000006</v>
      </c>
      <c r="I5" s="7">
        <f>IF(A5&lt;Parametres!$B$21,IF(A5&lt;=12,Parametres!$B$18,Parametres!$B$18*(1+Parametres!$B$20)),IF(A5&lt;=24,Parametres!$B$19*(1+Parametres!$B$20),Parametres!$B$19*POWER(1+Parametres!$B$20,2)))</f>
        <v>9000</v>
      </c>
      <c r="J5" s="7">
        <f>Parametres!$B$30</f>
        <v>16680</v>
      </c>
      <c r="K5" s="7">
        <f>IF(A5&lt;Parametres!$B$12,0,IF(A5&lt;=24,Parametres!$B$14,Parametres!$B$15))</f>
        <v>0</v>
      </c>
      <c r="L5" s="7">
        <f t="shared" ref="L5:L40" si="1">F5-G5-H5-I5-J5-K5</f>
        <v>18007.665000000001</v>
      </c>
      <c r="M5" s="8">
        <f t="shared" ref="M5:M40" si="2">IF(F5=0,0,L5/F5)</f>
        <v>0.12365731837579325</v>
      </c>
      <c r="N5" s="7">
        <f>F5*Parametres!$B$24</f>
        <v>14562.555000000002</v>
      </c>
      <c r="O5" s="7">
        <f>F5*Parametres!$B$25</f>
        <v>29125.110000000004</v>
      </c>
      <c r="P5" s="7">
        <f>IF(A5&lt;=Parametres!$B$27,0,MIN(L5,N5))</f>
        <v>0</v>
      </c>
      <c r="Q5" s="7">
        <f t="shared" ref="Q5:Q40" si="3">IF(L5&gt;N5,MIN(L5-N5,O5-N5),0)</f>
        <v>3445.1099999999988</v>
      </c>
      <c r="R5" s="7">
        <f t="shared" ref="R5:R40" si="4">IF(L5&gt;O5,L5-O5,0)</f>
        <v>0</v>
      </c>
      <c r="S5" s="7">
        <f>R5*Parametres!$B$26</f>
        <v>0</v>
      </c>
      <c r="T5" s="7">
        <f>R5*Parametres!$B$26</f>
        <v>0</v>
      </c>
      <c r="U5" s="7">
        <f t="shared" ref="U5:U40" si="5">P5+S5</f>
        <v>0</v>
      </c>
      <c r="V5" s="7">
        <f t="shared" ref="V5:V40" si="6">Q5+T5</f>
        <v>3445.1099999999988</v>
      </c>
      <c r="W5" s="7">
        <f t="shared" ref="W5:W40" si="7">L5-U5-V5</f>
        <v>14562.555000000002</v>
      </c>
      <c r="X5" s="7">
        <f>W5</f>
        <v>14562.555000000002</v>
      </c>
      <c r="Y5" s="9" t="s">
        <v>125</v>
      </c>
    </row>
    <row r="6" spans="1:25" x14ac:dyDescent="0.25">
      <c r="A6" s="10">
        <v>2</v>
      </c>
      <c r="B6" s="10" t="s">
        <v>126</v>
      </c>
      <c r="C6" s="11">
        <f>Parametres!$B$33*Parametres!$B$35</f>
        <v>138691</v>
      </c>
      <c r="D6" s="11">
        <f>IF(A6&gt;=Parametres!$B$60,Parametres!$B$63,0)</f>
        <v>0</v>
      </c>
      <c r="E6" s="11">
        <f>IF(A6&gt;=Parametres!$B$65,Parametres!$B$68,0)</f>
        <v>0</v>
      </c>
      <c r="F6" s="11">
        <f t="shared" si="0"/>
        <v>138691</v>
      </c>
      <c r="G6" s="11">
        <f>F6*Parametres!$B$54</f>
        <v>37446.57</v>
      </c>
      <c r="H6" s="11">
        <f>F6*Parametres!$B$57</f>
        <v>59637.13</v>
      </c>
      <c r="I6" s="11">
        <f>IF(A6&lt;Parametres!$B$21,IF(A6&lt;=12,Parametres!$B$18,Parametres!$B$18*(1+Parametres!$B$20)),IF(A6&lt;=24,Parametres!$B$19*(1+Parametres!$B$20),Parametres!$B$19*POWER(1+Parametres!$B$20,2)))</f>
        <v>9000</v>
      </c>
      <c r="J6" s="11">
        <f>Parametres!$B$30</f>
        <v>16680</v>
      </c>
      <c r="K6" s="11">
        <f>IF(A6&lt;Parametres!$B$12,0,IF(A6&lt;=24,Parametres!$B$14,Parametres!$B$15))</f>
        <v>0</v>
      </c>
      <c r="L6" s="11">
        <f t="shared" si="1"/>
        <v>15927.299999999996</v>
      </c>
      <c r="M6" s="12">
        <f t="shared" si="2"/>
        <v>0.11484018429458288</v>
      </c>
      <c r="N6" s="11">
        <f>F6*Parametres!$B$24</f>
        <v>13869.1</v>
      </c>
      <c r="O6" s="11">
        <f>F6*Parametres!$B$25</f>
        <v>27738.2</v>
      </c>
      <c r="P6" s="11">
        <f>IF(A6&lt;=Parametres!$B$27,0,MIN(L6,N6))</f>
        <v>0</v>
      </c>
      <c r="Q6" s="11">
        <f t="shared" si="3"/>
        <v>2058.1999999999953</v>
      </c>
      <c r="R6" s="11">
        <f t="shared" si="4"/>
        <v>0</v>
      </c>
      <c r="S6" s="11">
        <f>R6*Parametres!$B$26</f>
        <v>0</v>
      </c>
      <c r="T6" s="11">
        <f>R6*Parametres!$B$26</f>
        <v>0</v>
      </c>
      <c r="U6" s="11">
        <f t="shared" si="5"/>
        <v>0</v>
      </c>
      <c r="V6" s="11">
        <f t="shared" si="6"/>
        <v>2058.1999999999953</v>
      </c>
      <c r="W6" s="11">
        <f t="shared" si="7"/>
        <v>13869.1</v>
      </c>
      <c r="X6" s="11">
        <f t="shared" ref="X6:X40" si="8">X5+W6</f>
        <v>28431.655000000002</v>
      </c>
      <c r="Y6" s="13" t="s">
        <v>125</v>
      </c>
    </row>
    <row r="7" spans="1:25" x14ac:dyDescent="0.25">
      <c r="A7" s="6">
        <v>3</v>
      </c>
      <c r="B7" s="6" t="s">
        <v>127</v>
      </c>
      <c r="C7" s="7">
        <f>Parametres!$B$33*Parametres!$B$36</f>
        <v>117887.34999999999</v>
      </c>
      <c r="D7" s="7">
        <f>IF(A7&gt;=Parametres!$B$60,Parametres!$B$63,0)</f>
        <v>57380</v>
      </c>
      <c r="E7" s="7">
        <f>IF(A7&gt;=Parametres!$B$65,Parametres!$B$68,0)</f>
        <v>0</v>
      </c>
      <c r="F7" s="7">
        <f t="shared" si="0"/>
        <v>175267.34999999998</v>
      </c>
      <c r="G7" s="7">
        <f>F7*Parametres!$B$54</f>
        <v>47322.184499999996</v>
      </c>
      <c r="H7" s="7">
        <f>F7*Parametres!$B$57</f>
        <v>75364.960499999986</v>
      </c>
      <c r="I7" s="7">
        <f>IF(A7&lt;Parametres!$B$21,IF(A7&lt;=12,Parametres!$B$18,Parametres!$B$18*(1+Parametres!$B$20)),IF(A7&lt;=24,Parametres!$B$19*(1+Parametres!$B$20),Parametres!$B$19*POWER(1+Parametres!$B$20,2)))</f>
        <v>9000</v>
      </c>
      <c r="J7" s="7">
        <f>Parametres!$B$30</f>
        <v>16680</v>
      </c>
      <c r="K7" s="7">
        <f>IF(A7&lt;Parametres!$B$12,0,IF(A7&lt;=24,Parametres!$B$14,Parametres!$B$15))</f>
        <v>0</v>
      </c>
      <c r="L7" s="7">
        <f t="shared" si="1"/>
        <v>26900.204999999987</v>
      </c>
      <c r="M7" s="8">
        <f t="shared" si="2"/>
        <v>0.15348098205398775</v>
      </c>
      <c r="N7" s="7">
        <f>F7*Parametres!$B$24</f>
        <v>17526.734999999997</v>
      </c>
      <c r="O7" s="7">
        <f>F7*Parametres!$B$25</f>
        <v>35053.469999999994</v>
      </c>
      <c r="P7" s="7">
        <f>IF(A7&lt;=Parametres!$B$27,0,MIN(L7,N7))</f>
        <v>0</v>
      </c>
      <c r="Q7" s="7">
        <f t="shared" si="3"/>
        <v>9373.4699999999903</v>
      </c>
      <c r="R7" s="7">
        <f t="shared" si="4"/>
        <v>0</v>
      </c>
      <c r="S7" s="7">
        <f>R7*Parametres!$B$26</f>
        <v>0</v>
      </c>
      <c r="T7" s="7">
        <f>R7*Parametres!$B$26</f>
        <v>0</v>
      </c>
      <c r="U7" s="7">
        <f t="shared" si="5"/>
        <v>0</v>
      </c>
      <c r="V7" s="7">
        <f t="shared" si="6"/>
        <v>9373.4699999999903</v>
      </c>
      <c r="W7" s="7">
        <f t="shared" si="7"/>
        <v>17526.734999999997</v>
      </c>
      <c r="X7" s="7">
        <f t="shared" si="8"/>
        <v>45958.39</v>
      </c>
      <c r="Y7" s="9" t="s">
        <v>125</v>
      </c>
    </row>
    <row r="8" spans="1:25" x14ac:dyDescent="0.25">
      <c r="A8" s="10">
        <v>4</v>
      </c>
      <c r="B8" s="10" t="s">
        <v>128</v>
      </c>
      <c r="C8" s="11">
        <f>Parametres!$B$33*Parametres!$B$37</f>
        <v>110952.8</v>
      </c>
      <c r="D8" s="11">
        <f>IF(A8&gt;=Parametres!$B$60,Parametres!$B$63,0)</f>
        <v>57380</v>
      </c>
      <c r="E8" s="11">
        <f>IF(A8&gt;=Parametres!$B$65,Parametres!$B$68,0)</f>
        <v>0</v>
      </c>
      <c r="F8" s="11">
        <f t="shared" si="0"/>
        <v>168332.79999999999</v>
      </c>
      <c r="G8" s="11">
        <f>F8*Parametres!$B$54</f>
        <v>45449.856</v>
      </c>
      <c r="H8" s="11">
        <f>F8*Parametres!$B$57</f>
        <v>72383.103999999992</v>
      </c>
      <c r="I8" s="11">
        <f>IF(A8&lt;Parametres!$B$21,IF(A8&lt;=12,Parametres!$B$18,Parametres!$B$18*(1+Parametres!$B$20)),IF(A8&lt;=24,Parametres!$B$19*(1+Parametres!$B$20),Parametres!$B$19*POWER(1+Parametres!$B$20,2)))</f>
        <v>9000</v>
      </c>
      <c r="J8" s="11">
        <f>Parametres!$B$30</f>
        <v>16680</v>
      </c>
      <c r="K8" s="11">
        <f>IF(A8&lt;Parametres!$B$12,0,IF(A8&lt;=24,Parametres!$B$14,Parametres!$B$15))</f>
        <v>0</v>
      </c>
      <c r="L8" s="11">
        <f t="shared" si="1"/>
        <v>24819.839999999997</v>
      </c>
      <c r="M8" s="12">
        <f t="shared" si="2"/>
        <v>0.14744506121207512</v>
      </c>
      <c r="N8" s="11">
        <f>F8*Parametres!$B$24</f>
        <v>16833.28</v>
      </c>
      <c r="O8" s="11">
        <f>F8*Parametres!$B$25</f>
        <v>33666.559999999998</v>
      </c>
      <c r="P8" s="11">
        <f>IF(A8&lt;=Parametres!$B$27,0,MIN(L8,N8))</f>
        <v>0</v>
      </c>
      <c r="Q8" s="11">
        <f t="shared" si="3"/>
        <v>7986.5599999999977</v>
      </c>
      <c r="R8" s="11">
        <f t="shared" si="4"/>
        <v>0</v>
      </c>
      <c r="S8" s="11">
        <f>R8*Parametres!$B$26</f>
        <v>0</v>
      </c>
      <c r="T8" s="11">
        <f>R8*Parametres!$B$26</f>
        <v>0</v>
      </c>
      <c r="U8" s="11">
        <f t="shared" si="5"/>
        <v>0</v>
      </c>
      <c r="V8" s="11">
        <f t="shared" si="6"/>
        <v>7986.5599999999977</v>
      </c>
      <c r="W8" s="11">
        <f t="shared" si="7"/>
        <v>16833.28</v>
      </c>
      <c r="X8" s="11">
        <f t="shared" si="8"/>
        <v>62791.67</v>
      </c>
      <c r="Y8" s="13" t="s">
        <v>125</v>
      </c>
    </row>
    <row r="9" spans="1:25" x14ac:dyDescent="0.25">
      <c r="A9" s="6">
        <v>5</v>
      </c>
      <c r="B9" s="6" t="s">
        <v>129</v>
      </c>
      <c r="C9" s="7">
        <f>Parametres!$B$33*Parametres!$B$38</f>
        <v>110952.8</v>
      </c>
      <c r="D9" s="7">
        <f>IF(A9&gt;=Parametres!$B$60,Parametres!$B$63,0)</f>
        <v>57380</v>
      </c>
      <c r="E9" s="7">
        <f>IF(A9&gt;=Parametres!$B$65,Parametres!$B$68,0)</f>
        <v>0</v>
      </c>
      <c r="F9" s="7">
        <f t="shared" si="0"/>
        <v>168332.79999999999</v>
      </c>
      <c r="G9" s="7">
        <f>F9*Parametres!$B$54</f>
        <v>45449.856</v>
      </c>
      <c r="H9" s="7">
        <f>F9*Parametres!$B$57</f>
        <v>72383.103999999992</v>
      </c>
      <c r="I9" s="7">
        <f>IF(A9&lt;Parametres!$B$21,IF(A9&lt;=12,Parametres!$B$18,Parametres!$B$18*(1+Parametres!$B$20)),IF(A9&lt;=24,Parametres!$B$19*(1+Parametres!$B$20),Parametres!$B$19*POWER(1+Parametres!$B$20,2)))</f>
        <v>9000</v>
      </c>
      <c r="J9" s="7">
        <f>Parametres!$B$30</f>
        <v>16680</v>
      </c>
      <c r="K9" s="7">
        <f>IF(A9&lt;Parametres!$B$12,0,IF(A9&lt;=24,Parametres!$B$14,Parametres!$B$15))</f>
        <v>9280.9695000000011</v>
      </c>
      <c r="L9" s="7">
        <f t="shared" si="1"/>
        <v>15538.870499999995</v>
      </c>
      <c r="M9" s="8">
        <f t="shared" si="2"/>
        <v>9.2310414250817402E-2</v>
      </c>
      <c r="N9" s="7">
        <f>F9*Parametres!$B$24</f>
        <v>16833.28</v>
      </c>
      <c r="O9" s="7">
        <f>F9*Parametres!$B$25</f>
        <v>33666.559999999998</v>
      </c>
      <c r="P9" s="7">
        <f>IF(A9&lt;=Parametres!$B$27,0,MIN(L9,N9))</f>
        <v>0</v>
      </c>
      <c r="Q9" s="7">
        <f t="shared" si="3"/>
        <v>0</v>
      </c>
      <c r="R9" s="7">
        <f t="shared" si="4"/>
        <v>0</v>
      </c>
      <c r="S9" s="7">
        <f>R9*Parametres!$B$26</f>
        <v>0</v>
      </c>
      <c r="T9" s="7">
        <f>R9*Parametres!$B$26</f>
        <v>0</v>
      </c>
      <c r="U9" s="7">
        <f t="shared" si="5"/>
        <v>0</v>
      </c>
      <c r="V9" s="7">
        <f t="shared" si="6"/>
        <v>0</v>
      </c>
      <c r="W9" s="7">
        <f t="shared" si="7"/>
        <v>15538.870499999995</v>
      </c>
      <c r="X9" s="7">
        <f t="shared" si="8"/>
        <v>78330.540499999988</v>
      </c>
      <c r="Y9" s="9" t="s">
        <v>125</v>
      </c>
    </row>
    <row r="10" spans="1:25" x14ac:dyDescent="0.25">
      <c r="A10" s="10">
        <v>6</v>
      </c>
      <c r="B10" s="10" t="s">
        <v>130</v>
      </c>
      <c r="C10" s="11">
        <f>Parametres!$B$33*Parametres!$B$39</f>
        <v>104018.25</v>
      </c>
      <c r="D10" s="11">
        <f>IF(A10&gt;=Parametres!$B$60,Parametres!$B$63,0)</f>
        <v>57380</v>
      </c>
      <c r="E10" s="11">
        <f>IF(A10&gt;=Parametres!$B$65,Parametres!$B$68,0)</f>
        <v>0</v>
      </c>
      <c r="F10" s="11">
        <f t="shared" si="0"/>
        <v>161398.25</v>
      </c>
      <c r="G10" s="11">
        <f>F10*Parametres!$B$54</f>
        <v>43577.527500000004</v>
      </c>
      <c r="H10" s="11">
        <f>F10*Parametres!$B$57</f>
        <v>69401.247499999998</v>
      </c>
      <c r="I10" s="11">
        <f>IF(A10&lt;Parametres!$B$21,IF(A10&lt;=12,Parametres!$B$18,Parametres!$B$18*(1+Parametres!$B$20)),IF(A10&lt;=24,Parametres!$B$19*(1+Parametres!$B$20),Parametres!$B$19*POWER(1+Parametres!$B$20,2)))</f>
        <v>9000</v>
      </c>
      <c r="J10" s="11">
        <f>Parametres!$B$30</f>
        <v>16680</v>
      </c>
      <c r="K10" s="11">
        <f>IF(A10&lt;Parametres!$B$12,0,IF(A10&lt;=24,Parametres!$B$14,Parametres!$B$15))</f>
        <v>9280.9695000000011</v>
      </c>
      <c r="L10" s="11">
        <f t="shared" si="1"/>
        <v>13458.505500000005</v>
      </c>
      <c r="M10" s="12">
        <f t="shared" si="2"/>
        <v>8.3386935731954992E-2</v>
      </c>
      <c r="N10" s="11">
        <f>F10*Parametres!$B$24</f>
        <v>16139.825000000001</v>
      </c>
      <c r="O10" s="11">
        <f>F10*Parametres!$B$25</f>
        <v>32279.65</v>
      </c>
      <c r="P10" s="11">
        <f>IF(A10&lt;=Parametres!$B$27,0,MIN(L10,N10))</f>
        <v>0</v>
      </c>
      <c r="Q10" s="11">
        <f t="shared" si="3"/>
        <v>0</v>
      </c>
      <c r="R10" s="11">
        <f t="shared" si="4"/>
        <v>0</v>
      </c>
      <c r="S10" s="11">
        <f>R10*Parametres!$B$26</f>
        <v>0</v>
      </c>
      <c r="T10" s="11">
        <f>R10*Parametres!$B$26</f>
        <v>0</v>
      </c>
      <c r="U10" s="11">
        <f t="shared" si="5"/>
        <v>0</v>
      </c>
      <c r="V10" s="11">
        <f t="shared" si="6"/>
        <v>0</v>
      </c>
      <c r="W10" s="11">
        <f t="shared" si="7"/>
        <v>13458.505500000005</v>
      </c>
      <c r="X10" s="11">
        <f t="shared" si="8"/>
        <v>91789.045999999988</v>
      </c>
      <c r="Y10" s="13" t="s">
        <v>125</v>
      </c>
    </row>
    <row r="11" spans="1:25" x14ac:dyDescent="0.25">
      <c r="A11" s="6">
        <v>7</v>
      </c>
      <c r="B11" s="6" t="s">
        <v>131</v>
      </c>
      <c r="C11" s="7">
        <f>Parametres!$B$33*Parametres!$B$40</f>
        <v>124821.90000000001</v>
      </c>
      <c r="D11" s="7">
        <f>IF(A11&gt;=Parametres!$B$60,Parametres!$B$63,0)</f>
        <v>57380</v>
      </c>
      <c r="E11" s="7">
        <f>IF(A11&gt;=Parametres!$B$65,Parametres!$B$68,0)</f>
        <v>0</v>
      </c>
      <c r="F11" s="7">
        <f t="shared" si="0"/>
        <v>182201.90000000002</v>
      </c>
      <c r="G11" s="7">
        <f>F11*Parametres!$B$54</f>
        <v>49194.513000000006</v>
      </c>
      <c r="H11" s="7">
        <f>F11*Parametres!$B$57</f>
        <v>78346.81700000001</v>
      </c>
      <c r="I11" s="7">
        <f>IF(A11&lt;Parametres!$B$21,IF(A11&lt;=12,Parametres!$B$18,Parametres!$B$18*(1+Parametres!$B$20)),IF(A11&lt;=24,Parametres!$B$19*(1+Parametres!$B$20),Parametres!$B$19*POWER(1+Parametres!$B$20,2)))</f>
        <v>9000</v>
      </c>
      <c r="J11" s="7">
        <f>Parametres!$B$30</f>
        <v>16680</v>
      </c>
      <c r="K11" s="7">
        <f>IF(A11&lt;Parametres!$B$12,0,IF(A11&lt;=24,Parametres!$B$14,Parametres!$B$15))</f>
        <v>9280.9695000000011</v>
      </c>
      <c r="L11" s="7">
        <f t="shared" si="1"/>
        <v>19699.600500000008</v>
      </c>
      <c r="M11" s="8">
        <f t="shared" si="2"/>
        <v>0.1081196216943951</v>
      </c>
      <c r="N11" s="7">
        <f>F11*Parametres!$B$24</f>
        <v>18220.190000000002</v>
      </c>
      <c r="O11" s="7">
        <f>F11*Parametres!$B$25</f>
        <v>36440.380000000005</v>
      </c>
      <c r="P11" s="7">
        <f>IF(A11&lt;=Parametres!$B$27,0,MIN(L11,N11))</f>
        <v>18220.190000000002</v>
      </c>
      <c r="Q11" s="7">
        <f t="shared" si="3"/>
        <v>1479.4105000000054</v>
      </c>
      <c r="R11" s="7">
        <f t="shared" si="4"/>
        <v>0</v>
      </c>
      <c r="S11" s="7">
        <f>R11*Parametres!$B$26</f>
        <v>0</v>
      </c>
      <c r="T11" s="7">
        <f>R11*Parametres!$B$26</f>
        <v>0</v>
      </c>
      <c r="U11" s="7">
        <f t="shared" si="5"/>
        <v>18220.190000000002</v>
      </c>
      <c r="V11" s="7">
        <f t="shared" si="6"/>
        <v>1479.4105000000054</v>
      </c>
      <c r="W11" s="7">
        <f t="shared" si="7"/>
        <v>0</v>
      </c>
      <c r="X11" s="7">
        <f t="shared" si="8"/>
        <v>91789.045999999988</v>
      </c>
    </row>
    <row r="12" spans="1:25" x14ac:dyDescent="0.25">
      <c r="A12" s="10">
        <v>8</v>
      </c>
      <c r="B12" s="10" t="s">
        <v>132</v>
      </c>
      <c r="C12" s="11">
        <f>Parametres!$B$33*Parametres!$B$41</f>
        <v>138691</v>
      </c>
      <c r="D12" s="11">
        <f>IF(A12&gt;=Parametres!$B$60,Parametres!$B$63,0)</f>
        <v>57380</v>
      </c>
      <c r="E12" s="11">
        <f>IF(A12&gt;=Parametres!$B$65,Parametres!$B$68,0)</f>
        <v>0</v>
      </c>
      <c r="F12" s="11">
        <f t="shared" si="0"/>
        <v>196071</v>
      </c>
      <c r="G12" s="11">
        <f>F12*Parametres!$B$54</f>
        <v>52939.170000000006</v>
      </c>
      <c r="H12" s="11">
        <f>F12*Parametres!$B$57</f>
        <v>84310.53</v>
      </c>
      <c r="I12" s="11">
        <f>IF(A12&lt;Parametres!$B$21,IF(A12&lt;=12,Parametres!$B$18,Parametres!$B$18*(1+Parametres!$B$20)),IF(A12&lt;=24,Parametres!$B$19*(1+Parametres!$B$20),Parametres!$B$19*POWER(1+Parametres!$B$20,2)))</f>
        <v>9000</v>
      </c>
      <c r="J12" s="11">
        <f>Parametres!$B$30</f>
        <v>16680</v>
      </c>
      <c r="K12" s="11">
        <f>IF(A12&lt;Parametres!$B$12,0,IF(A12&lt;=24,Parametres!$B$14,Parametres!$B$15))</f>
        <v>9280.9695000000011</v>
      </c>
      <c r="L12" s="11">
        <f t="shared" si="1"/>
        <v>23860.330499999989</v>
      </c>
      <c r="M12" s="12">
        <f t="shared" si="2"/>
        <v>0.12169229768808232</v>
      </c>
      <c r="N12" s="11">
        <f>F12*Parametres!$B$24</f>
        <v>19607.100000000002</v>
      </c>
      <c r="O12" s="11">
        <f>F12*Parametres!$B$25</f>
        <v>39214.200000000004</v>
      </c>
      <c r="P12" s="11">
        <f>IF(A12&lt;=Parametres!$B$27,0,MIN(L12,N12))</f>
        <v>19607.100000000002</v>
      </c>
      <c r="Q12" s="11">
        <f t="shared" si="3"/>
        <v>4253.2304999999869</v>
      </c>
      <c r="R12" s="11">
        <f t="shared" si="4"/>
        <v>0</v>
      </c>
      <c r="S12" s="11">
        <f>R12*Parametres!$B$26</f>
        <v>0</v>
      </c>
      <c r="T12" s="11">
        <f>R12*Parametres!$B$26</f>
        <v>0</v>
      </c>
      <c r="U12" s="11">
        <f t="shared" si="5"/>
        <v>19607.100000000002</v>
      </c>
      <c r="V12" s="11">
        <f t="shared" si="6"/>
        <v>4253.2304999999869</v>
      </c>
      <c r="W12" s="11">
        <f t="shared" si="7"/>
        <v>0</v>
      </c>
      <c r="X12" s="11">
        <f t="shared" si="8"/>
        <v>91789.045999999988</v>
      </c>
      <c r="Y12" s="14"/>
    </row>
    <row r="13" spans="1:25" x14ac:dyDescent="0.25">
      <c r="A13" s="6">
        <v>9</v>
      </c>
      <c r="B13" s="6" t="s">
        <v>133</v>
      </c>
      <c r="C13" s="7">
        <f>Parametres!$B$33*Parametres!$B$42</f>
        <v>145625.55000000002</v>
      </c>
      <c r="D13" s="7">
        <f>IF(A13&gt;=Parametres!$B$60,Parametres!$B$63,0)</f>
        <v>57380</v>
      </c>
      <c r="E13" s="7">
        <f>IF(A13&gt;=Parametres!$B$65,Parametres!$B$68,0)</f>
        <v>0</v>
      </c>
      <c r="F13" s="7">
        <f t="shared" si="0"/>
        <v>203005.55000000002</v>
      </c>
      <c r="G13" s="7">
        <f>F13*Parametres!$B$54</f>
        <v>54811.498500000009</v>
      </c>
      <c r="H13" s="7">
        <f>F13*Parametres!$B$57</f>
        <v>87292.386500000008</v>
      </c>
      <c r="I13" s="7">
        <f>IF(A13&lt;Parametres!$B$21,IF(A13&lt;=12,Parametres!$B$18,Parametres!$B$18*(1+Parametres!$B$20)),IF(A13&lt;=24,Parametres!$B$19*(1+Parametres!$B$20),Parametres!$B$19*POWER(1+Parametres!$B$20,2)))</f>
        <v>9000</v>
      </c>
      <c r="J13" s="7">
        <f>Parametres!$B$30</f>
        <v>16680</v>
      </c>
      <c r="K13" s="7">
        <f>IF(A13&lt;Parametres!$B$12,0,IF(A13&lt;=24,Parametres!$B$14,Parametres!$B$15))</f>
        <v>9280.9695000000011</v>
      </c>
      <c r="L13" s="7">
        <f t="shared" si="1"/>
        <v>25940.695499999994</v>
      </c>
      <c r="M13" s="8">
        <f t="shared" si="2"/>
        <v>0.12778318376024692</v>
      </c>
      <c r="N13" s="7">
        <f>F13*Parametres!$B$24</f>
        <v>20300.555000000004</v>
      </c>
      <c r="O13" s="7">
        <f>F13*Parametres!$B$25</f>
        <v>40601.110000000008</v>
      </c>
      <c r="P13" s="7">
        <f>IF(A13&lt;=Parametres!$B$27,0,MIN(L13,N13))</f>
        <v>20300.555000000004</v>
      </c>
      <c r="Q13" s="7">
        <f t="shared" si="3"/>
        <v>5640.1404999999904</v>
      </c>
      <c r="R13" s="7">
        <f t="shared" si="4"/>
        <v>0</v>
      </c>
      <c r="S13" s="7">
        <f>R13*Parametres!$B$26</f>
        <v>0</v>
      </c>
      <c r="T13" s="7">
        <f>R13*Parametres!$B$26</f>
        <v>0</v>
      </c>
      <c r="U13" s="7">
        <f t="shared" si="5"/>
        <v>20300.555000000004</v>
      </c>
      <c r="V13" s="7">
        <f t="shared" si="6"/>
        <v>5640.1404999999904</v>
      </c>
      <c r="W13" s="7">
        <f t="shared" si="7"/>
        <v>0</v>
      </c>
      <c r="X13" s="7">
        <f t="shared" si="8"/>
        <v>91789.045999999988</v>
      </c>
    </row>
    <row r="14" spans="1:25" x14ac:dyDescent="0.25">
      <c r="A14" s="10">
        <v>10</v>
      </c>
      <c r="B14" s="10" t="s">
        <v>134</v>
      </c>
      <c r="C14" s="11">
        <f>Parametres!$B$33*Parametres!$B$43</f>
        <v>159494.65</v>
      </c>
      <c r="D14" s="11">
        <f>IF(A14&gt;=Parametres!$B$60,Parametres!$B$63,0)</f>
        <v>57380</v>
      </c>
      <c r="E14" s="11">
        <f>IF(A14&gt;=Parametres!$B$65,Parametres!$B$68,0)</f>
        <v>0</v>
      </c>
      <c r="F14" s="11">
        <f t="shared" si="0"/>
        <v>216874.65</v>
      </c>
      <c r="G14" s="11">
        <f>F14*Parametres!$B$54</f>
        <v>58556.155500000001</v>
      </c>
      <c r="H14" s="11">
        <f>F14*Parametres!$B$57</f>
        <v>93256.099499999997</v>
      </c>
      <c r="I14" s="11">
        <f>IF(A14&lt;Parametres!$B$21,IF(A14&lt;=12,Parametres!$B$18,Parametres!$B$18*(1+Parametres!$B$20)),IF(A14&lt;=24,Parametres!$B$19*(1+Parametres!$B$20),Parametres!$B$19*POWER(1+Parametres!$B$20,2)))</f>
        <v>9000</v>
      </c>
      <c r="J14" s="11">
        <f>Parametres!$B$30</f>
        <v>16680</v>
      </c>
      <c r="K14" s="11">
        <f>IF(A14&lt;Parametres!$B$12,0,IF(A14&lt;=24,Parametres!$B$14,Parametres!$B$15))</f>
        <v>9280.9695000000011</v>
      </c>
      <c r="L14" s="11">
        <f t="shared" si="1"/>
        <v>30101.425500000005</v>
      </c>
      <c r="M14" s="12">
        <f t="shared" si="2"/>
        <v>0.13879642226511954</v>
      </c>
      <c r="N14" s="11">
        <f>F14*Parametres!$B$24</f>
        <v>21687.465</v>
      </c>
      <c r="O14" s="11">
        <f>F14*Parametres!$B$25</f>
        <v>43374.93</v>
      </c>
      <c r="P14" s="11">
        <f>IF(A14&lt;=Parametres!$B$27,0,MIN(L14,N14))</f>
        <v>21687.465</v>
      </c>
      <c r="Q14" s="11">
        <f t="shared" si="3"/>
        <v>8413.9605000000047</v>
      </c>
      <c r="R14" s="11">
        <f t="shared" si="4"/>
        <v>0</v>
      </c>
      <c r="S14" s="11">
        <f>R14*Parametres!$B$26</f>
        <v>0</v>
      </c>
      <c r="T14" s="11">
        <f>R14*Parametres!$B$26</f>
        <v>0</v>
      </c>
      <c r="U14" s="11">
        <f t="shared" si="5"/>
        <v>21687.465</v>
      </c>
      <c r="V14" s="11">
        <f t="shared" si="6"/>
        <v>8413.9605000000047</v>
      </c>
      <c r="W14" s="11">
        <f t="shared" si="7"/>
        <v>0</v>
      </c>
      <c r="X14" s="11">
        <f t="shared" si="8"/>
        <v>91789.045999999988</v>
      </c>
      <c r="Y14" s="14"/>
    </row>
    <row r="15" spans="1:25" x14ac:dyDescent="0.25">
      <c r="A15" s="6">
        <v>11</v>
      </c>
      <c r="B15" s="6" t="s">
        <v>135</v>
      </c>
      <c r="C15" s="7">
        <f>Parametres!$B$33*Parametres!$B$44</f>
        <v>159494.65</v>
      </c>
      <c r="D15" s="7">
        <f>IF(A15&gt;=Parametres!$B$60,Parametres!$B$63,0)</f>
        <v>57380</v>
      </c>
      <c r="E15" s="7">
        <f>IF(A15&gt;=Parametres!$B$65,Parametres!$B$68,0)</f>
        <v>0</v>
      </c>
      <c r="F15" s="7">
        <f t="shared" si="0"/>
        <v>216874.65</v>
      </c>
      <c r="G15" s="7">
        <f>F15*Parametres!$B$54</f>
        <v>58556.155500000001</v>
      </c>
      <c r="H15" s="7">
        <f>F15*Parametres!$B$57</f>
        <v>93256.099499999997</v>
      </c>
      <c r="I15" s="7">
        <f>IF(A15&lt;Parametres!$B$21,IF(A15&lt;=12,Parametres!$B$18,Parametres!$B$18*(1+Parametres!$B$20)),IF(A15&lt;=24,Parametres!$B$19*(1+Parametres!$B$20),Parametres!$B$19*POWER(1+Parametres!$B$20,2)))</f>
        <v>9000</v>
      </c>
      <c r="J15" s="7">
        <f>Parametres!$B$30</f>
        <v>16680</v>
      </c>
      <c r="K15" s="7">
        <f>IF(A15&lt;Parametres!$B$12,0,IF(A15&lt;=24,Parametres!$B$14,Parametres!$B$15))</f>
        <v>9280.9695000000011</v>
      </c>
      <c r="L15" s="7">
        <f t="shared" si="1"/>
        <v>30101.425500000005</v>
      </c>
      <c r="M15" s="8">
        <f t="shared" si="2"/>
        <v>0.13879642226511954</v>
      </c>
      <c r="N15" s="7">
        <f>F15*Parametres!$B$24</f>
        <v>21687.465</v>
      </c>
      <c r="O15" s="7">
        <f>F15*Parametres!$B$25</f>
        <v>43374.93</v>
      </c>
      <c r="P15" s="7">
        <f>IF(A15&lt;=Parametres!$B$27,0,MIN(L15,N15))</f>
        <v>21687.465</v>
      </c>
      <c r="Q15" s="7">
        <f t="shared" si="3"/>
        <v>8413.9605000000047</v>
      </c>
      <c r="R15" s="7">
        <f t="shared" si="4"/>
        <v>0</v>
      </c>
      <c r="S15" s="7">
        <f>R15*Parametres!$B$26</f>
        <v>0</v>
      </c>
      <c r="T15" s="7">
        <f>R15*Parametres!$B$26</f>
        <v>0</v>
      </c>
      <c r="U15" s="7">
        <f t="shared" si="5"/>
        <v>21687.465</v>
      </c>
      <c r="V15" s="7">
        <f t="shared" si="6"/>
        <v>8413.9605000000047</v>
      </c>
      <c r="W15" s="7">
        <f t="shared" si="7"/>
        <v>0</v>
      </c>
      <c r="X15" s="7">
        <f t="shared" si="8"/>
        <v>91789.045999999988</v>
      </c>
    </row>
    <row r="16" spans="1:25" x14ac:dyDescent="0.25">
      <c r="A16" s="10">
        <v>12</v>
      </c>
      <c r="B16" s="10" t="s">
        <v>136</v>
      </c>
      <c r="C16" s="11">
        <f>Parametres!$B$33*Parametres!$B$45</f>
        <v>159494.65</v>
      </c>
      <c r="D16" s="11">
        <f>IF(A16&gt;=Parametres!$B$60,Parametres!$B$63,0)</f>
        <v>57380</v>
      </c>
      <c r="E16" s="11">
        <f>IF(A16&gt;=Parametres!$B$65,Parametres!$B$68,0)</f>
        <v>0</v>
      </c>
      <c r="F16" s="11">
        <f t="shared" si="0"/>
        <v>216874.65</v>
      </c>
      <c r="G16" s="11">
        <f>F16*Parametres!$B$54</f>
        <v>58556.155500000001</v>
      </c>
      <c r="H16" s="11">
        <f>F16*Parametres!$B$57</f>
        <v>93256.099499999997</v>
      </c>
      <c r="I16" s="11">
        <f>IF(A16&lt;Parametres!$B$21,IF(A16&lt;=12,Parametres!$B$18,Parametres!$B$18*(1+Parametres!$B$20)),IF(A16&lt;=24,Parametres!$B$19*(1+Parametres!$B$20),Parametres!$B$19*POWER(1+Parametres!$B$20,2)))</f>
        <v>9000</v>
      </c>
      <c r="J16" s="11">
        <f>Parametres!$B$30</f>
        <v>16680</v>
      </c>
      <c r="K16" s="11">
        <f>IF(A16&lt;Parametres!$B$12,0,IF(A16&lt;=24,Parametres!$B$14,Parametres!$B$15))</f>
        <v>9280.9695000000011</v>
      </c>
      <c r="L16" s="11">
        <f t="shared" si="1"/>
        <v>30101.425500000005</v>
      </c>
      <c r="M16" s="12">
        <f t="shared" si="2"/>
        <v>0.13879642226511954</v>
      </c>
      <c r="N16" s="11">
        <f>F16*Parametres!$B$24</f>
        <v>21687.465</v>
      </c>
      <c r="O16" s="11">
        <f>F16*Parametres!$B$25</f>
        <v>43374.93</v>
      </c>
      <c r="P16" s="11">
        <f>IF(A16&lt;=Parametres!$B$27,0,MIN(L16,N16))</f>
        <v>21687.465</v>
      </c>
      <c r="Q16" s="11">
        <f t="shared" si="3"/>
        <v>8413.9605000000047</v>
      </c>
      <c r="R16" s="11">
        <f t="shared" si="4"/>
        <v>0</v>
      </c>
      <c r="S16" s="11">
        <f>R16*Parametres!$B$26</f>
        <v>0</v>
      </c>
      <c r="T16" s="11">
        <f>R16*Parametres!$B$26</f>
        <v>0</v>
      </c>
      <c r="U16" s="11">
        <f t="shared" si="5"/>
        <v>21687.465</v>
      </c>
      <c r="V16" s="11">
        <f t="shared" si="6"/>
        <v>8413.9605000000047</v>
      </c>
      <c r="W16" s="11">
        <f t="shared" si="7"/>
        <v>0</v>
      </c>
      <c r="X16" s="11">
        <f t="shared" si="8"/>
        <v>91789.045999999988</v>
      </c>
      <c r="Y16" s="14"/>
    </row>
    <row r="17" spans="1:25" x14ac:dyDescent="0.25">
      <c r="A17" s="6">
        <v>13</v>
      </c>
      <c r="B17" s="6" t="s">
        <v>137</v>
      </c>
      <c r="C17" s="7">
        <f>Parametres!$B$33*(1+Parametres!$B$49)*Parametres!$B$34</f>
        <v>160188.10500000001</v>
      </c>
      <c r="D17" s="7">
        <f>IF(A17&gt;=Parametres!$B$60,Parametres!$B$63,0)</f>
        <v>57380</v>
      </c>
      <c r="E17" s="7">
        <f>IF(A17&gt;=Parametres!$B$65,Parametres!$B$68,0)</f>
        <v>0</v>
      </c>
      <c r="F17" s="7">
        <f t="shared" si="0"/>
        <v>217568.10500000001</v>
      </c>
      <c r="G17" s="7">
        <f>F17*Parametres!$B$54</f>
        <v>58743.388350000008</v>
      </c>
      <c r="H17" s="7">
        <f>F17*Parametres!$B$57</f>
        <v>93554.285149999996</v>
      </c>
      <c r="I17" s="7">
        <f>IF(A17&lt;Parametres!$B$21,IF(A17&lt;=12,Parametres!$B$18,Parametres!$B$18*(1+Parametres!$B$20)),IF(A17&lt;=24,Parametres!$B$19*(1+Parametres!$B$20),Parametres!$B$19*POWER(1+Parametres!$B$20,2)))</f>
        <v>9270</v>
      </c>
      <c r="J17" s="7">
        <f>Parametres!$B$30</f>
        <v>16680</v>
      </c>
      <c r="K17" s="7">
        <f>IF(A17&lt;Parametres!$B$12,0,IF(A17&lt;=24,Parametres!$B$14,Parametres!$B$15))</f>
        <v>9280.9695000000011</v>
      </c>
      <c r="L17" s="7">
        <f t="shared" si="1"/>
        <v>30039.462000000021</v>
      </c>
      <c r="M17" s="8">
        <f t="shared" si="2"/>
        <v>0.13806923583767033</v>
      </c>
      <c r="N17" s="7">
        <f>F17*Parametres!$B$24</f>
        <v>21756.810500000003</v>
      </c>
      <c r="O17" s="7">
        <f>F17*Parametres!$B$25</f>
        <v>43513.621000000006</v>
      </c>
      <c r="P17" s="7">
        <f>IF(A17&lt;=Parametres!$B$27,0,MIN(L17,N17))</f>
        <v>21756.810500000003</v>
      </c>
      <c r="Q17" s="7">
        <f t="shared" si="3"/>
        <v>8282.6515000000181</v>
      </c>
      <c r="R17" s="7">
        <f t="shared" si="4"/>
        <v>0</v>
      </c>
      <c r="S17" s="7">
        <f>R17*Parametres!$B$26</f>
        <v>0</v>
      </c>
      <c r="T17" s="7">
        <f>R17*Parametres!$B$26</f>
        <v>0</v>
      </c>
      <c r="U17" s="7">
        <f t="shared" si="5"/>
        <v>21756.810500000003</v>
      </c>
      <c r="V17" s="7">
        <f t="shared" si="6"/>
        <v>8282.6515000000181</v>
      </c>
      <c r="W17" s="7">
        <f t="shared" si="7"/>
        <v>0</v>
      </c>
      <c r="X17" s="7">
        <f t="shared" si="8"/>
        <v>91789.045999999988</v>
      </c>
    </row>
    <row r="18" spans="1:25" x14ac:dyDescent="0.25">
      <c r="A18" s="10">
        <v>14</v>
      </c>
      <c r="B18" s="10" t="s">
        <v>138</v>
      </c>
      <c r="C18" s="11">
        <f>Parametres!$B$33*(1+Parametres!$B$49)*Parametres!$B$35</f>
        <v>152560.1</v>
      </c>
      <c r="D18" s="11">
        <f>IF(A18&gt;=Parametres!$B$60,Parametres!$B$63,0)</f>
        <v>57380</v>
      </c>
      <c r="E18" s="11">
        <f>IF(A18&gt;=Parametres!$B$65,Parametres!$B$68,0)</f>
        <v>0</v>
      </c>
      <c r="F18" s="11">
        <f t="shared" si="0"/>
        <v>209940.1</v>
      </c>
      <c r="G18" s="11">
        <f>F18*Parametres!$B$54</f>
        <v>56683.827000000005</v>
      </c>
      <c r="H18" s="11">
        <f>F18*Parametres!$B$57</f>
        <v>90274.243000000002</v>
      </c>
      <c r="I18" s="11">
        <f>IF(A18&lt;Parametres!$B$21,IF(A18&lt;=12,Parametres!$B$18,Parametres!$B$18*(1+Parametres!$B$20)),IF(A18&lt;=24,Parametres!$B$19*(1+Parametres!$B$20),Parametres!$B$19*POWER(1+Parametres!$B$20,2)))</f>
        <v>9270</v>
      </c>
      <c r="J18" s="11">
        <f>Parametres!$B$30</f>
        <v>16680</v>
      </c>
      <c r="K18" s="11">
        <f>IF(A18&lt;Parametres!$B$12,0,IF(A18&lt;=24,Parametres!$B$14,Parametres!$B$15))</f>
        <v>9280.9695000000011</v>
      </c>
      <c r="L18" s="11">
        <f t="shared" si="1"/>
        <v>27751.060499999985</v>
      </c>
      <c r="M18" s="12">
        <f t="shared" si="2"/>
        <v>0.13218561151490346</v>
      </c>
      <c r="N18" s="11">
        <f>F18*Parametres!$B$24</f>
        <v>20994.010000000002</v>
      </c>
      <c r="O18" s="11">
        <f>F18*Parametres!$B$25</f>
        <v>41988.020000000004</v>
      </c>
      <c r="P18" s="11">
        <f>IF(A18&lt;=Parametres!$B$27,0,MIN(L18,N18))</f>
        <v>20994.010000000002</v>
      </c>
      <c r="Q18" s="11">
        <f t="shared" si="3"/>
        <v>6757.050499999983</v>
      </c>
      <c r="R18" s="11">
        <f t="shared" si="4"/>
        <v>0</v>
      </c>
      <c r="S18" s="11">
        <f>R18*Parametres!$B$26</f>
        <v>0</v>
      </c>
      <c r="T18" s="11">
        <f>R18*Parametres!$B$26</f>
        <v>0</v>
      </c>
      <c r="U18" s="11">
        <f t="shared" si="5"/>
        <v>20994.010000000002</v>
      </c>
      <c r="V18" s="11">
        <f t="shared" si="6"/>
        <v>6757.050499999983</v>
      </c>
      <c r="W18" s="11">
        <f t="shared" si="7"/>
        <v>0</v>
      </c>
      <c r="X18" s="11">
        <f t="shared" si="8"/>
        <v>91789.045999999988</v>
      </c>
      <c r="Y18" s="14"/>
    </row>
    <row r="19" spans="1:25" x14ac:dyDescent="0.25">
      <c r="A19" s="6">
        <v>15</v>
      </c>
      <c r="B19" s="6" t="s">
        <v>139</v>
      </c>
      <c r="C19" s="7">
        <f>Parametres!$B$33*(1+Parametres!$B$49)*Parametres!$B$36</f>
        <v>129676.08500000001</v>
      </c>
      <c r="D19" s="7">
        <f>IF(A19&gt;=Parametres!$B$60,Parametres!$B$63,0)</f>
        <v>57380</v>
      </c>
      <c r="E19" s="7">
        <f>IF(A19&gt;=Parametres!$B$65,Parametres!$B$68,0)</f>
        <v>0</v>
      </c>
      <c r="F19" s="7">
        <f t="shared" si="0"/>
        <v>187056.08500000002</v>
      </c>
      <c r="G19" s="7">
        <f>F19*Parametres!$B$54</f>
        <v>50505.142950000009</v>
      </c>
      <c r="H19" s="7">
        <f>F19*Parametres!$B$57</f>
        <v>80434.116550000006</v>
      </c>
      <c r="I19" s="7">
        <f>IF(A19&lt;Parametres!$B$21,IF(A19&lt;=12,Parametres!$B$18,Parametres!$B$18*(1+Parametres!$B$20)),IF(A19&lt;=24,Parametres!$B$19*(1+Parametres!$B$20),Parametres!$B$19*POWER(1+Parametres!$B$20,2)))</f>
        <v>9270</v>
      </c>
      <c r="J19" s="7">
        <f>Parametres!$B$30</f>
        <v>16680</v>
      </c>
      <c r="K19" s="7">
        <f>IF(A19&lt;Parametres!$B$12,0,IF(A19&lt;=24,Parametres!$B$14,Parametres!$B$15))</f>
        <v>9280.9695000000011</v>
      </c>
      <c r="L19" s="7">
        <f t="shared" si="1"/>
        <v>20885.856000000007</v>
      </c>
      <c r="M19" s="8">
        <f t="shared" si="2"/>
        <v>0.11165558180050654</v>
      </c>
      <c r="N19" s="7">
        <f>F19*Parametres!$B$24</f>
        <v>18705.608500000002</v>
      </c>
      <c r="O19" s="7">
        <f>F19*Parametres!$B$25</f>
        <v>37411.217000000004</v>
      </c>
      <c r="P19" s="7">
        <f>IF(A19&lt;=Parametres!$B$27,0,MIN(L19,N19))</f>
        <v>18705.608500000002</v>
      </c>
      <c r="Q19" s="7">
        <f t="shared" si="3"/>
        <v>2180.2475000000049</v>
      </c>
      <c r="R19" s="7">
        <f t="shared" si="4"/>
        <v>0</v>
      </c>
      <c r="S19" s="7">
        <f>R19*Parametres!$B$26</f>
        <v>0</v>
      </c>
      <c r="T19" s="7">
        <f>R19*Parametres!$B$26</f>
        <v>0</v>
      </c>
      <c r="U19" s="7">
        <f t="shared" si="5"/>
        <v>18705.608500000002</v>
      </c>
      <c r="V19" s="7">
        <f t="shared" si="6"/>
        <v>2180.2475000000049</v>
      </c>
      <c r="W19" s="7">
        <f t="shared" si="7"/>
        <v>0</v>
      </c>
      <c r="X19" s="7">
        <f t="shared" si="8"/>
        <v>91789.045999999988</v>
      </c>
    </row>
    <row r="20" spans="1:25" x14ac:dyDescent="0.25">
      <c r="A20" s="10">
        <v>16</v>
      </c>
      <c r="B20" s="10" t="s">
        <v>140</v>
      </c>
      <c r="C20" s="11">
        <f>Parametres!$B$33*(1+Parametres!$B$49)*Parametres!$B$37</f>
        <v>122048.08000000002</v>
      </c>
      <c r="D20" s="11">
        <f>IF(A20&gt;=Parametres!$B$60,Parametres!$B$63,0)</f>
        <v>57380</v>
      </c>
      <c r="E20" s="11">
        <f>IF(A20&gt;=Parametres!$B$65,Parametres!$B$68,0)</f>
        <v>0</v>
      </c>
      <c r="F20" s="11">
        <f t="shared" si="0"/>
        <v>179428.08000000002</v>
      </c>
      <c r="G20" s="11">
        <f>F20*Parametres!$B$54</f>
        <v>48445.581600000005</v>
      </c>
      <c r="H20" s="11">
        <f>F20*Parametres!$B$57</f>
        <v>77154.074400000012</v>
      </c>
      <c r="I20" s="11">
        <f>IF(A20&lt;Parametres!$B$21,IF(A20&lt;=12,Parametres!$B$18,Parametres!$B$18*(1+Parametres!$B$20)),IF(A20&lt;=24,Parametres!$B$19*(1+Parametres!$B$20),Parametres!$B$19*POWER(1+Parametres!$B$20,2)))</f>
        <v>11124</v>
      </c>
      <c r="J20" s="11">
        <f>Parametres!$B$30</f>
        <v>16680</v>
      </c>
      <c r="K20" s="11">
        <f>IF(A20&lt;Parametres!$B$12,0,IF(A20&lt;=24,Parametres!$B$14,Parametres!$B$15))</f>
        <v>9280.9695000000011</v>
      </c>
      <c r="L20" s="11">
        <f t="shared" si="1"/>
        <v>16743.4545</v>
      </c>
      <c r="M20" s="12">
        <f t="shared" si="2"/>
        <v>9.3315686708568685E-2</v>
      </c>
      <c r="N20" s="11">
        <f>F20*Parametres!$B$24</f>
        <v>17942.808000000001</v>
      </c>
      <c r="O20" s="11">
        <f>F20*Parametres!$B$25</f>
        <v>35885.616000000002</v>
      </c>
      <c r="P20" s="11">
        <f>IF(A20&lt;=Parametres!$B$27,0,MIN(L20,N20))</f>
        <v>16743.4545</v>
      </c>
      <c r="Q20" s="11">
        <f t="shared" si="3"/>
        <v>0</v>
      </c>
      <c r="R20" s="11">
        <f t="shared" si="4"/>
        <v>0</v>
      </c>
      <c r="S20" s="11">
        <f>R20*Parametres!$B$26</f>
        <v>0</v>
      </c>
      <c r="T20" s="11">
        <f>R20*Parametres!$B$26</f>
        <v>0</v>
      </c>
      <c r="U20" s="11">
        <f t="shared" si="5"/>
        <v>16743.4545</v>
      </c>
      <c r="V20" s="11">
        <f t="shared" si="6"/>
        <v>0</v>
      </c>
      <c r="W20" s="11">
        <f t="shared" si="7"/>
        <v>0</v>
      </c>
      <c r="X20" s="11">
        <f t="shared" si="8"/>
        <v>91789.045999999988</v>
      </c>
      <c r="Y20" s="14"/>
    </row>
    <row r="21" spans="1:25" x14ac:dyDescent="0.25">
      <c r="A21" s="6">
        <v>17</v>
      </c>
      <c r="B21" s="6" t="s">
        <v>141</v>
      </c>
      <c r="C21" s="7">
        <f>Parametres!$B$33*(1+Parametres!$B$49)*Parametres!$B$38</f>
        <v>122048.08000000002</v>
      </c>
      <c r="D21" s="7">
        <f>IF(A21&gt;=Parametres!$B$60,Parametres!$B$63,0)</f>
        <v>57380</v>
      </c>
      <c r="E21" s="7">
        <f>IF(A21&gt;=Parametres!$B$65,Parametres!$B$68,0)</f>
        <v>0</v>
      </c>
      <c r="F21" s="7">
        <f t="shared" si="0"/>
        <v>179428.08000000002</v>
      </c>
      <c r="G21" s="7">
        <f>F21*Parametres!$B$54</f>
        <v>48445.581600000005</v>
      </c>
      <c r="H21" s="7">
        <f>F21*Parametres!$B$57</f>
        <v>77154.074400000012</v>
      </c>
      <c r="I21" s="7">
        <f>IF(A21&lt;Parametres!$B$21,IF(A21&lt;=12,Parametres!$B$18,Parametres!$B$18*(1+Parametres!$B$20)),IF(A21&lt;=24,Parametres!$B$19*(1+Parametres!$B$20),Parametres!$B$19*POWER(1+Parametres!$B$20,2)))</f>
        <v>11124</v>
      </c>
      <c r="J21" s="7">
        <f>Parametres!$B$30</f>
        <v>16680</v>
      </c>
      <c r="K21" s="7">
        <f>IF(A21&lt;Parametres!$B$12,0,IF(A21&lt;=24,Parametres!$B$14,Parametres!$B$15))</f>
        <v>9280.9695000000011</v>
      </c>
      <c r="L21" s="7">
        <f t="shared" si="1"/>
        <v>16743.4545</v>
      </c>
      <c r="M21" s="8">
        <f t="shared" si="2"/>
        <v>9.3315686708568685E-2</v>
      </c>
      <c r="N21" s="7">
        <f>F21*Parametres!$B$24</f>
        <v>17942.808000000001</v>
      </c>
      <c r="O21" s="7">
        <f>F21*Parametres!$B$25</f>
        <v>35885.616000000002</v>
      </c>
      <c r="P21" s="7">
        <f>IF(A21&lt;=Parametres!$B$27,0,MIN(L21,N21))</f>
        <v>16743.4545</v>
      </c>
      <c r="Q21" s="7">
        <f t="shared" si="3"/>
        <v>0</v>
      </c>
      <c r="R21" s="7">
        <f t="shared" si="4"/>
        <v>0</v>
      </c>
      <c r="S21" s="7">
        <f>R21*Parametres!$B$26</f>
        <v>0</v>
      </c>
      <c r="T21" s="7">
        <f>R21*Parametres!$B$26</f>
        <v>0</v>
      </c>
      <c r="U21" s="7">
        <f t="shared" si="5"/>
        <v>16743.4545</v>
      </c>
      <c r="V21" s="7">
        <f t="shared" si="6"/>
        <v>0</v>
      </c>
      <c r="W21" s="7">
        <f t="shared" si="7"/>
        <v>0</v>
      </c>
      <c r="X21" s="7">
        <f t="shared" si="8"/>
        <v>91789.045999999988</v>
      </c>
    </row>
    <row r="22" spans="1:25" x14ac:dyDescent="0.25">
      <c r="A22" s="10">
        <v>18</v>
      </c>
      <c r="B22" s="10" t="s">
        <v>142</v>
      </c>
      <c r="C22" s="11">
        <f>Parametres!$B$33*(1+Parametres!$B$49)*Parametres!$B$39</f>
        <v>114420.07500000001</v>
      </c>
      <c r="D22" s="11">
        <f>IF(A22&gt;=Parametres!$B$60,Parametres!$B$63,0)</f>
        <v>57380</v>
      </c>
      <c r="E22" s="11">
        <f>IF(A22&gt;=Parametres!$B$65,Parametres!$B$68,0)</f>
        <v>0</v>
      </c>
      <c r="F22" s="11">
        <f t="shared" si="0"/>
        <v>171800.07500000001</v>
      </c>
      <c r="G22" s="11">
        <f>F22*Parametres!$B$54</f>
        <v>46386.020250000009</v>
      </c>
      <c r="H22" s="11">
        <f>F22*Parametres!$B$57</f>
        <v>73874.032250000004</v>
      </c>
      <c r="I22" s="11">
        <f>IF(A22&lt;Parametres!$B$21,IF(A22&lt;=12,Parametres!$B$18,Parametres!$B$18*(1+Parametres!$B$20)),IF(A22&lt;=24,Parametres!$B$19*(1+Parametres!$B$20),Parametres!$B$19*POWER(1+Parametres!$B$20,2)))</f>
        <v>11124</v>
      </c>
      <c r="J22" s="11">
        <f>Parametres!$B$30</f>
        <v>16680</v>
      </c>
      <c r="K22" s="11">
        <f>IF(A22&lt;Parametres!$B$12,0,IF(A22&lt;=24,Parametres!$B$14,Parametres!$B$15))</f>
        <v>9280.9695000000011</v>
      </c>
      <c r="L22" s="11">
        <f t="shared" si="1"/>
        <v>14455.053000000005</v>
      </c>
      <c r="M22" s="12">
        <f t="shared" si="2"/>
        <v>8.4138804945224868E-2</v>
      </c>
      <c r="N22" s="11">
        <f>F22*Parametres!$B$24</f>
        <v>17180.007500000003</v>
      </c>
      <c r="O22" s="11">
        <f>F22*Parametres!$B$25</f>
        <v>34360.015000000007</v>
      </c>
      <c r="P22" s="11">
        <f>IF(A22&lt;=Parametres!$B$27,0,MIN(L22,N22))</f>
        <v>14455.053000000005</v>
      </c>
      <c r="Q22" s="11">
        <f t="shared" si="3"/>
        <v>0</v>
      </c>
      <c r="R22" s="11">
        <f t="shared" si="4"/>
        <v>0</v>
      </c>
      <c r="S22" s="11">
        <f>R22*Parametres!$B$26</f>
        <v>0</v>
      </c>
      <c r="T22" s="11">
        <f>R22*Parametres!$B$26</f>
        <v>0</v>
      </c>
      <c r="U22" s="11">
        <f t="shared" si="5"/>
        <v>14455.053000000005</v>
      </c>
      <c r="V22" s="11">
        <f t="shared" si="6"/>
        <v>0</v>
      </c>
      <c r="W22" s="11">
        <f t="shared" si="7"/>
        <v>0</v>
      </c>
      <c r="X22" s="11">
        <f t="shared" si="8"/>
        <v>91789.045999999988</v>
      </c>
      <c r="Y22" s="14"/>
    </row>
    <row r="23" spans="1:25" x14ac:dyDescent="0.25">
      <c r="A23" s="6">
        <v>19</v>
      </c>
      <c r="B23" s="6" t="s">
        <v>143</v>
      </c>
      <c r="C23" s="7">
        <f>Parametres!$B$33*(1+Parametres!$B$49)*Parametres!$B$40</f>
        <v>137304.09</v>
      </c>
      <c r="D23" s="7">
        <f>IF(A23&gt;=Parametres!$B$60,Parametres!$B$63,0)</f>
        <v>57380</v>
      </c>
      <c r="E23" s="7">
        <f>IF(A23&gt;=Parametres!$B$65,Parametres!$B$68,0)</f>
        <v>0</v>
      </c>
      <c r="F23" s="7">
        <f t="shared" si="0"/>
        <v>194684.09</v>
      </c>
      <c r="G23" s="7">
        <f>F23*Parametres!$B$54</f>
        <v>52564.704300000005</v>
      </c>
      <c r="H23" s="7">
        <f>F23*Parametres!$B$57</f>
        <v>83714.1587</v>
      </c>
      <c r="I23" s="7">
        <f>IF(A23&lt;Parametres!$B$21,IF(A23&lt;=12,Parametres!$B$18,Parametres!$B$18*(1+Parametres!$B$20)),IF(A23&lt;=24,Parametres!$B$19*(1+Parametres!$B$20),Parametres!$B$19*POWER(1+Parametres!$B$20,2)))</f>
        <v>11124</v>
      </c>
      <c r="J23" s="7">
        <f>Parametres!$B$30</f>
        <v>16680</v>
      </c>
      <c r="K23" s="7">
        <f>IF(A23&lt;Parametres!$B$12,0,IF(A23&lt;=24,Parametres!$B$14,Parametres!$B$15))</f>
        <v>9280.9695000000011</v>
      </c>
      <c r="L23" s="7">
        <f t="shared" si="1"/>
        <v>21320.257499999985</v>
      </c>
      <c r="M23" s="8">
        <f t="shared" si="2"/>
        <v>0.10951206901395992</v>
      </c>
      <c r="N23" s="7">
        <f>F23*Parametres!$B$24</f>
        <v>19468.409</v>
      </c>
      <c r="O23" s="7">
        <f>F23*Parametres!$B$25</f>
        <v>38936.817999999999</v>
      </c>
      <c r="P23" s="7">
        <f>IF(A23&lt;=Parametres!$B$27,0,MIN(L23,N23))</f>
        <v>19468.409</v>
      </c>
      <c r="Q23" s="7">
        <f t="shared" si="3"/>
        <v>1851.8484999999855</v>
      </c>
      <c r="R23" s="7">
        <f t="shared" si="4"/>
        <v>0</v>
      </c>
      <c r="S23" s="7">
        <f>R23*Parametres!$B$26</f>
        <v>0</v>
      </c>
      <c r="T23" s="7">
        <f>R23*Parametres!$B$26</f>
        <v>0</v>
      </c>
      <c r="U23" s="7">
        <f t="shared" si="5"/>
        <v>19468.409</v>
      </c>
      <c r="V23" s="7">
        <f t="shared" si="6"/>
        <v>1851.8484999999855</v>
      </c>
      <c r="W23" s="7">
        <f t="shared" si="7"/>
        <v>0</v>
      </c>
      <c r="X23" s="7">
        <f t="shared" si="8"/>
        <v>91789.045999999988</v>
      </c>
    </row>
    <row r="24" spans="1:25" x14ac:dyDescent="0.25">
      <c r="A24" s="10">
        <v>20</v>
      </c>
      <c r="B24" s="10" t="s">
        <v>144</v>
      </c>
      <c r="C24" s="11">
        <f>Parametres!$B$33*(1+Parametres!$B$49)*Parametres!$B$41</f>
        <v>152560.1</v>
      </c>
      <c r="D24" s="11">
        <f>IF(A24&gt;=Parametres!$B$60,Parametres!$B$63,0)</f>
        <v>57380</v>
      </c>
      <c r="E24" s="11">
        <f>IF(A24&gt;=Parametres!$B$65,Parametres!$B$68,0)</f>
        <v>83863</v>
      </c>
      <c r="F24" s="11">
        <f t="shared" si="0"/>
        <v>293803.09999999998</v>
      </c>
      <c r="G24" s="11">
        <f>F24*Parametres!$B$54</f>
        <v>79326.837</v>
      </c>
      <c r="H24" s="11">
        <f>F24*Parametres!$B$57</f>
        <v>126335.33299999998</v>
      </c>
      <c r="I24" s="11">
        <f>IF(A24&lt;Parametres!$B$21,IF(A24&lt;=12,Parametres!$B$18,Parametres!$B$18*(1+Parametres!$B$20)),IF(A24&lt;=24,Parametres!$B$19*(1+Parametres!$B$20),Parametres!$B$19*POWER(1+Parametres!$B$20,2)))</f>
        <v>11124</v>
      </c>
      <c r="J24" s="11">
        <f>Parametres!$B$30</f>
        <v>16680</v>
      </c>
      <c r="K24" s="11">
        <f>IF(A24&lt;Parametres!$B$12,0,IF(A24&lt;=24,Parametres!$B$14,Parametres!$B$15))</f>
        <v>9280.9695000000011</v>
      </c>
      <c r="L24" s="11">
        <f t="shared" si="1"/>
        <v>51055.960499999994</v>
      </c>
      <c r="M24" s="12">
        <f t="shared" si="2"/>
        <v>0.17377611230106149</v>
      </c>
      <c r="N24" s="11">
        <f>F24*Parametres!$B$24</f>
        <v>29380.309999999998</v>
      </c>
      <c r="O24" s="11">
        <f>F24*Parametres!$B$25</f>
        <v>58760.619999999995</v>
      </c>
      <c r="P24" s="11">
        <f>IF(A24&lt;=Parametres!$B$27,0,MIN(L24,N24))</f>
        <v>29380.309999999998</v>
      </c>
      <c r="Q24" s="11">
        <f t="shared" si="3"/>
        <v>21675.650499999996</v>
      </c>
      <c r="R24" s="11">
        <f t="shared" si="4"/>
        <v>0</v>
      </c>
      <c r="S24" s="11">
        <f>R24*Parametres!$B$26</f>
        <v>0</v>
      </c>
      <c r="T24" s="11">
        <f>R24*Parametres!$B$26</f>
        <v>0</v>
      </c>
      <c r="U24" s="11">
        <f t="shared" si="5"/>
        <v>29380.309999999998</v>
      </c>
      <c r="V24" s="11">
        <f t="shared" si="6"/>
        <v>21675.650499999996</v>
      </c>
      <c r="W24" s="11">
        <f t="shared" si="7"/>
        <v>0</v>
      </c>
      <c r="X24" s="11">
        <f t="shared" si="8"/>
        <v>91789.045999999988</v>
      </c>
      <c r="Y24" s="14"/>
    </row>
    <row r="25" spans="1:25" x14ac:dyDescent="0.25">
      <c r="A25" s="6">
        <v>21</v>
      </c>
      <c r="B25" s="6" t="s">
        <v>145</v>
      </c>
      <c r="C25" s="7">
        <f>Parametres!$B$33*(1+Parametres!$B$49)*Parametres!$B$42</f>
        <v>160188.10500000001</v>
      </c>
      <c r="D25" s="7">
        <f>IF(A25&gt;=Parametres!$B$60,Parametres!$B$63,0)</f>
        <v>57380</v>
      </c>
      <c r="E25" s="7">
        <f>IF(A25&gt;=Parametres!$B$65,Parametres!$B$68,0)</f>
        <v>83863</v>
      </c>
      <c r="F25" s="7">
        <f t="shared" si="0"/>
        <v>301431.10499999998</v>
      </c>
      <c r="G25" s="7">
        <f>F25*Parametres!$B$54</f>
        <v>81386.398350000003</v>
      </c>
      <c r="H25" s="7">
        <f>F25*Parametres!$B$57</f>
        <v>129615.37514999999</v>
      </c>
      <c r="I25" s="7">
        <f>IF(A25&lt;Parametres!$B$21,IF(A25&lt;=12,Parametres!$B$18,Parametres!$B$18*(1+Parametres!$B$20)),IF(A25&lt;=24,Parametres!$B$19*(1+Parametres!$B$20),Parametres!$B$19*POWER(1+Parametres!$B$20,2)))</f>
        <v>11124</v>
      </c>
      <c r="J25" s="7">
        <f>Parametres!$B$30</f>
        <v>16680</v>
      </c>
      <c r="K25" s="7">
        <f>IF(A25&lt;Parametres!$B$12,0,IF(A25&lt;=24,Parametres!$B$14,Parametres!$B$15))</f>
        <v>9280.9695000000011</v>
      </c>
      <c r="L25" s="7">
        <f t="shared" si="1"/>
        <v>53344.361999999986</v>
      </c>
      <c r="M25" s="8">
        <f t="shared" si="2"/>
        <v>0.17697032958824865</v>
      </c>
      <c r="N25" s="7">
        <f>F25*Parametres!$B$24</f>
        <v>30143.110499999999</v>
      </c>
      <c r="O25" s="7">
        <f>F25*Parametres!$B$25</f>
        <v>60286.220999999998</v>
      </c>
      <c r="P25" s="7">
        <f>IF(A25&lt;=Parametres!$B$27,0,MIN(L25,N25))</f>
        <v>30143.110499999999</v>
      </c>
      <c r="Q25" s="7">
        <f t="shared" si="3"/>
        <v>23201.251499999988</v>
      </c>
      <c r="R25" s="7">
        <f t="shared" si="4"/>
        <v>0</v>
      </c>
      <c r="S25" s="7">
        <f>R25*Parametres!$B$26</f>
        <v>0</v>
      </c>
      <c r="T25" s="7">
        <f>R25*Parametres!$B$26</f>
        <v>0</v>
      </c>
      <c r="U25" s="7">
        <f t="shared" si="5"/>
        <v>30143.110499999999</v>
      </c>
      <c r="V25" s="7">
        <f t="shared" si="6"/>
        <v>23201.251499999988</v>
      </c>
      <c r="W25" s="7">
        <f t="shared" si="7"/>
        <v>0</v>
      </c>
      <c r="X25" s="7">
        <f t="shared" si="8"/>
        <v>91789.045999999988</v>
      </c>
    </row>
    <row r="26" spans="1:25" x14ac:dyDescent="0.25">
      <c r="A26" s="10">
        <v>22</v>
      </c>
      <c r="B26" s="10" t="s">
        <v>146</v>
      </c>
      <c r="C26" s="11">
        <f>Parametres!$B$33*(1+Parametres!$B$49)*Parametres!$B$43</f>
        <v>175444.11499999999</v>
      </c>
      <c r="D26" s="11">
        <f>IF(A26&gt;=Parametres!$B$60,Parametres!$B$63,0)</f>
        <v>57380</v>
      </c>
      <c r="E26" s="11">
        <f>IF(A26&gt;=Parametres!$B$65,Parametres!$B$68,0)</f>
        <v>83863</v>
      </c>
      <c r="F26" s="11">
        <f t="shared" si="0"/>
        <v>316687.11499999999</v>
      </c>
      <c r="G26" s="11">
        <f>F26*Parametres!$B$54</f>
        <v>85505.52105000001</v>
      </c>
      <c r="H26" s="11">
        <f>F26*Parametres!$B$57</f>
        <v>136175.45944999999</v>
      </c>
      <c r="I26" s="11">
        <f>IF(A26&lt;Parametres!$B$21,IF(A26&lt;=12,Parametres!$B$18,Parametres!$B$18*(1+Parametres!$B$20)),IF(A26&lt;=24,Parametres!$B$19*(1+Parametres!$B$20),Parametres!$B$19*POWER(1+Parametres!$B$20,2)))</f>
        <v>11124</v>
      </c>
      <c r="J26" s="11">
        <f>Parametres!$B$30</f>
        <v>16680</v>
      </c>
      <c r="K26" s="11">
        <f>IF(A26&lt;Parametres!$B$12,0,IF(A26&lt;=24,Parametres!$B$14,Parametres!$B$15))</f>
        <v>9280.9695000000011</v>
      </c>
      <c r="L26" s="11">
        <f t="shared" si="1"/>
        <v>57921.164999999986</v>
      </c>
      <c r="M26" s="12">
        <f t="shared" si="2"/>
        <v>0.18289713176363359</v>
      </c>
      <c r="N26" s="11">
        <f>F26*Parametres!$B$24</f>
        <v>31668.711500000001</v>
      </c>
      <c r="O26" s="11">
        <f>F26*Parametres!$B$25</f>
        <v>63337.423000000003</v>
      </c>
      <c r="P26" s="11">
        <f>IF(A26&lt;=Parametres!$B$27,0,MIN(L26,N26))</f>
        <v>31668.711500000001</v>
      </c>
      <c r="Q26" s="11">
        <f t="shared" si="3"/>
        <v>26252.453499999985</v>
      </c>
      <c r="R26" s="11">
        <f t="shared" si="4"/>
        <v>0</v>
      </c>
      <c r="S26" s="11">
        <f>R26*Parametres!$B$26</f>
        <v>0</v>
      </c>
      <c r="T26" s="11">
        <f>R26*Parametres!$B$26</f>
        <v>0</v>
      </c>
      <c r="U26" s="11">
        <f t="shared" si="5"/>
        <v>31668.711500000001</v>
      </c>
      <c r="V26" s="11">
        <f t="shared" si="6"/>
        <v>26252.453499999985</v>
      </c>
      <c r="W26" s="11">
        <f t="shared" si="7"/>
        <v>0</v>
      </c>
      <c r="X26" s="11">
        <f t="shared" si="8"/>
        <v>91789.045999999988</v>
      </c>
      <c r="Y26" s="14"/>
    </row>
    <row r="27" spans="1:25" x14ac:dyDescent="0.25">
      <c r="A27" s="6">
        <v>23</v>
      </c>
      <c r="B27" s="6" t="s">
        <v>147</v>
      </c>
      <c r="C27" s="7">
        <f>Parametres!$B$33*(1+Parametres!$B$49)*Parametres!$B$44</f>
        <v>175444.11499999999</v>
      </c>
      <c r="D27" s="7">
        <f>IF(A27&gt;=Parametres!$B$60,Parametres!$B$63,0)</f>
        <v>57380</v>
      </c>
      <c r="E27" s="7">
        <f>IF(A27&gt;=Parametres!$B$65,Parametres!$B$68,0)</f>
        <v>83863</v>
      </c>
      <c r="F27" s="7">
        <f t="shared" si="0"/>
        <v>316687.11499999999</v>
      </c>
      <c r="G27" s="7">
        <f>F27*Parametres!$B$54</f>
        <v>85505.52105000001</v>
      </c>
      <c r="H27" s="7">
        <f>F27*Parametres!$B$57</f>
        <v>136175.45944999999</v>
      </c>
      <c r="I27" s="7">
        <f>IF(A27&lt;Parametres!$B$21,IF(A27&lt;=12,Parametres!$B$18,Parametres!$B$18*(1+Parametres!$B$20)),IF(A27&lt;=24,Parametres!$B$19*(1+Parametres!$B$20),Parametres!$B$19*POWER(1+Parametres!$B$20,2)))</f>
        <v>11124</v>
      </c>
      <c r="J27" s="7">
        <f>Parametres!$B$30</f>
        <v>16680</v>
      </c>
      <c r="K27" s="7">
        <f>IF(A27&lt;Parametres!$B$12,0,IF(A27&lt;=24,Parametres!$B$14,Parametres!$B$15))</f>
        <v>9280.9695000000011</v>
      </c>
      <c r="L27" s="7">
        <f t="shared" si="1"/>
        <v>57921.164999999986</v>
      </c>
      <c r="M27" s="8">
        <f t="shared" si="2"/>
        <v>0.18289713176363359</v>
      </c>
      <c r="N27" s="7">
        <f>F27*Parametres!$B$24</f>
        <v>31668.711500000001</v>
      </c>
      <c r="O27" s="7">
        <f>F27*Parametres!$B$25</f>
        <v>63337.423000000003</v>
      </c>
      <c r="P27" s="7">
        <f>IF(A27&lt;=Parametres!$B$27,0,MIN(L27,N27))</f>
        <v>31668.711500000001</v>
      </c>
      <c r="Q27" s="7">
        <f t="shared" si="3"/>
        <v>26252.453499999985</v>
      </c>
      <c r="R27" s="7">
        <f t="shared" si="4"/>
        <v>0</v>
      </c>
      <c r="S27" s="7">
        <f>R27*Parametres!$B$26</f>
        <v>0</v>
      </c>
      <c r="T27" s="7">
        <f>R27*Parametres!$B$26</f>
        <v>0</v>
      </c>
      <c r="U27" s="7">
        <f t="shared" si="5"/>
        <v>31668.711500000001</v>
      </c>
      <c r="V27" s="7">
        <f t="shared" si="6"/>
        <v>26252.453499999985</v>
      </c>
      <c r="W27" s="7">
        <f t="shared" si="7"/>
        <v>0</v>
      </c>
      <c r="X27" s="7">
        <f t="shared" si="8"/>
        <v>91789.045999999988</v>
      </c>
    </row>
    <row r="28" spans="1:25" x14ac:dyDescent="0.25">
      <c r="A28" s="10">
        <v>24</v>
      </c>
      <c r="B28" s="10" t="s">
        <v>148</v>
      </c>
      <c r="C28" s="11">
        <f>Parametres!$B$33*(1+Parametres!$B$49)*Parametres!$B$45</f>
        <v>175444.11499999999</v>
      </c>
      <c r="D28" s="11">
        <f>IF(A28&gt;=Parametres!$B$60,Parametres!$B$63,0)</f>
        <v>57380</v>
      </c>
      <c r="E28" s="11">
        <f>IF(A28&gt;=Parametres!$B$65,Parametres!$B$68,0)</f>
        <v>83863</v>
      </c>
      <c r="F28" s="11">
        <f t="shared" si="0"/>
        <v>316687.11499999999</v>
      </c>
      <c r="G28" s="11">
        <f>F28*Parametres!$B$54</f>
        <v>85505.52105000001</v>
      </c>
      <c r="H28" s="11">
        <f>F28*Parametres!$B$57</f>
        <v>136175.45944999999</v>
      </c>
      <c r="I28" s="11">
        <f>IF(A28&lt;Parametres!$B$21,IF(A28&lt;=12,Parametres!$B$18,Parametres!$B$18*(1+Parametres!$B$20)),IF(A28&lt;=24,Parametres!$B$19*(1+Parametres!$B$20),Parametres!$B$19*POWER(1+Parametres!$B$20,2)))</f>
        <v>11124</v>
      </c>
      <c r="J28" s="11">
        <f>Parametres!$B$30</f>
        <v>16680</v>
      </c>
      <c r="K28" s="11">
        <f>IF(A28&lt;Parametres!$B$12,0,IF(A28&lt;=24,Parametres!$B$14,Parametres!$B$15))</f>
        <v>9280.9695000000011</v>
      </c>
      <c r="L28" s="11">
        <f t="shared" si="1"/>
        <v>57921.164999999986</v>
      </c>
      <c r="M28" s="12">
        <f t="shared" si="2"/>
        <v>0.18289713176363359</v>
      </c>
      <c r="N28" s="11">
        <f>F28*Parametres!$B$24</f>
        <v>31668.711500000001</v>
      </c>
      <c r="O28" s="11">
        <f>F28*Parametres!$B$25</f>
        <v>63337.423000000003</v>
      </c>
      <c r="P28" s="11">
        <f>IF(A28&lt;=Parametres!$B$27,0,MIN(L28,N28))</f>
        <v>31668.711500000001</v>
      </c>
      <c r="Q28" s="11">
        <f t="shared" si="3"/>
        <v>26252.453499999985</v>
      </c>
      <c r="R28" s="11">
        <f t="shared" si="4"/>
        <v>0</v>
      </c>
      <c r="S28" s="11">
        <f>R28*Parametres!$B$26</f>
        <v>0</v>
      </c>
      <c r="T28" s="11">
        <f>R28*Parametres!$B$26</f>
        <v>0</v>
      </c>
      <c r="U28" s="11">
        <f t="shared" si="5"/>
        <v>31668.711500000001</v>
      </c>
      <c r="V28" s="11">
        <f t="shared" si="6"/>
        <v>26252.453499999985</v>
      </c>
      <c r="W28" s="11">
        <f t="shared" si="7"/>
        <v>0</v>
      </c>
      <c r="X28" s="11">
        <f t="shared" si="8"/>
        <v>91789.045999999988</v>
      </c>
      <c r="Y28" s="14"/>
    </row>
    <row r="29" spans="1:25" x14ac:dyDescent="0.25">
      <c r="A29" s="6">
        <v>25</v>
      </c>
      <c r="B29" s="6" t="s">
        <v>149</v>
      </c>
      <c r="C29" s="7">
        <f>Parametres!$B$33*POWER(1+Parametres!$B$49,2)*Parametres!$B$34</f>
        <v>176206.91550000003</v>
      </c>
      <c r="D29" s="7">
        <f>IF(A29&gt;=Parametres!$B$60,Parametres!$B$63,0)</f>
        <v>57380</v>
      </c>
      <c r="E29" s="7">
        <f>IF(A29&gt;=Parametres!$B$65,Parametres!$B$68,0)</f>
        <v>83863</v>
      </c>
      <c r="F29" s="7">
        <f t="shared" si="0"/>
        <v>317449.9155</v>
      </c>
      <c r="G29" s="7">
        <f>F29*Parametres!$B$54</f>
        <v>85711.477185000011</v>
      </c>
      <c r="H29" s="7">
        <f>F29*Parametres!$B$57</f>
        <v>136503.46366499999</v>
      </c>
      <c r="I29" s="7">
        <f>IF(A29&lt;Parametres!$B$21,IF(A29&lt;=12,Parametres!$B$18,Parametres!$B$18*(1+Parametres!$B$20)),IF(A29&lt;=24,Parametres!$B$19*(1+Parametres!$B$20),Parametres!$B$19*POWER(1+Parametres!$B$20,2)))</f>
        <v>11457.72</v>
      </c>
      <c r="J29" s="7">
        <f>Parametres!$B$30</f>
        <v>16680</v>
      </c>
      <c r="K29" s="7">
        <f>IF(A29&lt;Parametres!$B$12,0,IF(A29&lt;=24,Parametres!$B$14,Parametres!$B$15))</f>
        <v>17254</v>
      </c>
      <c r="L29" s="7">
        <f t="shared" si="1"/>
        <v>49843.254649999988</v>
      </c>
      <c r="M29" s="8">
        <f t="shared" si="2"/>
        <v>0.15701139681040485</v>
      </c>
      <c r="N29" s="7">
        <f>F29*Parametres!$B$24</f>
        <v>31744.991550000002</v>
      </c>
      <c r="O29" s="7">
        <f>F29*Parametres!$B$25</f>
        <v>63489.983100000005</v>
      </c>
      <c r="P29" s="7">
        <f>IF(A29&lt;=Parametres!$B$27,0,MIN(L29,N29))</f>
        <v>31744.991550000002</v>
      </c>
      <c r="Q29" s="7">
        <f t="shared" si="3"/>
        <v>18098.263099999986</v>
      </c>
      <c r="R29" s="7">
        <f t="shared" si="4"/>
        <v>0</v>
      </c>
      <c r="S29" s="7">
        <f>R29*Parametres!$B$26</f>
        <v>0</v>
      </c>
      <c r="T29" s="7">
        <f>R29*Parametres!$B$26</f>
        <v>0</v>
      </c>
      <c r="U29" s="7">
        <f t="shared" si="5"/>
        <v>31744.991550000002</v>
      </c>
      <c r="V29" s="7">
        <f t="shared" si="6"/>
        <v>18098.263099999986</v>
      </c>
      <c r="W29" s="7">
        <f t="shared" si="7"/>
        <v>0</v>
      </c>
      <c r="X29" s="7">
        <f t="shared" si="8"/>
        <v>91789.045999999988</v>
      </c>
    </row>
    <row r="30" spans="1:25" x14ac:dyDescent="0.25">
      <c r="A30" s="10">
        <v>26</v>
      </c>
      <c r="B30" s="10" t="s">
        <v>150</v>
      </c>
      <c r="C30" s="11">
        <f>Parametres!$B$33*POWER(1+Parametres!$B$49,2)*Parametres!$B$35</f>
        <v>167816.11000000002</v>
      </c>
      <c r="D30" s="11">
        <f>IF(A30&gt;=Parametres!$B$60,Parametres!$B$63,0)</f>
        <v>57380</v>
      </c>
      <c r="E30" s="11">
        <f>IF(A30&gt;=Parametres!$B$65,Parametres!$B$68,0)</f>
        <v>83863</v>
      </c>
      <c r="F30" s="11">
        <f t="shared" si="0"/>
        <v>309059.11</v>
      </c>
      <c r="G30" s="11">
        <f>F30*Parametres!$B$54</f>
        <v>83445.959700000007</v>
      </c>
      <c r="H30" s="11">
        <f>F30*Parametres!$B$57</f>
        <v>132895.4173</v>
      </c>
      <c r="I30" s="11">
        <f>IF(A30&lt;Parametres!$B$21,IF(A30&lt;=12,Parametres!$B$18,Parametres!$B$18*(1+Parametres!$B$20)),IF(A30&lt;=24,Parametres!$B$19*(1+Parametres!$B$20),Parametres!$B$19*POWER(1+Parametres!$B$20,2)))</f>
        <v>11457.72</v>
      </c>
      <c r="J30" s="11">
        <f>Parametres!$B$30</f>
        <v>16680</v>
      </c>
      <c r="K30" s="11">
        <f>IF(A30&lt;Parametres!$B$12,0,IF(A30&lt;=24,Parametres!$B$14,Parametres!$B$15))</f>
        <v>17254</v>
      </c>
      <c r="L30" s="11">
        <f t="shared" si="1"/>
        <v>47326.012999999977</v>
      </c>
      <c r="M30" s="12">
        <f t="shared" si="2"/>
        <v>0.15312932532550158</v>
      </c>
      <c r="N30" s="11">
        <f>F30*Parametres!$B$24</f>
        <v>30905.911</v>
      </c>
      <c r="O30" s="11">
        <f>F30*Parametres!$B$25</f>
        <v>61811.822</v>
      </c>
      <c r="P30" s="11">
        <f>IF(A30&lt;=Parametres!$B$27,0,MIN(L30,N30))</f>
        <v>30905.911</v>
      </c>
      <c r="Q30" s="11">
        <f t="shared" si="3"/>
        <v>16420.101999999977</v>
      </c>
      <c r="R30" s="11">
        <f t="shared" si="4"/>
        <v>0</v>
      </c>
      <c r="S30" s="11">
        <f>R30*Parametres!$B$26</f>
        <v>0</v>
      </c>
      <c r="T30" s="11">
        <f>R30*Parametres!$B$26</f>
        <v>0</v>
      </c>
      <c r="U30" s="11">
        <f t="shared" si="5"/>
        <v>30905.911</v>
      </c>
      <c r="V30" s="11">
        <f t="shared" si="6"/>
        <v>16420.101999999977</v>
      </c>
      <c r="W30" s="11">
        <f t="shared" si="7"/>
        <v>0</v>
      </c>
      <c r="X30" s="11">
        <f t="shared" si="8"/>
        <v>91789.045999999988</v>
      </c>
      <c r="Y30" s="14"/>
    </row>
    <row r="31" spans="1:25" x14ac:dyDescent="0.25">
      <c r="A31" s="6">
        <v>27</v>
      </c>
      <c r="B31" s="6" t="s">
        <v>151</v>
      </c>
      <c r="C31" s="7">
        <f>Parametres!$B$33*POWER(1+Parametres!$B$49,2)*Parametres!$B$36</f>
        <v>142643.69350000002</v>
      </c>
      <c r="D31" s="7">
        <f>IF(A31&gt;=Parametres!$B$60,Parametres!$B$63,0)</f>
        <v>57380</v>
      </c>
      <c r="E31" s="7">
        <f>IF(A31&gt;=Parametres!$B$65,Parametres!$B$68,0)</f>
        <v>83863</v>
      </c>
      <c r="F31" s="7">
        <f t="shared" si="0"/>
        <v>283886.69350000005</v>
      </c>
      <c r="G31" s="7">
        <f>F31*Parametres!$B$54</f>
        <v>76649.407245000024</v>
      </c>
      <c r="H31" s="7">
        <f>F31*Parametres!$B$57</f>
        <v>122071.27820500002</v>
      </c>
      <c r="I31" s="7">
        <f>IF(A31&lt;Parametres!$B$21,IF(A31&lt;=12,Parametres!$B$18,Parametres!$B$18*(1+Parametres!$B$20)),IF(A31&lt;=24,Parametres!$B$19*(1+Parametres!$B$20),Parametres!$B$19*POWER(1+Parametres!$B$20,2)))</f>
        <v>11457.72</v>
      </c>
      <c r="J31" s="7">
        <f>Parametres!$B$30</f>
        <v>16680</v>
      </c>
      <c r="K31" s="7">
        <f>IF(A31&lt;Parametres!$B$12,0,IF(A31&lt;=24,Parametres!$B$14,Parametres!$B$15))</f>
        <v>17254</v>
      </c>
      <c r="L31" s="7">
        <f t="shared" si="1"/>
        <v>39774.288050000017</v>
      </c>
      <c r="M31" s="8">
        <f t="shared" si="2"/>
        <v>0.14010620772544244</v>
      </c>
      <c r="N31" s="7">
        <f>F31*Parametres!$B$24</f>
        <v>28388.669350000007</v>
      </c>
      <c r="O31" s="7">
        <f>F31*Parametres!$B$25</f>
        <v>56777.338700000015</v>
      </c>
      <c r="P31" s="7">
        <f>IF(A31&lt;=Parametres!$B$27,0,MIN(L31,N31))</f>
        <v>28388.669350000007</v>
      </c>
      <c r="Q31" s="7">
        <f t="shared" si="3"/>
        <v>11385.61870000001</v>
      </c>
      <c r="R31" s="7">
        <f t="shared" si="4"/>
        <v>0</v>
      </c>
      <c r="S31" s="7">
        <f>R31*Parametres!$B$26</f>
        <v>0</v>
      </c>
      <c r="T31" s="7">
        <f>R31*Parametres!$B$26</f>
        <v>0</v>
      </c>
      <c r="U31" s="7">
        <f t="shared" si="5"/>
        <v>28388.669350000007</v>
      </c>
      <c r="V31" s="7">
        <f t="shared" si="6"/>
        <v>11385.61870000001</v>
      </c>
      <c r="W31" s="7">
        <f t="shared" si="7"/>
        <v>0</v>
      </c>
      <c r="X31" s="7">
        <f t="shared" si="8"/>
        <v>91789.045999999988</v>
      </c>
    </row>
    <row r="32" spans="1:25" x14ac:dyDescent="0.25">
      <c r="A32" s="10">
        <v>28</v>
      </c>
      <c r="B32" s="10" t="s">
        <v>152</v>
      </c>
      <c r="C32" s="11">
        <f>Parametres!$B$33*POWER(1+Parametres!$B$49,2)*Parametres!$B$37</f>
        <v>134252.88800000001</v>
      </c>
      <c r="D32" s="11">
        <f>IF(A32&gt;=Parametres!$B$60,Parametres!$B$63,0)</f>
        <v>57380</v>
      </c>
      <c r="E32" s="11">
        <f>IF(A32&gt;=Parametres!$B$65,Parametres!$B$68,0)</f>
        <v>83863</v>
      </c>
      <c r="F32" s="11">
        <f t="shared" si="0"/>
        <v>275495.88800000004</v>
      </c>
      <c r="G32" s="11">
        <f>F32*Parametres!$B$54</f>
        <v>74383.88976000002</v>
      </c>
      <c r="H32" s="11">
        <f>F32*Parametres!$B$57</f>
        <v>118463.23184000001</v>
      </c>
      <c r="I32" s="11">
        <f>IF(A32&lt;Parametres!$B$21,IF(A32&lt;=12,Parametres!$B$18,Parametres!$B$18*(1+Parametres!$B$20)),IF(A32&lt;=24,Parametres!$B$19*(1+Parametres!$B$20),Parametres!$B$19*POWER(1+Parametres!$B$20,2)))</f>
        <v>11457.72</v>
      </c>
      <c r="J32" s="11">
        <f>Parametres!$B$30</f>
        <v>16680</v>
      </c>
      <c r="K32" s="11">
        <f>IF(A32&lt;Parametres!$B$12,0,IF(A32&lt;=24,Parametres!$B$14,Parametres!$B$15))</f>
        <v>17254</v>
      </c>
      <c r="L32" s="11">
        <f t="shared" si="1"/>
        <v>37257.046400000007</v>
      </c>
      <c r="M32" s="12">
        <f t="shared" si="2"/>
        <v>0.13523630668491141</v>
      </c>
      <c r="N32" s="11">
        <f>F32*Parametres!$B$24</f>
        <v>27549.588800000005</v>
      </c>
      <c r="O32" s="11">
        <f>F32*Parametres!$B$25</f>
        <v>55099.17760000001</v>
      </c>
      <c r="P32" s="11">
        <f>IF(A32&lt;=Parametres!$B$27,0,MIN(L32,N32))</f>
        <v>27549.588800000005</v>
      </c>
      <c r="Q32" s="11">
        <f t="shared" si="3"/>
        <v>9707.4576000000015</v>
      </c>
      <c r="R32" s="11">
        <f t="shared" si="4"/>
        <v>0</v>
      </c>
      <c r="S32" s="11">
        <f>R32*Parametres!$B$26</f>
        <v>0</v>
      </c>
      <c r="T32" s="11">
        <f>R32*Parametres!$B$26</f>
        <v>0</v>
      </c>
      <c r="U32" s="11">
        <f t="shared" si="5"/>
        <v>27549.588800000005</v>
      </c>
      <c r="V32" s="11">
        <f t="shared" si="6"/>
        <v>9707.4576000000015</v>
      </c>
      <c r="W32" s="11">
        <f t="shared" si="7"/>
        <v>0</v>
      </c>
      <c r="X32" s="11">
        <f t="shared" si="8"/>
        <v>91789.045999999988</v>
      </c>
      <c r="Y32" s="14"/>
    </row>
    <row r="33" spans="1:25" x14ac:dyDescent="0.25">
      <c r="A33" s="6">
        <v>29</v>
      </c>
      <c r="B33" s="6" t="s">
        <v>153</v>
      </c>
      <c r="C33" s="7">
        <f>Parametres!$B$33*POWER(1+Parametres!$B$49,2)*Parametres!$B$38</f>
        <v>134252.88800000001</v>
      </c>
      <c r="D33" s="7">
        <f>IF(A33&gt;=Parametres!$B$60,Parametres!$B$63,0)</f>
        <v>57380</v>
      </c>
      <c r="E33" s="7">
        <f>IF(A33&gt;=Parametres!$B$65,Parametres!$B$68,0)</f>
        <v>83863</v>
      </c>
      <c r="F33" s="7">
        <f t="shared" si="0"/>
        <v>275495.88800000004</v>
      </c>
      <c r="G33" s="7">
        <f>F33*Parametres!$B$54</f>
        <v>74383.88976000002</v>
      </c>
      <c r="H33" s="7">
        <f>F33*Parametres!$B$57</f>
        <v>118463.23184000001</v>
      </c>
      <c r="I33" s="7">
        <f>IF(A33&lt;Parametres!$B$21,IF(A33&lt;=12,Parametres!$B$18,Parametres!$B$18*(1+Parametres!$B$20)),IF(A33&lt;=24,Parametres!$B$19*(1+Parametres!$B$20),Parametres!$B$19*POWER(1+Parametres!$B$20,2)))</f>
        <v>11457.72</v>
      </c>
      <c r="J33" s="7">
        <f>Parametres!$B$30</f>
        <v>16680</v>
      </c>
      <c r="K33" s="7">
        <f>IF(A33&lt;Parametres!$B$12,0,IF(A33&lt;=24,Parametres!$B$14,Parametres!$B$15))</f>
        <v>17254</v>
      </c>
      <c r="L33" s="7">
        <f t="shared" si="1"/>
        <v>37257.046400000007</v>
      </c>
      <c r="M33" s="8">
        <f t="shared" si="2"/>
        <v>0.13523630668491141</v>
      </c>
      <c r="N33" s="7">
        <f>F33*Parametres!$B$24</f>
        <v>27549.588800000005</v>
      </c>
      <c r="O33" s="7">
        <f>F33*Parametres!$B$25</f>
        <v>55099.17760000001</v>
      </c>
      <c r="P33" s="7">
        <f>IF(A33&lt;=Parametres!$B$27,0,MIN(L33,N33))</f>
        <v>27549.588800000005</v>
      </c>
      <c r="Q33" s="7">
        <f t="shared" si="3"/>
        <v>9707.4576000000015</v>
      </c>
      <c r="R33" s="7">
        <f t="shared" si="4"/>
        <v>0</v>
      </c>
      <c r="S33" s="7">
        <f>R33*Parametres!$B$26</f>
        <v>0</v>
      </c>
      <c r="T33" s="7">
        <f>R33*Parametres!$B$26</f>
        <v>0</v>
      </c>
      <c r="U33" s="7">
        <f t="shared" si="5"/>
        <v>27549.588800000005</v>
      </c>
      <c r="V33" s="7">
        <f t="shared" si="6"/>
        <v>9707.4576000000015</v>
      </c>
      <c r="W33" s="7">
        <f t="shared" si="7"/>
        <v>0</v>
      </c>
      <c r="X33" s="7">
        <f t="shared" si="8"/>
        <v>91789.045999999988</v>
      </c>
    </row>
    <row r="34" spans="1:25" x14ac:dyDescent="0.25">
      <c r="A34" s="10">
        <v>30</v>
      </c>
      <c r="B34" s="10" t="s">
        <v>154</v>
      </c>
      <c r="C34" s="11">
        <f>Parametres!$B$33*POWER(1+Parametres!$B$49,2)*Parametres!$B$39</f>
        <v>125862.08250000002</v>
      </c>
      <c r="D34" s="11">
        <f>IF(A34&gt;=Parametres!$B$60,Parametres!$B$63,0)</f>
        <v>57380</v>
      </c>
      <c r="E34" s="11">
        <f>IF(A34&gt;=Parametres!$B$65,Parametres!$B$68,0)</f>
        <v>83863</v>
      </c>
      <c r="F34" s="11">
        <f t="shared" si="0"/>
        <v>267105.08250000002</v>
      </c>
      <c r="G34" s="11">
        <f>F34*Parametres!$B$54</f>
        <v>72118.372275000016</v>
      </c>
      <c r="H34" s="11">
        <f>F34*Parametres!$B$57</f>
        <v>114855.18547500001</v>
      </c>
      <c r="I34" s="11">
        <f>IF(A34&lt;Parametres!$B$21,IF(A34&lt;=12,Parametres!$B$18,Parametres!$B$18*(1+Parametres!$B$20)),IF(A34&lt;=24,Parametres!$B$19*(1+Parametres!$B$20),Parametres!$B$19*POWER(1+Parametres!$B$20,2)))</f>
        <v>11457.72</v>
      </c>
      <c r="J34" s="11">
        <f>Parametres!$B$30</f>
        <v>16680</v>
      </c>
      <c r="K34" s="11">
        <f>IF(A34&lt;Parametres!$B$12,0,IF(A34&lt;=24,Parametres!$B$14,Parametres!$B$15))</f>
        <v>17254</v>
      </c>
      <c r="L34" s="11">
        <f t="shared" si="1"/>
        <v>34739.804749999981</v>
      </c>
      <c r="M34" s="12">
        <f t="shared" si="2"/>
        <v>0.13006044072560835</v>
      </c>
      <c r="N34" s="11">
        <f>F34*Parametres!$B$24</f>
        <v>26710.508250000003</v>
      </c>
      <c r="O34" s="11">
        <f>F34*Parametres!$B$25</f>
        <v>53421.016500000005</v>
      </c>
      <c r="P34" s="11">
        <f>IF(A34&lt;=Parametres!$B$27,0,MIN(L34,N34))</f>
        <v>26710.508250000003</v>
      </c>
      <c r="Q34" s="11">
        <f t="shared" si="3"/>
        <v>8029.2964999999786</v>
      </c>
      <c r="R34" s="11">
        <f t="shared" si="4"/>
        <v>0</v>
      </c>
      <c r="S34" s="11">
        <f>R34*Parametres!$B$26</f>
        <v>0</v>
      </c>
      <c r="T34" s="11">
        <f>R34*Parametres!$B$26</f>
        <v>0</v>
      </c>
      <c r="U34" s="11">
        <f t="shared" si="5"/>
        <v>26710.508250000003</v>
      </c>
      <c r="V34" s="11">
        <f t="shared" si="6"/>
        <v>8029.2964999999786</v>
      </c>
      <c r="W34" s="11">
        <f t="shared" si="7"/>
        <v>0</v>
      </c>
      <c r="X34" s="11">
        <f t="shared" si="8"/>
        <v>91789.045999999988</v>
      </c>
      <c r="Y34" s="14"/>
    </row>
    <row r="35" spans="1:25" x14ac:dyDescent="0.25">
      <c r="A35" s="6">
        <v>31</v>
      </c>
      <c r="B35" s="6" t="s">
        <v>155</v>
      </c>
      <c r="C35" s="7">
        <f>Parametres!$B$33*POWER(1+Parametres!$B$49,2)*Parametres!$B$40</f>
        <v>151034.49900000001</v>
      </c>
      <c r="D35" s="7">
        <f>IF(A35&gt;=Parametres!$B$60,Parametres!$B$63,0)</f>
        <v>57380</v>
      </c>
      <c r="E35" s="7">
        <f>IF(A35&gt;=Parametres!$B$65,Parametres!$B$68,0)</f>
        <v>83863</v>
      </c>
      <c r="F35" s="7">
        <f t="shared" si="0"/>
        <v>292277.49900000001</v>
      </c>
      <c r="G35" s="7">
        <f>F35*Parametres!$B$54</f>
        <v>78914.924730000013</v>
      </c>
      <c r="H35" s="7">
        <f>F35*Parametres!$B$57</f>
        <v>125679.32457</v>
      </c>
      <c r="I35" s="7">
        <f>IF(A35&lt;Parametres!$B$21,IF(A35&lt;=12,Parametres!$B$18,Parametres!$B$18*(1+Parametres!$B$20)),IF(A35&lt;=24,Parametres!$B$19*(1+Parametres!$B$20),Parametres!$B$19*POWER(1+Parametres!$B$20,2)))</f>
        <v>11457.72</v>
      </c>
      <c r="J35" s="7">
        <f>Parametres!$B$30</f>
        <v>16680</v>
      </c>
      <c r="K35" s="7">
        <f>IF(A35&lt;Parametres!$B$12,0,IF(A35&lt;=24,Parametres!$B$14,Parametres!$B$15))</f>
        <v>17254</v>
      </c>
      <c r="L35" s="7">
        <f t="shared" si="1"/>
        <v>42291.529699999985</v>
      </c>
      <c r="M35" s="8">
        <f t="shared" si="2"/>
        <v>0.14469649509352064</v>
      </c>
      <c r="N35" s="7">
        <f>F35*Parametres!$B$24</f>
        <v>29227.749900000003</v>
      </c>
      <c r="O35" s="7">
        <f>F35*Parametres!$B$25</f>
        <v>58455.499800000005</v>
      </c>
      <c r="P35" s="7">
        <f>IF(A35&lt;=Parametres!$B$27,0,MIN(L35,N35))</f>
        <v>29227.749900000003</v>
      </c>
      <c r="Q35" s="7">
        <f t="shared" si="3"/>
        <v>13063.779799999982</v>
      </c>
      <c r="R35" s="7">
        <f t="shared" si="4"/>
        <v>0</v>
      </c>
      <c r="S35" s="7">
        <f>R35*Parametres!$B$26</f>
        <v>0</v>
      </c>
      <c r="T35" s="7">
        <f>R35*Parametres!$B$26</f>
        <v>0</v>
      </c>
      <c r="U35" s="7">
        <f t="shared" si="5"/>
        <v>29227.749900000003</v>
      </c>
      <c r="V35" s="7">
        <f t="shared" si="6"/>
        <v>13063.779799999982</v>
      </c>
      <c r="W35" s="7">
        <f t="shared" si="7"/>
        <v>0</v>
      </c>
      <c r="X35" s="7">
        <f t="shared" si="8"/>
        <v>91789.045999999988</v>
      </c>
    </row>
    <row r="36" spans="1:25" x14ac:dyDescent="0.25">
      <c r="A36" s="10">
        <v>32</v>
      </c>
      <c r="B36" s="10" t="s">
        <v>156</v>
      </c>
      <c r="C36" s="11">
        <f>Parametres!$B$33*POWER(1+Parametres!$B$49,2)*Parametres!$B$41</f>
        <v>167816.11000000002</v>
      </c>
      <c r="D36" s="11">
        <f>IF(A36&gt;=Parametres!$B$60,Parametres!$B$63,0)</f>
        <v>57380</v>
      </c>
      <c r="E36" s="11">
        <f>IF(A36&gt;=Parametres!$B$65,Parametres!$B$68,0)</f>
        <v>83863</v>
      </c>
      <c r="F36" s="11">
        <f t="shared" si="0"/>
        <v>309059.11</v>
      </c>
      <c r="G36" s="11">
        <f>F36*Parametres!$B$54</f>
        <v>83445.959700000007</v>
      </c>
      <c r="H36" s="11">
        <f>F36*Parametres!$B$57</f>
        <v>132895.4173</v>
      </c>
      <c r="I36" s="11">
        <f>IF(A36&lt;Parametres!$B$21,IF(A36&lt;=12,Parametres!$B$18,Parametres!$B$18*(1+Parametres!$B$20)),IF(A36&lt;=24,Parametres!$B$19*(1+Parametres!$B$20),Parametres!$B$19*POWER(1+Parametres!$B$20,2)))</f>
        <v>11457.72</v>
      </c>
      <c r="J36" s="11">
        <f>Parametres!$B$30</f>
        <v>16680</v>
      </c>
      <c r="K36" s="11">
        <f>IF(A36&lt;Parametres!$B$12,0,IF(A36&lt;=24,Parametres!$B$14,Parametres!$B$15))</f>
        <v>17254</v>
      </c>
      <c r="L36" s="11">
        <f t="shared" si="1"/>
        <v>47326.012999999977</v>
      </c>
      <c r="M36" s="12">
        <f t="shared" si="2"/>
        <v>0.15312932532550158</v>
      </c>
      <c r="N36" s="11">
        <f>F36*Parametres!$B$24</f>
        <v>30905.911</v>
      </c>
      <c r="O36" s="11">
        <f>F36*Parametres!$B$25</f>
        <v>61811.822</v>
      </c>
      <c r="P36" s="11">
        <f>IF(A36&lt;=Parametres!$B$27,0,MIN(L36,N36))</f>
        <v>30905.911</v>
      </c>
      <c r="Q36" s="11">
        <f t="shared" si="3"/>
        <v>16420.101999999977</v>
      </c>
      <c r="R36" s="11">
        <f t="shared" si="4"/>
        <v>0</v>
      </c>
      <c r="S36" s="11">
        <f>R36*Parametres!$B$26</f>
        <v>0</v>
      </c>
      <c r="T36" s="11">
        <f>R36*Parametres!$B$26</f>
        <v>0</v>
      </c>
      <c r="U36" s="11">
        <f t="shared" si="5"/>
        <v>30905.911</v>
      </c>
      <c r="V36" s="11">
        <f t="shared" si="6"/>
        <v>16420.101999999977</v>
      </c>
      <c r="W36" s="11">
        <f t="shared" si="7"/>
        <v>0</v>
      </c>
      <c r="X36" s="11">
        <f t="shared" si="8"/>
        <v>91789.045999999988</v>
      </c>
      <c r="Y36" s="14"/>
    </row>
    <row r="37" spans="1:25" x14ac:dyDescent="0.25">
      <c r="A37" s="6">
        <v>33</v>
      </c>
      <c r="B37" s="6" t="s">
        <v>157</v>
      </c>
      <c r="C37" s="7">
        <f>Parametres!$B$33*POWER(1+Parametres!$B$49,2)*Parametres!$B$42</f>
        <v>176206.91550000003</v>
      </c>
      <c r="D37" s="7">
        <f>IF(A37&gt;=Parametres!$B$60,Parametres!$B$63,0)</f>
        <v>57380</v>
      </c>
      <c r="E37" s="7">
        <f>IF(A37&gt;=Parametres!$B$65,Parametres!$B$68,0)</f>
        <v>83863</v>
      </c>
      <c r="F37" s="7">
        <f t="shared" si="0"/>
        <v>317449.9155</v>
      </c>
      <c r="G37" s="7">
        <f>F37*Parametres!$B$54</f>
        <v>85711.477185000011</v>
      </c>
      <c r="H37" s="7">
        <f>F37*Parametres!$B$57</f>
        <v>136503.46366499999</v>
      </c>
      <c r="I37" s="7">
        <f>IF(A37&lt;Parametres!$B$21,IF(A37&lt;=12,Parametres!$B$18,Parametres!$B$18*(1+Parametres!$B$20)),IF(A37&lt;=24,Parametres!$B$19*(1+Parametres!$B$20),Parametres!$B$19*POWER(1+Parametres!$B$20,2)))</f>
        <v>11457.72</v>
      </c>
      <c r="J37" s="7">
        <f>Parametres!$B$30</f>
        <v>16680</v>
      </c>
      <c r="K37" s="7">
        <f>IF(A37&lt;Parametres!$B$12,0,IF(A37&lt;=24,Parametres!$B$14,Parametres!$B$15))</f>
        <v>17254</v>
      </c>
      <c r="L37" s="7">
        <f t="shared" si="1"/>
        <v>49843.254649999988</v>
      </c>
      <c r="M37" s="8">
        <f t="shared" si="2"/>
        <v>0.15701139681040485</v>
      </c>
      <c r="N37" s="7">
        <f>F37*Parametres!$B$24</f>
        <v>31744.991550000002</v>
      </c>
      <c r="O37" s="7">
        <f>F37*Parametres!$B$25</f>
        <v>63489.983100000005</v>
      </c>
      <c r="P37" s="7">
        <f>IF(A37&lt;=Parametres!$B$27,0,MIN(L37,N37))</f>
        <v>31744.991550000002</v>
      </c>
      <c r="Q37" s="7">
        <f t="shared" si="3"/>
        <v>18098.263099999986</v>
      </c>
      <c r="R37" s="7">
        <f t="shared" si="4"/>
        <v>0</v>
      </c>
      <c r="S37" s="7">
        <f>R37*Parametres!$B$26</f>
        <v>0</v>
      </c>
      <c r="T37" s="7">
        <f>R37*Parametres!$B$26</f>
        <v>0</v>
      </c>
      <c r="U37" s="7">
        <f t="shared" si="5"/>
        <v>31744.991550000002</v>
      </c>
      <c r="V37" s="7">
        <f t="shared" si="6"/>
        <v>18098.263099999986</v>
      </c>
      <c r="W37" s="7">
        <f t="shared" si="7"/>
        <v>0</v>
      </c>
      <c r="X37" s="7">
        <f t="shared" si="8"/>
        <v>91789.045999999988</v>
      </c>
    </row>
    <row r="38" spans="1:25" x14ac:dyDescent="0.25">
      <c r="A38" s="10">
        <v>34</v>
      </c>
      <c r="B38" s="10" t="s">
        <v>158</v>
      </c>
      <c r="C38" s="11">
        <f>Parametres!$B$33*POWER(1+Parametres!$B$49,2)*Parametres!$B$43</f>
        <v>192988.52650000001</v>
      </c>
      <c r="D38" s="11">
        <f>IF(A38&gt;=Parametres!$B$60,Parametres!$B$63,0)</f>
        <v>57380</v>
      </c>
      <c r="E38" s="11">
        <f>IF(A38&gt;=Parametres!$B$65,Parametres!$B$68,0)</f>
        <v>83863</v>
      </c>
      <c r="F38" s="11">
        <f t="shared" si="0"/>
        <v>334231.52650000004</v>
      </c>
      <c r="G38" s="11">
        <f>F38*Parametres!$B$54</f>
        <v>90242.512155000019</v>
      </c>
      <c r="H38" s="11">
        <f>F38*Parametres!$B$57</f>
        <v>143719.55639500002</v>
      </c>
      <c r="I38" s="11">
        <f>IF(A38&lt;Parametres!$B$21,IF(A38&lt;=12,Parametres!$B$18,Parametres!$B$18*(1+Parametres!$B$20)),IF(A38&lt;=24,Parametres!$B$19*(1+Parametres!$B$20),Parametres!$B$19*POWER(1+Parametres!$B$20,2)))</f>
        <v>11457.72</v>
      </c>
      <c r="J38" s="11">
        <f>Parametres!$B$30</f>
        <v>16680</v>
      </c>
      <c r="K38" s="11">
        <f>IF(A38&lt;Parametres!$B$12,0,IF(A38&lt;=24,Parametres!$B$14,Parametres!$B$15))</f>
        <v>17254</v>
      </c>
      <c r="L38" s="11">
        <f t="shared" si="1"/>
        <v>54877.73795000001</v>
      </c>
      <c r="M38" s="12">
        <f t="shared" si="2"/>
        <v>0.16419078871663534</v>
      </c>
      <c r="N38" s="11">
        <f>F38*Parametres!$B$24</f>
        <v>33423.152650000004</v>
      </c>
      <c r="O38" s="11">
        <f>F38*Parametres!$B$25</f>
        <v>66846.305300000007</v>
      </c>
      <c r="P38" s="11">
        <f>IF(A38&lt;=Parametres!$B$27,0,MIN(L38,N38))</f>
        <v>33423.152650000004</v>
      </c>
      <c r="Q38" s="11">
        <f t="shared" si="3"/>
        <v>21454.585300000006</v>
      </c>
      <c r="R38" s="11">
        <f t="shared" si="4"/>
        <v>0</v>
      </c>
      <c r="S38" s="11">
        <f>R38*Parametres!$B$26</f>
        <v>0</v>
      </c>
      <c r="T38" s="11">
        <f>R38*Parametres!$B$26</f>
        <v>0</v>
      </c>
      <c r="U38" s="11">
        <f t="shared" si="5"/>
        <v>33423.152650000004</v>
      </c>
      <c r="V38" s="11">
        <f t="shared" si="6"/>
        <v>21454.585300000006</v>
      </c>
      <c r="W38" s="11">
        <f t="shared" si="7"/>
        <v>0</v>
      </c>
      <c r="X38" s="11">
        <f t="shared" si="8"/>
        <v>91789.045999999988</v>
      </c>
      <c r="Y38" s="14"/>
    </row>
    <row r="39" spans="1:25" x14ac:dyDescent="0.25">
      <c r="A39" s="6">
        <v>35</v>
      </c>
      <c r="B39" s="6" t="s">
        <v>159</v>
      </c>
      <c r="C39" s="7">
        <f>Parametres!$B$33*POWER(1+Parametres!$B$49,2)*Parametres!$B$44</f>
        <v>192988.52650000001</v>
      </c>
      <c r="D39" s="7">
        <f>IF(A39&gt;=Parametres!$B$60,Parametres!$B$63,0)</f>
        <v>57380</v>
      </c>
      <c r="E39" s="7">
        <f>IF(A39&gt;=Parametres!$B$65,Parametres!$B$68,0)</f>
        <v>83863</v>
      </c>
      <c r="F39" s="7">
        <f t="shared" si="0"/>
        <v>334231.52650000004</v>
      </c>
      <c r="G39" s="7">
        <f>F39*Parametres!$B$54</f>
        <v>90242.512155000019</v>
      </c>
      <c r="H39" s="7">
        <f>F39*Parametres!$B$57</f>
        <v>143719.55639500002</v>
      </c>
      <c r="I39" s="7">
        <f>IF(A39&lt;Parametres!$B$21,IF(A39&lt;=12,Parametres!$B$18,Parametres!$B$18*(1+Parametres!$B$20)),IF(A39&lt;=24,Parametres!$B$19*(1+Parametres!$B$20),Parametres!$B$19*POWER(1+Parametres!$B$20,2)))</f>
        <v>11457.72</v>
      </c>
      <c r="J39" s="7">
        <f>Parametres!$B$30</f>
        <v>16680</v>
      </c>
      <c r="K39" s="7">
        <f>IF(A39&lt;Parametres!$B$12,0,IF(A39&lt;=24,Parametres!$B$14,Parametres!$B$15))</f>
        <v>17254</v>
      </c>
      <c r="L39" s="7">
        <f t="shared" si="1"/>
        <v>54877.73795000001</v>
      </c>
      <c r="M39" s="8">
        <f t="shared" si="2"/>
        <v>0.16419078871663534</v>
      </c>
      <c r="N39" s="7">
        <f>F39*Parametres!$B$24</f>
        <v>33423.152650000004</v>
      </c>
      <c r="O39" s="7">
        <f>F39*Parametres!$B$25</f>
        <v>66846.305300000007</v>
      </c>
      <c r="P39" s="7">
        <f>IF(A39&lt;=Parametres!$B$27,0,MIN(L39,N39))</f>
        <v>33423.152650000004</v>
      </c>
      <c r="Q39" s="7">
        <f t="shared" si="3"/>
        <v>21454.585300000006</v>
      </c>
      <c r="R39" s="7">
        <f t="shared" si="4"/>
        <v>0</v>
      </c>
      <c r="S39" s="7">
        <f>R39*Parametres!$B$26</f>
        <v>0</v>
      </c>
      <c r="T39" s="7">
        <f>R39*Parametres!$B$26</f>
        <v>0</v>
      </c>
      <c r="U39" s="7">
        <f t="shared" si="5"/>
        <v>33423.152650000004</v>
      </c>
      <c r="V39" s="7">
        <f t="shared" si="6"/>
        <v>21454.585300000006</v>
      </c>
      <c r="W39" s="7">
        <f t="shared" si="7"/>
        <v>0</v>
      </c>
      <c r="X39" s="7">
        <f t="shared" si="8"/>
        <v>91789.045999999988</v>
      </c>
    </row>
    <row r="40" spans="1:25" x14ac:dyDescent="0.25">
      <c r="A40" s="10">
        <v>36</v>
      </c>
      <c r="B40" s="10" t="s">
        <v>160</v>
      </c>
      <c r="C40" s="11">
        <f>Parametres!$B$33*POWER(1+Parametres!$B$49,2)*Parametres!$B$45</f>
        <v>192988.52650000001</v>
      </c>
      <c r="D40" s="11">
        <f>IF(A40&gt;=Parametres!$B$60,Parametres!$B$63,0)</f>
        <v>57380</v>
      </c>
      <c r="E40" s="11">
        <f>IF(A40&gt;=Parametres!$B$65,Parametres!$B$68,0)</f>
        <v>83863</v>
      </c>
      <c r="F40" s="11">
        <f t="shared" si="0"/>
        <v>334231.52650000004</v>
      </c>
      <c r="G40" s="11">
        <f>F40*Parametres!$B$54</f>
        <v>90242.512155000019</v>
      </c>
      <c r="H40" s="11">
        <f>F40*Parametres!$B$57</f>
        <v>143719.55639500002</v>
      </c>
      <c r="I40" s="11">
        <f>IF(A40&lt;Parametres!$B$21,IF(A40&lt;=12,Parametres!$B$18,Parametres!$B$18*(1+Parametres!$B$20)),IF(A40&lt;=24,Parametres!$B$19*(1+Parametres!$B$20),Parametres!$B$19*POWER(1+Parametres!$B$20,2)))</f>
        <v>11457.72</v>
      </c>
      <c r="J40" s="11">
        <f>Parametres!$B$30</f>
        <v>16680</v>
      </c>
      <c r="K40" s="11">
        <f>IF(A40&lt;Parametres!$B$12,0,IF(A40&lt;=24,Parametres!$B$14,Parametres!$B$15))</f>
        <v>17254</v>
      </c>
      <c r="L40" s="11">
        <f t="shared" si="1"/>
        <v>54877.73795000001</v>
      </c>
      <c r="M40" s="12">
        <f t="shared" si="2"/>
        <v>0.16419078871663534</v>
      </c>
      <c r="N40" s="11">
        <f>F40*Parametres!$B$24</f>
        <v>33423.152650000004</v>
      </c>
      <c r="O40" s="11">
        <f>F40*Parametres!$B$25</f>
        <v>66846.305300000007</v>
      </c>
      <c r="P40" s="11">
        <f>IF(A40&lt;=Parametres!$B$27,0,MIN(L40,N40))</f>
        <v>33423.152650000004</v>
      </c>
      <c r="Q40" s="11">
        <f t="shared" si="3"/>
        <v>21454.585300000006</v>
      </c>
      <c r="R40" s="11">
        <f t="shared" si="4"/>
        <v>0</v>
      </c>
      <c r="S40" s="11">
        <f>R40*Parametres!$B$26</f>
        <v>0</v>
      </c>
      <c r="T40" s="11">
        <f>R40*Parametres!$B$26</f>
        <v>0</v>
      </c>
      <c r="U40" s="11">
        <f t="shared" si="5"/>
        <v>33423.152650000004</v>
      </c>
      <c r="V40" s="11">
        <f t="shared" si="6"/>
        <v>21454.585300000006</v>
      </c>
      <c r="W40" s="11">
        <f t="shared" si="7"/>
        <v>0</v>
      </c>
      <c r="X40" s="11">
        <f t="shared" si="8"/>
        <v>91789.045999999988</v>
      </c>
      <c r="Y40" s="14"/>
    </row>
    <row r="41" spans="1:25" ht="15.75" x14ac:dyDescent="0.25">
      <c r="A41" s="39" t="s">
        <v>161</v>
      </c>
      <c r="B41" s="20"/>
      <c r="C41" s="15">
        <f t="shared" ref="C41:L41" si="9">SUM(C5:C40)</f>
        <v>5348132.9964999994</v>
      </c>
      <c r="D41" s="15">
        <f t="shared" si="9"/>
        <v>1950920</v>
      </c>
      <c r="E41" s="15">
        <f t="shared" si="9"/>
        <v>1425671</v>
      </c>
      <c r="F41" s="15">
        <f t="shared" si="9"/>
        <v>8724723.9965000022</v>
      </c>
      <c r="G41" s="15">
        <f t="shared" si="9"/>
        <v>2355675.4790550005</v>
      </c>
      <c r="H41" s="15">
        <f t="shared" si="9"/>
        <v>3751631.3184949998</v>
      </c>
      <c r="I41" s="15">
        <f t="shared" si="9"/>
        <v>373418.63999999972</v>
      </c>
      <c r="J41" s="15">
        <f t="shared" si="9"/>
        <v>600480</v>
      </c>
      <c r="K41" s="15">
        <f t="shared" si="9"/>
        <v>392667.39000000007</v>
      </c>
      <c r="L41" s="15">
        <f t="shared" si="9"/>
        <v>1250851.1689499998</v>
      </c>
      <c r="P41" s="15">
        <f t="shared" ref="P41:W41" si="10">SUM(P5:P40)</f>
        <v>771583.9631500002</v>
      </c>
      <c r="Q41" s="15">
        <f t="shared" si="10"/>
        <v>387478.15979999979</v>
      </c>
      <c r="R41" s="15">
        <f t="shared" si="10"/>
        <v>0</v>
      </c>
      <c r="S41" s="15">
        <f t="shared" si="10"/>
        <v>0</v>
      </c>
      <c r="T41" s="15">
        <f t="shared" si="10"/>
        <v>0</v>
      </c>
      <c r="U41" s="15">
        <f t="shared" si="10"/>
        <v>771583.9631500002</v>
      </c>
      <c r="V41" s="15">
        <f t="shared" si="10"/>
        <v>387478.15979999979</v>
      </c>
      <c r="W41" s="15">
        <f t="shared" si="10"/>
        <v>91789.045999999988</v>
      </c>
      <c r="X41" s="16">
        <f>X40</f>
        <v>91789.045999999988</v>
      </c>
    </row>
  </sheetData>
  <mergeCells count="9">
    <mergeCell ref="G3:K3"/>
    <mergeCell ref="L3:M3"/>
    <mergeCell ref="A41:B41"/>
    <mergeCell ref="A2:X2"/>
    <mergeCell ref="A1:X1"/>
    <mergeCell ref="V3:X3"/>
    <mergeCell ref="A3:F3"/>
    <mergeCell ref="N3:S3"/>
    <mergeCell ref="T3:U3"/>
  </mergeCells>
  <conditionalFormatting sqref="L5:M40">
    <cfRule type="cellIs" dxfId="1" priority="1" operator="lessThan">
      <formula>0</formula>
    </cfRule>
  </conditionalFormatting>
  <conditionalFormatting sqref="W5:X40">
    <cfRule type="cellIs" dxfId="0" priority="3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Parametres</vt:lpstr>
      <vt:lpstr>Conservateur</vt:lpstr>
      <vt:lpstr>Realiste</vt:lpstr>
      <vt:lpstr>Optimiste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Jean-Samuel Leboeuf</cp:lastModifiedBy>
  <dcterms:created xsi:type="dcterms:W3CDTF">2025-10-24T06:04:18Z</dcterms:created>
  <dcterms:modified xsi:type="dcterms:W3CDTF">2025-10-24T06:53:38Z</dcterms:modified>
</cp:coreProperties>
</file>