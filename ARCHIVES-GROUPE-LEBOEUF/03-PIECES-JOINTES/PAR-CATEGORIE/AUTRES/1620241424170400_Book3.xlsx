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1c54d25de1282c/Pièces jointes/"/>
    </mc:Choice>
  </mc:AlternateContent>
  <xr:revisionPtr revIDLastSave="0" documentId="8_{DD9BDCBB-651A-B64D-9676-9BC226F4E6B8}" xr6:coauthVersionLast="47" xr6:coauthVersionMax="47" xr10:uidLastSave="{00000000-0000-0000-0000-000000000000}"/>
  <bookViews>
    <workbookView xWindow="5580" yWindow="2300" windowWidth="27640" windowHeight="16940" activeTab="1" xr2:uid="{E0576E98-F79E-1B4E-9C53-D65874A20CC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D5" i="2" a="1"/>
  <c r="E9" i="2" s="1"/>
  <c r="I13" i="1" a="1"/>
  <c r="I13" i="1" s="1"/>
  <c r="H13" i="1" a="1"/>
  <c r="H13" i="1" s="1"/>
  <c r="G13" i="1" a="1"/>
  <c r="G13" i="1" s="1"/>
  <c r="F13" i="1" a="1"/>
  <c r="F13" i="1" s="1"/>
  <c r="I5" i="1" a="1"/>
  <c r="I5" i="1" s="1"/>
  <c r="H5" i="1" a="1"/>
  <c r="H5" i="1" s="1"/>
  <c r="G5" i="1" a="1"/>
  <c r="G5" i="1" s="1"/>
  <c r="F5" i="1" a="1"/>
  <c r="F5" i="1" s="1"/>
  <c r="E9" i="1"/>
  <c r="E8" i="1"/>
  <c r="E7" i="1"/>
  <c r="E6" i="1"/>
  <c r="D5" i="1" a="1"/>
  <c r="D5" i="1" s="1"/>
  <c r="E8" i="2" l="1"/>
  <c r="E7" i="2"/>
  <c r="D5" i="2"/>
  <c r="E6" i="2" s="1"/>
  <c r="H5" i="2" l="1" a="1"/>
  <c r="H5" i="2" s="1"/>
  <c r="H13" i="2" s="1" a="1"/>
  <c r="H13" i="2" s="1"/>
  <c r="F5" i="2" a="1"/>
  <c r="F5" i="2" s="1"/>
  <c r="F13" i="2" s="1" a="1"/>
  <c r="F13" i="2" s="1"/>
  <c r="I5" i="2" a="1"/>
  <c r="I5" i="2" s="1"/>
  <c r="I13" i="2" s="1" a="1"/>
  <c r="I13" i="2" s="1"/>
  <c r="G5" i="2" a="1"/>
  <c r="G5" i="2" s="1"/>
  <c r="G13" i="2" s="1" a="1"/>
  <c r="G13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<sst xmlns="http://schemas.openxmlformats.org/spreadsheetml/2006/main" count="14" uniqueCount="7">
  <si>
    <t>CHIFFRE D'AFFAIRE</t>
  </si>
  <si>
    <t>% DE BAIIA</t>
  </si>
  <si>
    <t xml:space="preserve">ANNEE </t>
  </si>
  <si>
    <t xml:space="preserve">AUGMENTATION </t>
  </si>
  <si>
    <t xml:space="preserve">DONNER A L'EQUIPE </t>
  </si>
  <si>
    <t xml:space="preserve">BAIIA MONTANT </t>
  </si>
  <si>
    <t xml:space="preserve">CE QU'IL NOUS RESTE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</si>
</sst>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2" fillId="0" borderId="0" xfId="1" applyFont="1"/>
    <xf numFmtId="44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311A8-201B-C846-9AAE-B312A7D2588C}">
  <dimension ref="A3:M17"/>
  <sheetViews>
    <sheetView zoomScale="130" zoomScaleNormal="130" workbookViewId="0">
      <selection activeCell="D26" sqref="D26"/>
    </sheetView>
  </sheetViews>
  <sheetFormatPr baseColWidth="10" defaultRowHeight="16" x14ac:dyDescent="0.2"/>
  <cols>
    <col min="1" max="1" width="10.83203125" style="1"/>
    <col min="2" max="2" width="17.6640625" style="2" bestFit="1" customWidth="1"/>
    <col min="3" max="3" width="10.83203125" style="1"/>
    <col min="4" max="4" width="17.5" style="2" bestFit="1" customWidth="1"/>
    <col min="5" max="5" width="16.1640625" style="1" bestFit="1" customWidth="1"/>
    <col min="6" max="9" width="12.5" style="1" bestFit="1" customWidth="1"/>
    <col min="10" max="16384" width="10.83203125" style="1"/>
  </cols>
  <sheetData>
    <row r="3" spans="1:13" x14ac:dyDescent="0.2">
      <c r="F3" s="5" t="s">
        <v>4</v>
      </c>
      <c r="G3" s="5"/>
      <c r="H3" s="5"/>
      <c r="I3" s="5"/>
      <c r="J3" s="6"/>
      <c r="K3" s="6"/>
      <c r="L3" s="6"/>
      <c r="M3" s="6"/>
    </row>
    <row r="4" spans="1:13" x14ac:dyDescent="0.2">
      <c r="A4" s="1" t="s">
        <v>2</v>
      </c>
      <c r="B4" s="2" t="s">
        <v>0</v>
      </c>
      <c r="C4" s="1" t="s">
        <v>1</v>
      </c>
      <c r="D4" s="2" t="s">
        <v>5</v>
      </c>
      <c r="E4" s="1" t="s">
        <v>3</v>
      </c>
      <c r="F4" s="4">
        <v>0.25</v>
      </c>
      <c r="G4" s="4">
        <v>0.4</v>
      </c>
      <c r="H4" s="4">
        <v>0.5</v>
      </c>
      <c r="I4" s="4">
        <v>0.75</v>
      </c>
      <c r="J4" s="4"/>
      <c r="K4" s="4"/>
      <c r="L4" s="4"/>
      <c r="M4" s="4"/>
    </row>
    <row r="5" spans="1:13" x14ac:dyDescent="0.2">
      <c r="A5" s="7">
        <v>1</v>
      </c>
      <c r="B5" s="2">
        <v>900000</v>
      </c>
      <c r="C5" s="1">
        <v>0</v>
      </c>
      <c r="D5" s="2" cm="1">
        <f t="array" ref="D5:D9">B5:B9*C5:C9</f>
        <v>0</v>
      </c>
      <c r="F5" s="2" cm="1">
        <f t="array" ref="F5:F9">E5:E9*0.25</f>
        <v>0</v>
      </c>
      <c r="G5" s="2" cm="1">
        <f t="array" ref="G5:G9">E5:E9*0.4</f>
        <v>0</v>
      </c>
      <c r="H5" s="2" cm="1">
        <f t="array" ref="H5:H9">E5:E9*0.5</f>
        <v>0</v>
      </c>
      <c r="I5" s="2" cm="1">
        <f t="array" ref="I5:I9">E5:E9*0.75</f>
        <v>0</v>
      </c>
    </row>
    <row r="6" spans="1:13" x14ac:dyDescent="0.2">
      <c r="A6" s="7">
        <v>2</v>
      </c>
      <c r="B6" s="2">
        <v>1000000</v>
      </c>
      <c r="C6" s="1">
        <v>7.0000000000000007E-2</v>
      </c>
      <c r="D6" s="2">
        <v>70000</v>
      </c>
      <c r="E6" s="3">
        <f>D6-D5</f>
        <v>70000</v>
      </c>
      <c r="F6" s="2">
        <v>17500</v>
      </c>
      <c r="G6" s="2">
        <v>28000</v>
      </c>
      <c r="H6" s="2">
        <v>35000</v>
      </c>
      <c r="I6" s="2">
        <v>52500</v>
      </c>
    </row>
    <row r="7" spans="1:13" x14ac:dyDescent="0.2">
      <c r="A7" s="7">
        <v>3</v>
      </c>
      <c r="B7" s="2">
        <v>1200000</v>
      </c>
      <c r="C7" s="1">
        <v>0.12</v>
      </c>
      <c r="D7" s="2">
        <v>144000</v>
      </c>
      <c r="E7" s="3">
        <f>D7-D6</f>
        <v>74000</v>
      </c>
      <c r="F7" s="2">
        <v>18500</v>
      </c>
      <c r="G7" s="2">
        <v>29600</v>
      </c>
      <c r="H7" s="2">
        <v>37000</v>
      </c>
      <c r="I7" s="2">
        <v>55500</v>
      </c>
    </row>
    <row r="8" spans="1:13" x14ac:dyDescent="0.2">
      <c r="A8" s="7">
        <v>4</v>
      </c>
      <c r="B8" s="2">
        <v>1400000</v>
      </c>
      <c r="C8" s="1">
        <v>0.15</v>
      </c>
      <c r="D8" s="2">
        <v>210000</v>
      </c>
      <c r="E8" s="3">
        <f>D8-D7</f>
        <v>66000</v>
      </c>
      <c r="F8" s="2">
        <v>16500</v>
      </c>
      <c r="G8" s="2">
        <v>26400</v>
      </c>
      <c r="H8" s="2">
        <v>33000</v>
      </c>
      <c r="I8" s="2">
        <v>49500</v>
      </c>
    </row>
    <row r="9" spans="1:13" x14ac:dyDescent="0.2">
      <c r="A9" s="7">
        <v>5</v>
      </c>
      <c r="B9" s="2">
        <v>1600000</v>
      </c>
      <c r="C9" s="1">
        <v>0.18</v>
      </c>
      <c r="D9" s="2">
        <v>288000</v>
      </c>
      <c r="E9" s="3">
        <f>D9-D8</f>
        <v>78000</v>
      </c>
      <c r="F9" s="2">
        <v>19500</v>
      </c>
      <c r="G9" s="2">
        <v>31200</v>
      </c>
      <c r="H9" s="2">
        <v>39000</v>
      </c>
      <c r="I9" s="2">
        <v>58500</v>
      </c>
    </row>
    <row r="11" spans="1:13" x14ac:dyDescent="0.2">
      <c r="F11" s="5" t="s">
        <v>6</v>
      </c>
      <c r="G11" s="5"/>
      <c r="H11" s="5"/>
      <c r="I11" s="5"/>
    </row>
    <row r="12" spans="1:13" x14ac:dyDescent="0.2">
      <c r="F12" s="4">
        <v>0.75</v>
      </c>
      <c r="G12" s="4">
        <v>0.6</v>
      </c>
      <c r="H12" s="4">
        <v>0.5</v>
      </c>
      <c r="I12" s="4">
        <v>0.25</v>
      </c>
    </row>
    <row r="13" spans="1:13" x14ac:dyDescent="0.2">
      <c r="F13" s="2" cm="1">
        <f t="array" ref="F13:F17">D5:D9-F5:F9</f>
        <v>0</v>
      </c>
      <c r="G13" s="2" cm="1">
        <f t="array" ref="G13:G17">D5:D9-G5:G9</f>
        <v>0</v>
      </c>
      <c r="H13" s="2" cm="1">
        <f t="array" ref="H13:H17">D5:D9-H5:H9</f>
        <v>0</v>
      </c>
      <c r="I13" s="2" cm="1">
        <f t="array" ref="I13:I17">D5:D9-I5:I9</f>
        <v>0</v>
      </c>
    </row>
    <row r="14" spans="1:13" x14ac:dyDescent="0.2">
      <c r="F14" s="2">
        <v>52500</v>
      </c>
      <c r="G14" s="2">
        <v>42000</v>
      </c>
      <c r="H14" s="2">
        <v>35000</v>
      </c>
      <c r="I14" s="2">
        <v>17500</v>
      </c>
    </row>
    <row r="15" spans="1:13" x14ac:dyDescent="0.2">
      <c r="F15" s="2">
        <v>125500</v>
      </c>
      <c r="G15" s="2">
        <v>114400</v>
      </c>
      <c r="H15" s="2">
        <v>107000</v>
      </c>
      <c r="I15" s="2">
        <v>88500</v>
      </c>
    </row>
    <row r="16" spans="1:13" x14ac:dyDescent="0.2">
      <c r="F16" s="2">
        <v>193500</v>
      </c>
      <c r="G16" s="2">
        <v>183600</v>
      </c>
      <c r="H16" s="2">
        <v>177000</v>
      </c>
      <c r="I16" s="2">
        <v>160500</v>
      </c>
    </row>
    <row r="17" spans="6:9" x14ac:dyDescent="0.2">
      <c r="F17" s="2">
        <v>268500</v>
      </c>
      <c r="G17" s="2">
        <v>256800</v>
      </c>
      <c r="H17" s="2">
        <v>249000</v>
      </c>
      <c r="I17" s="2">
        <v>229500</v>
      </c>
    </row>
  </sheetData>
  <mergeCells count="2">
    <mergeCell ref="F3:I3"/>
    <mergeCell ref="F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8EC2-1B55-314B-8629-EA94DFEB03F4}">
  <dimension ref="A3:M17"/>
  <sheetViews>
    <sheetView tabSelected="1" zoomScale="130" zoomScaleNormal="130" workbookViewId="0">
      <selection activeCell="C17" sqref="C17"/>
    </sheetView>
  </sheetViews>
  <sheetFormatPr baseColWidth="10" defaultRowHeight="16" x14ac:dyDescent="0.2"/>
  <cols>
    <col min="1" max="1" width="10.83203125" style="1"/>
    <col min="2" max="2" width="17.6640625" style="2" bestFit="1" customWidth="1"/>
    <col min="3" max="3" width="10.83203125" style="1"/>
    <col min="4" max="4" width="17.5" style="2" bestFit="1" customWidth="1"/>
    <col min="5" max="5" width="16.1640625" style="1" bestFit="1" customWidth="1"/>
    <col min="6" max="9" width="12.5" style="1" bestFit="1" customWidth="1"/>
    <col min="10" max="16384" width="10.83203125" style="1"/>
  </cols>
  <sheetData>
    <row r="3" spans="1:13" x14ac:dyDescent="0.2">
      <c r="F3" s="5" t="s">
        <v>4</v>
      </c>
      <c r="G3" s="5"/>
      <c r="H3" s="5"/>
      <c r="I3" s="5"/>
      <c r="J3" s="6"/>
      <c r="K3" s="6"/>
      <c r="L3" s="6"/>
      <c r="M3" s="6"/>
    </row>
    <row r="4" spans="1:13" x14ac:dyDescent="0.2">
      <c r="A4" s="1" t="s">
        <v>2</v>
      </c>
      <c r="B4" s="2" t="s">
        <v>0</v>
      </c>
      <c r="C4" s="1" t="s">
        <v>1</v>
      </c>
      <c r="D4" s="2" t="s">
        <v>5</v>
      </c>
      <c r="E4" s="1" t="s">
        <v>3</v>
      </c>
      <c r="F4" s="4">
        <v>0.25</v>
      </c>
      <c r="G4" s="4">
        <v>0.4</v>
      </c>
      <c r="H4" s="4">
        <v>0.5</v>
      </c>
      <c r="I4" s="4">
        <v>0.75</v>
      </c>
      <c r="J4" s="4"/>
      <c r="K4" s="4"/>
      <c r="L4" s="4"/>
      <c r="M4" s="4"/>
    </row>
    <row r="5" spans="1:13" x14ac:dyDescent="0.2">
      <c r="A5" s="7">
        <v>1</v>
      </c>
      <c r="B5" s="2">
        <v>1300000</v>
      </c>
      <c r="C5" s="1">
        <v>0.12</v>
      </c>
      <c r="D5" s="2" cm="1">
        <f t="array" ref="D5:D9">B5:B9*C5:C9</f>
        <v>156000</v>
      </c>
      <c r="E5" s="3">
        <f>D5</f>
        <v>156000</v>
      </c>
      <c r="F5" s="2" cm="1">
        <f t="array" ref="F5:F9">E5:E9*0.25</f>
        <v>39000</v>
      </c>
      <c r="G5" s="2" cm="1">
        <f t="array" ref="G5:G9">E5:E9*0.4</f>
        <v>62400</v>
      </c>
      <c r="H5" s="2" cm="1">
        <f t="array" ref="H5:H9">E5:E9*0.5</f>
        <v>78000</v>
      </c>
      <c r="I5" s="2" cm="1">
        <f t="array" ref="I5:I9">E5:E9*0.75</f>
        <v>117000</v>
      </c>
    </row>
    <row r="6" spans="1:13" x14ac:dyDescent="0.2">
      <c r="A6" s="7">
        <v>2</v>
      </c>
      <c r="B6" s="2">
        <v>1700000</v>
      </c>
      <c r="C6" s="1">
        <v>0.15</v>
      </c>
      <c r="D6" s="2">
        <v>255000</v>
      </c>
      <c r="E6" s="3">
        <f>D6-D5</f>
        <v>99000</v>
      </c>
      <c r="F6" s="2">
        <v>24750</v>
      </c>
      <c r="G6" s="2">
        <v>39600</v>
      </c>
      <c r="H6" s="2">
        <v>49500</v>
      </c>
      <c r="I6" s="2">
        <v>74250</v>
      </c>
    </row>
    <row r="7" spans="1:13" x14ac:dyDescent="0.2">
      <c r="A7" s="7">
        <v>3</v>
      </c>
      <c r="B7" s="2">
        <v>2000000</v>
      </c>
      <c r="C7" s="1">
        <v>0.18</v>
      </c>
      <c r="D7" s="2">
        <v>360000</v>
      </c>
      <c r="E7" s="3">
        <f>D7-D6</f>
        <v>105000</v>
      </c>
      <c r="F7" s="2">
        <v>26250</v>
      </c>
      <c r="G7" s="2">
        <v>42000</v>
      </c>
      <c r="H7" s="2">
        <v>52500</v>
      </c>
      <c r="I7" s="2">
        <v>78750</v>
      </c>
    </row>
    <row r="8" spans="1:13" x14ac:dyDescent="0.2">
      <c r="A8" s="7">
        <v>4</v>
      </c>
      <c r="B8" s="2">
        <v>2050000</v>
      </c>
      <c r="C8" s="1">
        <v>0.19</v>
      </c>
      <c r="D8" s="2">
        <v>389500</v>
      </c>
      <c r="E8" s="3">
        <f>D8-D7</f>
        <v>29500</v>
      </c>
      <c r="F8" s="2">
        <v>7375</v>
      </c>
      <c r="G8" s="2">
        <v>11800</v>
      </c>
      <c r="H8" s="2">
        <v>14750</v>
      </c>
      <c r="I8" s="2">
        <v>22125</v>
      </c>
    </row>
    <row r="9" spans="1:13" x14ac:dyDescent="0.2">
      <c r="A9" s="7">
        <v>5</v>
      </c>
      <c r="B9" s="2">
        <v>2100000</v>
      </c>
      <c r="C9" s="1">
        <v>0.2</v>
      </c>
      <c r="D9" s="2">
        <v>420000</v>
      </c>
      <c r="E9" s="3">
        <f>D9-D8</f>
        <v>30500</v>
      </c>
      <c r="F9" s="2">
        <v>7625</v>
      </c>
      <c r="G9" s="2">
        <v>12200</v>
      </c>
      <c r="H9" s="2">
        <v>15250</v>
      </c>
      <c r="I9" s="2">
        <v>22875</v>
      </c>
    </row>
    <row r="11" spans="1:13" x14ac:dyDescent="0.2">
      <c r="F11" s="5" t="s">
        <v>6</v>
      </c>
      <c r="G11" s="5"/>
      <c r="H11" s="5"/>
      <c r="I11" s="5"/>
    </row>
    <row r="12" spans="1:13" x14ac:dyDescent="0.2">
      <c r="F12" s="4">
        <v>0.75</v>
      </c>
      <c r="G12" s="4">
        <v>0.6</v>
      </c>
      <c r="H12" s="4">
        <v>0.5</v>
      </c>
      <c r="I12" s="4">
        <v>0.25</v>
      </c>
    </row>
    <row r="13" spans="1:13" x14ac:dyDescent="0.2">
      <c r="F13" s="2" cm="1">
        <f t="array" ref="F13:F17">D5:D9-F5:F9</f>
        <v>117000</v>
      </c>
      <c r="G13" s="2" cm="1">
        <f t="array" ref="G13:G17">D5:D9-G5:G9</f>
        <v>93600</v>
      </c>
      <c r="H13" s="2" cm="1">
        <f t="array" ref="H13:H17">D5:D9-H5:H9</f>
        <v>78000</v>
      </c>
      <c r="I13" s="2" cm="1">
        <f t="array" ref="I13:I17">D5:D9-I5:I9</f>
        <v>39000</v>
      </c>
    </row>
    <row r="14" spans="1:13" x14ac:dyDescent="0.2">
      <c r="F14" s="2">
        <v>230250</v>
      </c>
      <c r="G14" s="2">
        <v>215400</v>
      </c>
      <c r="H14" s="2">
        <v>205500</v>
      </c>
      <c r="I14" s="2">
        <v>180750</v>
      </c>
    </row>
    <row r="15" spans="1:13" x14ac:dyDescent="0.2">
      <c r="F15" s="2">
        <v>333750</v>
      </c>
      <c r="G15" s="2">
        <v>318000</v>
      </c>
      <c r="H15" s="2">
        <v>307500</v>
      </c>
      <c r="I15" s="2">
        <v>281250</v>
      </c>
    </row>
    <row r="16" spans="1:13" x14ac:dyDescent="0.2">
      <c r="F16" s="2">
        <v>382125</v>
      </c>
      <c r="G16" s="2">
        <v>377700</v>
      </c>
      <c r="H16" s="2">
        <v>374750</v>
      </c>
      <c r="I16" s="2">
        <v>367375</v>
      </c>
    </row>
    <row r="17" spans="6:9" x14ac:dyDescent="0.2">
      <c r="F17" s="2">
        <v>412375</v>
      </c>
      <c r="G17" s="2">
        <v>407800</v>
      </c>
      <c r="H17" s="2">
        <v>404750</v>
      </c>
      <c r="I17" s="2">
        <v>397125</v>
      </c>
    </row>
  </sheetData>
  <mergeCells count="2">
    <mergeCell ref="F3:I3"/>
    <mergeCell ref="F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Laforce-Steben</dc:creator>
  <cp:lastModifiedBy>Jade Laforce-Steben</cp:lastModifiedBy>
  <dcterms:created xsi:type="dcterms:W3CDTF">2024-05-16T18:03:08Z</dcterms:created>
  <dcterms:modified xsi:type="dcterms:W3CDTF">2024-05-16T18:24:04Z</dcterms:modified>
</cp:coreProperties>
</file>