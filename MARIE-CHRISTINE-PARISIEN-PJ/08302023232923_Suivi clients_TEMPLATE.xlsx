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1" sheetId="1" r:id="rId4"/>
    <sheet state="visible" name="CLIENT 2" sheetId="2" r:id="rId5"/>
    <sheet state="visible" name="CLIENT 3" sheetId="3" r:id="rId6"/>
    <sheet state="hidden" name="BD" sheetId="4" r:id="rId7"/>
  </sheets>
  <definedNames/>
  <calcPr/>
  <extLst>
    <ext uri="GoogleSheetsCustomDataVersion2">
      <go:sheetsCustomData xmlns:go="http://customooxmlschemas.google.com/" r:id="rId8" roundtripDataChecksum="LpQLTjT++W/zkcXv2KBKSnYBsgvOZpbjtWOErLnB56E="/>
    </ext>
  </extLst>
</workbook>
</file>

<file path=xl/sharedStrings.xml><?xml version="1.0" encoding="utf-8"?>
<sst xmlns="http://schemas.openxmlformats.org/spreadsheetml/2006/main" count="629" uniqueCount="55">
  <si>
    <t xml:space="preserve">Nom Client : </t>
  </si>
  <si>
    <t>QuickBook</t>
  </si>
  <si>
    <t xml:space="preserve">Entreprise : </t>
  </si>
  <si>
    <t>XXXXX</t>
  </si>
  <si>
    <t>Description :</t>
  </si>
  <si>
    <t>Mise à jour :</t>
  </si>
  <si>
    <t>Entrée de données</t>
  </si>
  <si>
    <t>Relevés Bancaires</t>
  </si>
  <si>
    <t>Rapprochement</t>
  </si>
  <si>
    <t>Mois</t>
  </si>
  <si>
    <t>Ventes</t>
  </si>
  <si>
    <t>Dépenses</t>
  </si>
  <si>
    <t>Courriel</t>
  </si>
  <si>
    <t>Status</t>
  </si>
  <si>
    <t>Chèque</t>
  </si>
  <si>
    <t>Carte Crédit</t>
  </si>
  <si>
    <t>Marge Crédit</t>
  </si>
  <si>
    <t>Autre 1</t>
  </si>
  <si>
    <t>Autres 2</t>
  </si>
  <si>
    <t>Janvier</t>
  </si>
  <si>
    <t>À faire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</si>
  <si>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</si>
  <si>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</si>
  <si>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</si>
  <si>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</si>
  <si>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</si>
  <si>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</si>
  <si>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</si>
  <si>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</si>
  <si>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</si>
  <si>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</si>
  <si>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</si>
  <si>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DAS</t>
  </si>
  <si>
    <t>Rapport TPS/TVQ</t>
  </si>
  <si>
    <t>Données</t>
  </si>
  <si>
    <t>R-QC</t>
  </si>
  <si>
    <t>Asana</t>
  </si>
  <si>
    <t>Client</t>
  </si>
  <si>
    <t>Trimestre 1</t>
  </si>
  <si>
    <t>Trimestre 2</t>
  </si>
  <si>
    <t>Trimestre 3</t>
  </si>
  <si>
    <t>Trimestre 4</t>
  </si>
  <si>
    <t>Choix</t>
  </si>
  <si>
    <t>Télécharger</t>
  </si>
  <si>
    <t>En cours</t>
  </si>
  <si>
    <t>Suivi à Faire</t>
  </si>
  <si>
    <t>En attente</t>
  </si>
  <si>
    <t>Suivi fait</t>
  </si>
  <si>
    <t>Fait</t>
  </si>
  <si>
    <t>True</t>
  </si>
  <si>
    <t>False</t>
  </si>
  <si>
    <t>Envoyé</t>
  </si>
  <si>
    <t>Relever Bancaire</t>
  </si>
  <si>
    <t>A faire</t>
  </si>
  <si>
    <t>Envoyer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</si>
</sst>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sz val="16.0"/>
      <color theme="1"/>
      <name val="Calibri"/>
    </font>
    <font>
      <b/>
      <sz val="20.0"/>
      <color theme="1"/>
      <name val="Calibri"/>
    </font>
    <font/>
    <font>
      <b/>
      <sz val="11.0"/>
      <color theme="1"/>
      <name val="Calibri"/>
    </font>
    <font>
      <b/>
      <sz val="16.0"/>
      <color theme="1"/>
      <name val="Calibri"/>
    </font>
    <font>
      <sz val="11.0"/>
      <color theme="0"/>
      <name val="Calibri"/>
    </font>
    <font>
      <color theme="1"/>
      <name val="Calibri"/>
      <scheme val="minor"/>
    </font>
    <font>
      <sz val="9.0"/>
      <color theme="1"/>
      <name val="Quattrocento Sans"/>
    </font>
    <font>
      <sz val="9.0"/>
      <color rgb="FFD1D5DB"/>
      <name val="Quattrocento Sans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444654"/>
        <bgColor rgb="FF444654"/>
      </patternFill>
    </fill>
  </fills>
  <borders count="69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/>
      <top/>
    </border>
    <border>
      <top/>
    </border>
    <border>
      <right style="medium">
        <color rgb="FF000000"/>
      </right>
      <top/>
    </border>
    <border>
      <left/>
    </border>
    <border>
      <left style="medium">
        <color rgb="FF000000"/>
      </left>
      <right/>
      <top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double">
        <color rgb="FF000000"/>
      </bottom>
    </border>
    <border>
      <left/>
      <right style="hair">
        <color rgb="FF000000"/>
      </right>
      <top/>
      <bottom style="double">
        <color rgb="FF000000"/>
      </bottom>
    </border>
    <border>
      <left style="hair">
        <color rgb="FF000000"/>
      </left>
      <right/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/>
      <right style="medium">
        <color rgb="FF000000"/>
      </right>
      <top/>
      <bottom style="double">
        <color rgb="FF000000"/>
      </bottom>
    </border>
    <border>
      <left/>
      <right/>
      <top/>
      <bottom style="double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left style="medium">
        <color rgb="FF000000"/>
      </left>
      <right style="medium">
        <color rgb="FF000000"/>
      </right>
      <top/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/>
      <bottom style="double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D9D9E3"/>
      </left>
      <right/>
      <top style="medium">
        <color rgb="FFD9D9E3"/>
      </top>
      <bottom style="medium">
        <color rgb="FFD9D9E3"/>
      </bottom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</border>
    <border>
      <left style="medium">
        <color rgb="FFD9D9E3"/>
      </left>
      <right/>
      <top/>
      <bottom style="medium">
        <color rgb="FFD9D9E3"/>
      </bottom>
    </border>
    <border>
      <left style="medium">
        <color rgb="FFD9D9E3"/>
      </left>
      <right style="medium">
        <color rgb="FFD9D9E3"/>
      </right>
      <top/>
      <bottom style="medium">
        <color rgb="FFD9D9E3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2" fontId="2" numFmtId="0" xfId="0" applyBorder="1" applyFont="1"/>
    <xf borderId="2" fillId="2" fontId="1" numFmtId="0" xfId="0" applyBorder="1" applyFont="1"/>
    <xf borderId="3" fillId="2" fontId="1" numFmtId="0" xfId="0" applyBorder="1" applyFont="1"/>
    <xf borderId="4" fillId="0" fontId="3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2" fontId="1" numFmtId="0" xfId="0" applyBorder="1" applyFont="1"/>
    <xf borderId="8" fillId="2" fontId="5" numFmtId="0" xfId="0" applyAlignment="1" applyBorder="1" applyFont="1">
      <alignment horizontal="left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2" fontId="1" numFmtId="0" xfId="0" applyAlignment="1" applyBorder="1" applyFont="1">
      <alignment horizontal="left" shrinkToFit="0" vertical="top" wrapText="1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1" fillId="0" fontId="6" numFmtId="0" xfId="0" applyAlignment="1" applyBorder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7" fillId="2" fontId="1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3" fontId="1" numFmtId="0" xfId="0" applyAlignment="1" applyBorder="1" applyFill="1" applyFon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25" fillId="3" fontId="1" numFmtId="0" xfId="0" applyAlignment="1" applyBorder="1" applyFont="1">
      <alignment horizontal="center" vertical="center"/>
    </xf>
    <xf borderId="26" fillId="0" fontId="4" numFmtId="0" xfId="0" applyBorder="1" applyFont="1"/>
    <xf borderId="27" fillId="0" fontId="4" numFmtId="0" xfId="0" applyBorder="1" applyFont="1"/>
    <xf borderId="28" fillId="4" fontId="1" numFmtId="0" xfId="0" applyAlignment="1" applyBorder="1" applyFill="1" applyFont="1">
      <alignment vertical="center"/>
    </xf>
    <xf borderId="29" fillId="4" fontId="1" numFmtId="0" xfId="0" applyAlignment="1" applyBorder="1" applyFont="1">
      <alignment horizontal="center" vertical="center"/>
    </xf>
    <xf borderId="30" fillId="4" fontId="1" numFmtId="0" xfId="0" applyAlignment="1" applyBorder="1" applyFont="1">
      <alignment horizontal="center" vertical="center"/>
    </xf>
    <xf borderId="31" fillId="4" fontId="1" numFmtId="0" xfId="0" applyAlignment="1" applyBorder="1" applyFont="1">
      <alignment horizontal="center" vertical="center"/>
    </xf>
    <xf borderId="32" fillId="5" fontId="1" numFmtId="0" xfId="0" applyAlignment="1" applyBorder="1" applyFill="1" applyFont="1">
      <alignment horizontal="center" vertical="center"/>
    </xf>
    <xf borderId="33" fillId="4" fontId="1" numFmtId="0" xfId="0" applyAlignment="1" applyBorder="1" applyFont="1">
      <alignment horizontal="center" vertical="center"/>
    </xf>
    <xf borderId="31" fillId="5" fontId="1" numFmtId="0" xfId="0" applyAlignment="1" applyBorder="1" applyFont="1">
      <alignment horizontal="center" vertical="center"/>
    </xf>
    <xf borderId="34" fillId="0" fontId="1" numFmtId="0" xfId="0" applyBorder="1" applyFont="1"/>
    <xf borderId="35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4" fontId="1" numFmtId="164" xfId="0" applyAlignment="1" applyBorder="1" applyFont="1" applyNumberFormat="1">
      <alignment horizontal="center"/>
    </xf>
    <xf borderId="38" fillId="0" fontId="1" numFmtId="9" xfId="0" applyAlignment="1" applyBorder="1" applyFont="1" applyNumberFormat="1">
      <alignment horizontal="center" vertical="center"/>
    </xf>
    <xf borderId="35" fillId="0" fontId="7" numFmtId="0" xfId="0" applyAlignment="1" applyBorder="1" applyFont="1">
      <alignment horizontal="center"/>
    </xf>
    <xf borderId="36" fillId="0" fontId="7" numFmtId="0" xfId="0" applyAlignment="1" applyBorder="1" applyFont="1">
      <alignment horizontal="center"/>
    </xf>
    <xf borderId="39" fillId="0" fontId="1" numFmtId="9" xfId="0" applyAlignment="1" applyBorder="1" applyFont="1" applyNumberFormat="1">
      <alignment horizontal="center" vertical="center"/>
    </xf>
    <xf borderId="40" fillId="0" fontId="1" numFmtId="0" xfId="0" applyBorder="1" applyFont="1"/>
    <xf borderId="0" fillId="0" fontId="1" numFmtId="10" xfId="0" applyFont="1" applyNumberFormat="1"/>
    <xf borderId="41" fillId="0" fontId="1" numFmtId="0" xfId="0" applyBorder="1" applyFont="1"/>
    <xf borderId="42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43" fillId="4" fontId="1" numFmtId="164" xfId="0" applyAlignment="1" applyBorder="1" applyFont="1" applyNumberFormat="1">
      <alignment horizontal="center"/>
    </xf>
    <xf borderId="20" fillId="0" fontId="1" numFmtId="9" xfId="0" applyAlignment="1" applyBorder="1" applyFont="1" applyNumberFormat="1">
      <alignment horizontal="center" vertical="center"/>
    </xf>
    <xf borderId="42" fillId="0" fontId="7" numFmtId="0" xfId="0" applyAlignment="1" applyBorder="1" applyFont="1">
      <alignment horizontal="center"/>
    </xf>
    <xf borderId="19" fillId="0" fontId="7" numFmtId="0" xfId="0" applyAlignment="1" applyBorder="1" applyFont="1">
      <alignment horizontal="center"/>
    </xf>
    <xf borderId="44" fillId="0" fontId="1" numFmtId="9" xfId="0" applyAlignment="1" applyBorder="1" applyFont="1" applyNumberFormat="1">
      <alignment horizontal="center" vertical="center"/>
    </xf>
    <xf borderId="11" fillId="0" fontId="1" numFmtId="0" xfId="0" applyBorder="1" applyFont="1"/>
    <xf borderId="45" fillId="4" fontId="1" numFmtId="0" xfId="0" applyAlignment="1" applyBorder="1" applyFont="1">
      <alignment horizontal="center" vertical="center"/>
    </xf>
    <xf borderId="28" fillId="4" fontId="1" numFmtId="0" xfId="0" applyAlignment="1" applyBorder="1" applyFont="1">
      <alignment horizontal="center" vertical="center"/>
    </xf>
    <xf borderId="46" fillId="4" fontId="1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48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49" fillId="0" fontId="1" numFmtId="0" xfId="0" applyAlignment="1" applyBorder="1" applyFont="1">
      <alignment horizontal="center" vertical="center"/>
    </xf>
    <xf borderId="50" fillId="0" fontId="1" numFmtId="9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51" fillId="0" fontId="1" numFmtId="0" xfId="0" applyAlignment="1" applyBorder="1" applyFont="1">
      <alignment horizontal="center" vertical="center"/>
    </xf>
    <xf borderId="52" fillId="0" fontId="1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54" fillId="0" fontId="1" numFmtId="0" xfId="0" applyAlignment="1" applyBorder="1" applyFont="1">
      <alignment horizontal="center" vertical="center"/>
    </xf>
    <xf borderId="55" fillId="0" fontId="1" numFmtId="9" xfId="0" applyAlignment="1" applyBorder="1" applyFont="1" applyNumberFormat="1">
      <alignment horizontal="center" vertical="center"/>
    </xf>
    <xf borderId="41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56" fillId="0" fontId="1" numFmtId="0" xfId="0" applyAlignment="1" applyBorder="1" applyFont="1">
      <alignment horizontal="center" vertical="center"/>
    </xf>
    <xf borderId="57" fillId="0" fontId="1" numFmtId="9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58" fillId="0" fontId="1" numFmtId="0" xfId="0" applyAlignment="1" applyBorder="1" applyFont="1">
      <alignment horizontal="center" vertical="center"/>
    </xf>
    <xf borderId="59" fillId="0" fontId="1" numFmtId="0" xfId="0" applyAlignment="1" applyBorder="1" applyFont="1">
      <alignment horizontal="center" vertical="center"/>
    </xf>
    <xf borderId="60" fillId="0" fontId="1" numFmtId="0" xfId="0" applyAlignment="1" applyBorder="1" applyFont="1">
      <alignment horizontal="center" vertical="center"/>
    </xf>
    <xf borderId="61" fillId="0" fontId="1" numFmtId="0" xfId="0" applyBorder="1" applyFont="1"/>
    <xf borderId="0" fillId="0" fontId="8" numFmtId="0" xfId="0" applyFont="1"/>
    <xf borderId="0" fillId="0" fontId="9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62" fillId="0" fontId="1" numFmtId="0" xfId="0" applyBorder="1" applyFont="1"/>
    <xf borderId="0" fillId="0" fontId="9" numFmtId="0" xfId="0" applyAlignment="1" applyFont="1">
      <alignment shrinkToFit="0" vertical="center" wrapText="1"/>
    </xf>
    <xf borderId="63" fillId="0" fontId="1" numFmtId="0" xfId="0" applyBorder="1" applyFont="1"/>
    <xf borderId="64" fillId="0" fontId="1" numFmtId="0" xfId="0" applyBorder="1" applyFont="1"/>
    <xf borderId="0" fillId="0" fontId="10" numFmtId="0" xfId="0" applyAlignment="1" applyFont="1">
      <alignment horizontal="center" shrinkToFit="0" wrapText="1"/>
    </xf>
    <xf borderId="0" fillId="0" fontId="10" numFmtId="9" xfId="0" applyAlignment="1" applyFont="1" applyNumberFormat="1">
      <alignment shrinkToFit="0" vertical="center" wrapText="1"/>
    </xf>
    <xf borderId="65" fillId="6" fontId="10" numFmtId="0" xfId="0" applyAlignment="1" applyBorder="1" applyFill="1" applyFont="1">
      <alignment horizontal="center" shrinkToFit="0" wrapText="1"/>
    </xf>
    <xf borderId="66" fillId="6" fontId="10" numFmtId="0" xfId="0" applyAlignment="1" applyBorder="1" applyFont="1">
      <alignment horizontal="center" shrinkToFit="0" wrapText="1"/>
    </xf>
    <xf borderId="67" fillId="6" fontId="10" numFmtId="0" xfId="0" applyAlignment="1" applyBorder="1" applyFont="1">
      <alignment shrinkToFit="0" vertical="center" wrapText="1"/>
    </xf>
    <xf borderId="67" fillId="6" fontId="10" numFmtId="9" xfId="0" applyAlignment="1" applyBorder="1" applyFont="1" applyNumberFormat="1">
      <alignment shrinkToFit="0" vertical="center" wrapText="1"/>
    </xf>
    <xf borderId="68" fillId="6" fontId="10" numFmtId="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3">
    <dxf>
      <font>
        <b/>
        <color theme="0"/>
      </font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8696B"/>
          <bgColor rgb="FFF8696B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47625</xdr:colOff>
      <xdr:row>6</xdr:row>
      <xdr:rowOff>57150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47625</xdr:colOff>
      <xdr:row>6</xdr:row>
      <xdr:rowOff>57150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47625</xdr:colOff>
      <xdr:row>6</xdr:row>
      <xdr:rowOff>57150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5.71"/>
    <col customWidth="1" min="3" max="4" width="10.71"/>
    <col customWidth="1" min="5" max="5" width="15.71"/>
    <col customWidth="1" min="6" max="6" width="10.71"/>
    <col customWidth="1" min="7" max="7" width="2.71"/>
    <col customWidth="1" min="8" max="8" width="13.43"/>
    <col customWidth="1" min="9" max="13" width="12.71"/>
    <col customWidth="1" min="14" max="14" width="10.71"/>
    <col customWidth="1" min="15" max="15" width="2.71"/>
    <col customWidth="1" min="16" max="16" width="11.43"/>
    <col customWidth="1" min="17" max="18" width="10.71"/>
    <col customWidth="1" min="19" max="19" width="15.71"/>
    <col customWidth="1" min="20" max="20" width="10.71"/>
    <col customWidth="1" min="21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2" t="s">
        <v>0</v>
      </c>
      <c r="C2" s="3" t="str">
        <f t="array" ref="C2">RIGHT(CELL("nomfichier",A1),LEN(CELL("nomfichier",A1))-FIND("]",CELL("nomfichier",A1)))</f>
        <v>#VALUE!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1"/>
      <c r="P2" s="6" t="s">
        <v>1</v>
      </c>
      <c r="Q2" s="7"/>
      <c r="R2" s="7"/>
      <c r="S2" s="7"/>
      <c r="T2" s="8"/>
      <c r="U2" s="1"/>
      <c r="V2" s="1"/>
      <c r="W2" s="1"/>
      <c r="X2" s="1"/>
      <c r="Y2" s="1"/>
      <c r="Z2" s="1"/>
    </row>
    <row r="3" ht="15.0" customHeight="1">
      <c r="A3" s="1"/>
      <c r="B3" s="9" t="s">
        <v>2</v>
      </c>
      <c r="C3" s="10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"/>
      <c r="P3" s="13"/>
      <c r="T3" s="14"/>
      <c r="U3" s="1"/>
      <c r="V3" s="1"/>
      <c r="W3" s="1"/>
      <c r="X3" s="1"/>
      <c r="Y3" s="1"/>
      <c r="Z3" s="1"/>
    </row>
    <row r="4" ht="15.0" customHeight="1">
      <c r="A4" s="1"/>
      <c r="B4" s="9" t="s">
        <v>4</v>
      </c>
      <c r="C4" s="15" t="s">
        <v>3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  <c r="O4" s="1"/>
      <c r="P4" s="13"/>
      <c r="T4" s="14"/>
      <c r="U4" s="1"/>
      <c r="V4" s="1"/>
      <c r="W4" s="1"/>
      <c r="X4" s="1"/>
      <c r="Y4" s="1"/>
      <c r="Z4" s="1"/>
    </row>
    <row r="5" ht="15.0" customHeight="1">
      <c r="A5" s="1"/>
      <c r="B5" s="9"/>
      <c r="C5" s="18"/>
      <c r="N5" s="14"/>
      <c r="O5" s="1"/>
      <c r="P5" s="13"/>
      <c r="T5" s="14"/>
      <c r="U5" s="1"/>
      <c r="V5" s="1"/>
      <c r="W5" s="1"/>
      <c r="X5" s="1"/>
      <c r="Y5" s="1"/>
      <c r="Z5" s="1"/>
    </row>
    <row r="6" ht="15.0" customHeight="1">
      <c r="A6" s="1"/>
      <c r="B6" s="9"/>
      <c r="C6" s="18"/>
      <c r="N6" s="14"/>
      <c r="O6" s="1"/>
      <c r="P6" s="19" t="s">
        <v>5</v>
      </c>
      <c r="S6" s="20">
        <v>45162.0</v>
      </c>
      <c r="T6" s="14"/>
      <c r="U6" s="1"/>
      <c r="V6" s="1"/>
      <c r="W6" s="1"/>
      <c r="X6" s="1"/>
      <c r="Y6" s="1"/>
      <c r="Z6" s="1"/>
    </row>
    <row r="7" ht="15.75" customHeight="1">
      <c r="A7" s="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  <c r="O7" s="1"/>
      <c r="P7" s="25"/>
      <c r="Q7" s="23"/>
      <c r="R7" s="23"/>
      <c r="S7" s="23"/>
      <c r="T7" s="24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6" t="s">
        <v>6</v>
      </c>
      <c r="C9" s="27"/>
      <c r="D9" s="27"/>
      <c r="E9" s="27"/>
      <c r="F9" s="28"/>
      <c r="G9" s="1"/>
      <c r="H9" s="29" t="s">
        <v>7</v>
      </c>
      <c r="I9" s="30"/>
      <c r="J9" s="30"/>
      <c r="K9" s="30"/>
      <c r="L9" s="30"/>
      <c r="M9" s="30"/>
      <c r="N9" s="31"/>
      <c r="O9" s="1"/>
      <c r="P9" s="26" t="s">
        <v>8</v>
      </c>
      <c r="Q9" s="27"/>
      <c r="R9" s="27"/>
      <c r="S9" s="27"/>
      <c r="T9" s="28"/>
      <c r="U9" s="1"/>
      <c r="V9" s="1"/>
      <c r="W9" s="1"/>
      <c r="X9" s="1"/>
      <c r="Y9" s="1"/>
      <c r="Z9" s="1"/>
    </row>
    <row r="10" ht="19.5" customHeight="1">
      <c r="A10" s="1"/>
      <c r="B10" s="32" t="s">
        <v>9</v>
      </c>
      <c r="C10" s="33" t="s">
        <v>10</v>
      </c>
      <c r="D10" s="34" t="s">
        <v>11</v>
      </c>
      <c r="E10" s="35" t="s">
        <v>12</v>
      </c>
      <c r="F10" s="36" t="s">
        <v>13</v>
      </c>
      <c r="G10" s="1"/>
      <c r="H10" s="32" t="s">
        <v>9</v>
      </c>
      <c r="I10" s="33" t="s">
        <v>14</v>
      </c>
      <c r="J10" s="33" t="s">
        <v>15</v>
      </c>
      <c r="K10" s="33" t="s">
        <v>16</v>
      </c>
      <c r="L10" s="33" t="s">
        <v>17</v>
      </c>
      <c r="M10" s="37" t="s">
        <v>18</v>
      </c>
      <c r="N10" s="38" t="s">
        <v>13</v>
      </c>
      <c r="O10" s="1"/>
      <c r="P10" s="32" t="s">
        <v>9</v>
      </c>
      <c r="Q10" s="33" t="s">
        <v>10</v>
      </c>
      <c r="R10" s="34" t="s">
        <v>11</v>
      </c>
      <c r="S10" s="35" t="s">
        <v>12</v>
      </c>
      <c r="T10" s="36" t="s">
        <v>13</v>
      </c>
      <c r="U10" s="1"/>
      <c r="V10" s="1"/>
      <c r="W10" s="1"/>
      <c r="X10" s="1"/>
      <c r="Y10" s="1"/>
      <c r="Z10" s="1"/>
    </row>
    <row r="11" ht="19.5" customHeight="1">
      <c r="A11" s="1"/>
      <c r="B11" s="39" t="s">
        <v>19</v>
      </c>
      <c r="C11" s="40" t="s">
        <v>20</v>
      </c>
      <c r="D11" s="41" t="s">
        <v>20</v>
      </c>
      <c r="E11" s="42"/>
      <c r="F11" s="43">
        <f t="array" ref="F11">IF(AND(C11="Fait", D11="Fait"), "Complété", INDEX(BD!$G$4:$L$9, MATCH(C11, BD!$F$4:$F$9, 0), MATCH(D11, BD!$G$3:$L$3, 0) ))</f>
        <v>0</v>
      </c>
      <c r="G11" s="1"/>
      <c r="H11" s="39" t="s">
        <v>19</v>
      </c>
      <c r="I11" s="44" t="b">
        <v>0</v>
      </c>
      <c r="J11" s="44" t="b">
        <v>0</v>
      </c>
      <c r="K11" s="44" t="b">
        <v>0</v>
      </c>
      <c r="L11" s="44" t="b">
        <v>0</v>
      </c>
      <c r="M11" s="45" t="b">
        <v>0</v>
      </c>
      <c r="N11" s="46">
        <f t="shared" ref="N11:N22" si="1">IF(SUM(I11+ J11+ K11+ L11+ M11) * 20 = 100, "Complété", SUM(I11+ J11+ K11+ L11+ M11) * 20 /100)</f>
        <v>0</v>
      </c>
      <c r="O11" s="1"/>
      <c r="P11" s="39" t="s">
        <v>19</v>
      </c>
      <c r="Q11" s="40" t="s">
        <v>20</v>
      </c>
      <c r="R11" s="41" t="s">
        <v>20</v>
      </c>
      <c r="S11" s="42"/>
      <c r="T11" s="43">
        <f t="array" ref="T11">IF(AND(Q11="Fait", R11="Fait"), "Complété", INDEX(BD!$G$4:$L$9, MATCH(Q11, BD!$F$4:$F$9, 0), MATCH(R11, BD!$G$3:$L$3, 0) ))</f>
        <v>0</v>
      </c>
      <c r="U11" s="1"/>
      <c r="V11" s="1"/>
      <c r="W11" s="1"/>
      <c r="X11" s="1"/>
      <c r="Y11" s="1"/>
      <c r="Z11" s="1"/>
    </row>
    <row r="12" ht="19.5" customHeight="1">
      <c r="A12" s="1"/>
      <c r="B12" s="47" t="s">
        <v>21</v>
      </c>
      <c r="C12" s="40" t="s">
        <v>20</v>
      </c>
      <c r="D12" s="41" t="s">
        <v>20</v>
      </c>
      <c r="E12" s="42"/>
      <c r="F12" s="43">
        <f t="array" ref="F12">IF(AND(C12="Fait", D12="Fait"), "Complété", INDEX(BD!$G$4:$L$9, MATCH(C12, BD!$F$4:$F$9, 0), MATCH(D12, BD!$G$3:$L$3, 0) ))</f>
        <v>0</v>
      </c>
      <c r="G12" s="1"/>
      <c r="H12" s="47" t="s">
        <v>21</v>
      </c>
      <c r="I12" s="44" t="b">
        <v>0</v>
      </c>
      <c r="J12" s="44" t="b">
        <v>0</v>
      </c>
      <c r="K12" s="44" t="b">
        <v>0</v>
      </c>
      <c r="L12" s="44" t="b">
        <v>0</v>
      </c>
      <c r="M12" s="45" t="b">
        <v>0</v>
      </c>
      <c r="N12" s="46">
        <f t="shared" si="1"/>
        <v>0</v>
      </c>
      <c r="O12" s="1"/>
      <c r="P12" s="47" t="s">
        <v>21</v>
      </c>
      <c r="Q12" s="40" t="s">
        <v>20</v>
      </c>
      <c r="R12" s="41" t="s">
        <v>20</v>
      </c>
      <c r="S12" s="42"/>
      <c r="T12" s="43">
        <f t="array" ref="T12">IF(AND(Q12="Fait", R12="Fait"), "Complété", INDEX(BD!$G$4:$L$9, MATCH(Q12, BD!$F$4:$F$9, 0), MATCH(R12, BD!$G$3:$L$3, 0) ))</f>
        <v>0</v>
      </c>
      <c r="U12" s="1"/>
      <c r="V12" s="1"/>
      <c r="W12" s="1"/>
      <c r="X12" s="1"/>
      <c r="Y12" s="1"/>
      <c r="Z12" s="1"/>
    </row>
    <row r="13" ht="19.5" customHeight="1">
      <c r="A13" s="1"/>
      <c r="B13" s="47" t="s">
        <v>22</v>
      </c>
      <c r="C13" s="40" t="s">
        <v>20</v>
      </c>
      <c r="D13" s="41" t="s">
        <v>20</v>
      </c>
      <c r="E13" s="42"/>
      <c r="F13" s="43">
        <f t="array" ref="F13">IF(AND(C13="Fait", D13="Fait"), "Complété", INDEX(BD!$G$4:$L$9, MATCH(C13, BD!$F$4:$F$9, 0), MATCH(D13, BD!$G$3:$L$3, 0) ))</f>
        <v>0</v>
      </c>
      <c r="G13" s="1"/>
      <c r="H13" s="47" t="s">
        <v>22</v>
      </c>
      <c r="I13" s="44" t="b">
        <v>0</v>
      </c>
      <c r="J13" s="44" t="b">
        <v>0</v>
      </c>
      <c r="K13" s="44" t="b">
        <v>0</v>
      </c>
      <c r="L13" s="44" t="b">
        <v>0</v>
      </c>
      <c r="M13" s="45" t="b">
        <v>0</v>
      </c>
      <c r="N13" s="46">
        <f t="shared" si="1"/>
        <v>0</v>
      </c>
      <c r="O13" s="48"/>
      <c r="P13" s="47" t="s">
        <v>22</v>
      </c>
      <c r="Q13" s="40" t="s">
        <v>20</v>
      </c>
      <c r="R13" s="41" t="s">
        <v>20</v>
      </c>
      <c r="S13" s="42"/>
      <c r="T13" s="43">
        <f t="array" ref="T13">IF(AND(Q13="Fait", R13="Fait"), "Complété", INDEX(BD!$G$4:$L$9, MATCH(Q13, BD!$F$4:$F$9, 0), MATCH(R13, BD!$G$3:$L$3, 0) ))</f>
        <v>0</v>
      </c>
      <c r="U13" s="1"/>
      <c r="V13" s="1"/>
      <c r="W13" s="1"/>
      <c r="X13" s="1"/>
      <c r="Y13" s="1"/>
      <c r="Z13" s="1"/>
    </row>
    <row r="14" ht="19.5" customHeight="1">
      <c r="A14" s="1"/>
      <c r="B14" s="47" t="s">
        <v>23</v>
      </c>
      <c r="C14" s="40" t="s">
        <v>20</v>
      </c>
      <c r="D14" s="41" t="s">
        <v>20</v>
      </c>
      <c r="E14" s="42"/>
      <c r="F14" s="43">
        <f t="array" ref="F14">IF(AND(C14="Fait", D14="Fait"), "Complété", INDEX(BD!$G$4:$L$9, MATCH(C14, BD!$F$4:$F$9, 0), MATCH(D14, BD!$G$3:$L$3, 0) ))</f>
        <v>0</v>
      </c>
      <c r="G14" s="1"/>
      <c r="H14" s="47" t="s">
        <v>23</v>
      </c>
      <c r="I14" s="44" t="b">
        <v>0</v>
      </c>
      <c r="J14" s="44" t="b">
        <v>0</v>
      </c>
      <c r="K14" s="44" t="b">
        <v>0</v>
      </c>
      <c r="L14" s="44" t="b">
        <v>0</v>
      </c>
      <c r="M14" s="45" t="b">
        <v>0</v>
      </c>
      <c r="N14" s="46">
        <f t="shared" si="1"/>
        <v>0</v>
      </c>
      <c r="O14" s="48"/>
      <c r="P14" s="47" t="s">
        <v>23</v>
      </c>
      <c r="Q14" s="40" t="s">
        <v>20</v>
      </c>
      <c r="R14" s="41" t="s">
        <v>20</v>
      </c>
      <c r="S14" s="42"/>
      <c r="T14" s="43">
        <f t="array" ref="T14">IF(AND(Q14="Fait", R14="Fait"), "Complété", INDEX(BD!$G$4:$L$9, MATCH(Q14, BD!$F$4:$F$9, 0), MATCH(R14, BD!$G$3:$L$3, 0) ))</f>
        <v>0</v>
      </c>
      <c r="U14" s="1"/>
      <c r="V14" s="1"/>
      <c r="W14" s="1"/>
      <c r="X14" s="1"/>
      <c r="Y14" s="1"/>
      <c r="Z14" s="1"/>
    </row>
    <row r="15" ht="19.5" customHeight="1">
      <c r="A15" s="1"/>
      <c r="B15" s="47" t="s">
        <v>24</v>
      </c>
      <c r="C15" s="40" t="s">
        <v>20</v>
      </c>
      <c r="D15" s="41" t="s">
        <v>20</v>
      </c>
      <c r="E15" s="42"/>
      <c r="F15" s="43">
        <f t="array" ref="F15">IF(AND(C15="Fait", D15="Fait"), "Complété", INDEX(BD!$G$4:$L$9, MATCH(C15, BD!$F$4:$F$9, 0), MATCH(D15, BD!$G$3:$L$3, 0) ))</f>
        <v>0</v>
      </c>
      <c r="G15" s="1"/>
      <c r="H15" s="47" t="s">
        <v>24</v>
      </c>
      <c r="I15" s="44" t="b">
        <v>0</v>
      </c>
      <c r="J15" s="44" t="b">
        <v>0</v>
      </c>
      <c r="K15" s="44" t="b">
        <v>0</v>
      </c>
      <c r="L15" s="44" t="b">
        <v>0</v>
      </c>
      <c r="M15" s="45" t="b">
        <v>0</v>
      </c>
      <c r="N15" s="46">
        <f t="shared" si="1"/>
        <v>0</v>
      </c>
      <c r="O15" s="48"/>
      <c r="P15" s="47" t="s">
        <v>24</v>
      </c>
      <c r="Q15" s="40" t="s">
        <v>20</v>
      </c>
      <c r="R15" s="41" t="s">
        <v>20</v>
      </c>
      <c r="S15" s="42"/>
      <c r="T15" s="43">
        <f t="array" ref="T15">IF(AND(Q15="Fait", R15="Fait"), "Complété", INDEX(BD!$G$4:$L$9, MATCH(Q15, BD!$F$4:$F$9, 0), MATCH(R15, BD!$G$3:$L$3, 0) ))</f>
        <v>0</v>
      </c>
      <c r="U15" s="1"/>
      <c r="V15" s="1"/>
      <c r="W15" s="1"/>
      <c r="X15" s="1"/>
      <c r="Y15" s="1"/>
      <c r="Z15" s="1"/>
    </row>
    <row r="16" ht="19.5" customHeight="1">
      <c r="A16" s="1"/>
      <c r="B16" s="47" t="s">
        <v>25</v>
      </c>
      <c r="C16" s="40" t="s">
        <v>20</v>
      </c>
      <c r="D16" s="41" t="s">
        <v>20</v>
      </c>
      <c r="E16" s="42"/>
      <c r="F16" s="43">
        <f t="array" ref="F16">IF(AND(C16="Fait", D16="Fait"), "Complété", INDEX(BD!$G$4:$L$9, MATCH(C16, BD!$F$4:$F$9, 0), MATCH(D16, BD!$G$3:$L$3, 0) ))</f>
        <v>0</v>
      </c>
      <c r="G16" s="1"/>
      <c r="H16" s="47" t="s">
        <v>25</v>
      </c>
      <c r="I16" s="44" t="b">
        <v>0</v>
      </c>
      <c r="J16" s="44" t="b">
        <v>0</v>
      </c>
      <c r="K16" s="44" t="b">
        <v>0</v>
      </c>
      <c r="L16" s="44" t="b">
        <v>0</v>
      </c>
      <c r="M16" s="45" t="b">
        <v>0</v>
      </c>
      <c r="N16" s="46">
        <f t="shared" si="1"/>
        <v>0</v>
      </c>
      <c r="O16" s="48"/>
      <c r="P16" s="47" t="s">
        <v>25</v>
      </c>
      <c r="Q16" s="40" t="s">
        <v>20</v>
      </c>
      <c r="R16" s="41" t="s">
        <v>20</v>
      </c>
      <c r="S16" s="42"/>
      <c r="T16" s="43">
        <f t="array" ref="T16">IF(AND(Q16="Fait", R16="Fait"), "Complété", INDEX(BD!$G$4:$L$9, MATCH(Q16, BD!$F$4:$F$9, 0), MATCH(R16, BD!$G$3:$L$3, 0) ))</f>
        <v>0</v>
      </c>
      <c r="U16" s="1"/>
      <c r="V16" s="1"/>
      <c r="W16" s="1"/>
      <c r="X16" s="1"/>
      <c r="Y16" s="1"/>
      <c r="Z16" s="1"/>
    </row>
    <row r="17" ht="19.5" customHeight="1">
      <c r="A17" s="1"/>
      <c r="B17" s="47" t="s">
        <v>26</v>
      </c>
      <c r="C17" s="40" t="s">
        <v>20</v>
      </c>
      <c r="D17" s="41" t="s">
        <v>20</v>
      </c>
      <c r="E17" s="42"/>
      <c r="F17" s="43">
        <f t="array" ref="F17">IF(AND(C17="Fait", D17="Fait"), "Complété", INDEX(BD!$G$4:$L$9, MATCH(C17, BD!$F$4:$F$9, 0), MATCH(D17, BD!$G$3:$L$3, 0) ))</f>
        <v>0</v>
      </c>
      <c r="G17" s="1"/>
      <c r="H17" s="47" t="s">
        <v>26</v>
      </c>
      <c r="I17" s="44" t="b">
        <v>0</v>
      </c>
      <c r="J17" s="44" t="b">
        <v>0</v>
      </c>
      <c r="K17" s="44" t="b">
        <v>0</v>
      </c>
      <c r="L17" s="44" t="b">
        <v>0</v>
      </c>
      <c r="M17" s="45" t="b">
        <v>0</v>
      </c>
      <c r="N17" s="46">
        <f t="shared" si="1"/>
        <v>0</v>
      </c>
      <c r="O17" s="48"/>
      <c r="P17" s="47" t="s">
        <v>26</v>
      </c>
      <c r="Q17" s="40" t="s">
        <v>20</v>
      </c>
      <c r="R17" s="41" t="s">
        <v>20</v>
      </c>
      <c r="S17" s="42"/>
      <c r="T17" s="43">
        <f t="array" ref="T17">IF(AND(Q17="Fait", R17="Fait"), "Complété", INDEX(BD!$G$4:$L$9, MATCH(Q17, BD!$F$4:$F$9, 0), MATCH(R17, BD!$G$3:$L$3, 0) ))</f>
        <v>0</v>
      </c>
      <c r="U17" s="1"/>
      <c r="V17" s="1"/>
      <c r="W17" s="1"/>
      <c r="X17" s="1"/>
      <c r="Y17" s="1"/>
      <c r="Z17" s="1"/>
    </row>
    <row r="18" ht="19.5" customHeight="1">
      <c r="A18" s="1"/>
      <c r="B18" s="47" t="s">
        <v>27</v>
      </c>
      <c r="C18" s="40" t="s">
        <v>20</v>
      </c>
      <c r="D18" s="41" t="s">
        <v>20</v>
      </c>
      <c r="E18" s="42"/>
      <c r="F18" s="43">
        <f t="array" ref="F18">IF(AND(C18="Fait", D18="Fait"), "Complété", INDEX(BD!$G$4:$L$9, MATCH(C18, BD!$F$4:$F$9, 0), MATCH(D18, BD!$G$3:$L$3, 0) ))</f>
        <v>0</v>
      </c>
      <c r="G18" s="1"/>
      <c r="H18" s="47" t="s">
        <v>27</v>
      </c>
      <c r="I18" s="44" t="b">
        <v>0</v>
      </c>
      <c r="J18" s="44" t="b">
        <v>0</v>
      </c>
      <c r="K18" s="44" t="b">
        <v>0</v>
      </c>
      <c r="L18" s="44" t="b">
        <v>0</v>
      </c>
      <c r="M18" s="45" t="b">
        <v>0</v>
      </c>
      <c r="N18" s="46">
        <f t="shared" si="1"/>
        <v>0</v>
      </c>
      <c r="O18" s="48"/>
      <c r="P18" s="47" t="s">
        <v>27</v>
      </c>
      <c r="Q18" s="40" t="s">
        <v>20</v>
      </c>
      <c r="R18" s="41" t="s">
        <v>20</v>
      </c>
      <c r="S18" s="42"/>
      <c r="T18" s="43">
        <f t="array" ref="T18">IF(AND(Q18="Fait", R18="Fait"), "Complété", INDEX(BD!$G$4:$L$9, MATCH(Q18, BD!$F$4:$F$9, 0), MATCH(R18, BD!$G$3:$L$3, 0) ))</f>
        <v>0</v>
      </c>
      <c r="U18" s="1"/>
      <c r="V18" s="1"/>
      <c r="W18" s="1"/>
      <c r="X18" s="1"/>
      <c r="Y18" s="1"/>
      <c r="Z18" s="1"/>
    </row>
    <row r="19" ht="19.5" customHeight="1">
      <c r="A19" s="1"/>
      <c r="B19" s="47" t="s">
        <v>28</v>
      </c>
      <c r="C19" s="40" t="s">
        <v>20</v>
      </c>
      <c r="D19" s="41" t="s">
        <v>20</v>
      </c>
      <c r="E19" s="42"/>
      <c r="F19" s="43">
        <f t="array" ref="F19">IF(AND(C19="Fait", D19="Fait"), "Complété", INDEX(BD!$G$4:$L$9, MATCH(C19, BD!$F$4:$F$9, 0), MATCH(D19, BD!$G$3:$L$3, 0) ))</f>
        <v>0</v>
      </c>
      <c r="G19" s="1"/>
      <c r="H19" s="47" t="s">
        <v>28</v>
      </c>
      <c r="I19" s="44" t="b">
        <v>0</v>
      </c>
      <c r="J19" s="44" t="b">
        <v>0</v>
      </c>
      <c r="K19" s="44" t="b">
        <v>0</v>
      </c>
      <c r="L19" s="44" t="b">
        <v>0</v>
      </c>
      <c r="M19" s="45" t="b">
        <v>0</v>
      </c>
      <c r="N19" s="46">
        <f t="shared" si="1"/>
        <v>0</v>
      </c>
      <c r="O19" s="1"/>
      <c r="P19" s="47" t="s">
        <v>28</v>
      </c>
      <c r="Q19" s="40" t="s">
        <v>20</v>
      </c>
      <c r="R19" s="41" t="s">
        <v>20</v>
      </c>
      <c r="S19" s="42"/>
      <c r="T19" s="43">
        <f t="array" ref="T19">IF(AND(Q19="Fait", R19="Fait"), "Complété", INDEX(BD!$G$4:$L$9, MATCH(Q19, BD!$F$4:$F$9, 0), MATCH(R19, BD!$G$3:$L$3, 0) ))</f>
        <v>0</v>
      </c>
      <c r="U19" s="1"/>
      <c r="V19" s="1"/>
      <c r="W19" s="1"/>
      <c r="X19" s="1"/>
      <c r="Y19" s="1"/>
      <c r="Z19" s="1"/>
    </row>
    <row r="20" ht="19.5" customHeight="1">
      <c r="A20" s="1"/>
      <c r="B20" s="47" t="s">
        <v>29</v>
      </c>
      <c r="C20" s="40" t="s">
        <v>20</v>
      </c>
      <c r="D20" s="41" t="s">
        <v>20</v>
      </c>
      <c r="E20" s="42"/>
      <c r="F20" s="43">
        <f t="array" ref="F20">IF(AND(C20="Fait", D20="Fait"), "Complété", INDEX(BD!$G$4:$L$9, MATCH(C20, BD!$F$4:$F$9, 0), MATCH(D20, BD!$G$3:$L$3, 0) ))</f>
        <v>0</v>
      </c>
      <c r="G20" s="1"/>
      <c r="H20" s="47" t="s">
        <v>29</v>
      </c>
      <c r="I20" s="44" t="b">
        <v>0</v>
      </c>
      <c r="J20" s="44" t="b">
        <v>0</v>
      </c>
      <c r="K20" s="44" t="b">
        <v>0</v>
      </c>
      <c r="L20" s="44" t="b">
        <v>0</v>
      </c>
      <c r="M20" s="45" t="b">
        <v>0</v>
      </c>
      <c r="N20" s="46">
        <f t="shared" si="1"/>
        <v>0</v>
      </c>
      <c r="O20" s="1"/>
      <c r="P20" s="47" t="s">
        <v>29</v>
      </c>
      <c r="Q20" s="40" t="s">
        <v>20</v>
      </c>
      <c r="R20" s="41" t="s">
        <v>20</v>
      </c>
      <c r="S20" s="42"/>
      <c r="T20" s="43">
        <f t="array" ref="T20">IF(AND(Q20="Fait", R20="Fait"), "Complété", INDEX(BD!$G$4:$L$9, MATCH(Q20, BD!$F$4:$F$9, 0), MATCH(R20, BD!$G$3:$L$3, 0) ))</f>
        <v>0</v>
      </c>
      <c r="U20" s="1"/>
      <c r="V20" s="1"/>
      <c r="W20" s="1"/>
      <c r="X20" s="1"/>
      <c r="Y20" s="1"/>
      <c r="Z20" s="1"/>
    </row>
    <row r="21" ht="19.5" customHeight="1">
      <c r="A21" s="1"/>
      <c r="B21" s="47" t="s">
        <v>30</v>
      </c>
      <c r="C21" s="40" t="s">
        <v>20</v>
      </c>
      <c r="D21" s="41" t="s">
        <v>20</v>
      </c>
      <c r="E21" s="42"/>
      <c r="F21" s="43">
        <f t="array" ref="F21">IF(AND(C21="Fait", D21="Fait"), "Complété", INDEX(BD!$G$4:$L$9, MATCH(C21, BD!$F$4:$F$9, 0), MATCH(D21, BD!$G$3:$L$3, 0) ))</f>
        <v>0</v>
      </c>
      <c r="G21" s="1"/>
      <c r="H21" s="47" t="s">
        <v>30</v>
      </c>
      <c r="I21" s="44" t="b">
        <v>0</v>
      </c>
      <c r="J21" s="44" t="b">
        <v>0</v>
      </c>
      <c r="K21" s="44" t="b">
        <v>0</v>
      </c>
      <c r="L21" s="44" t="b">
        <v>0</v>
      </c>
      <c r="M21" s="45" t="b">
        <v>0</v>
      </c>
      <c r="N21" s="46">
        <f t="shared" si="1"/>
        <v>0</v>
      </c>
      <c r="O21" s="1"/>
      <c r="P21" s="47" t="s">
        <v>30</v>
      </c>
      <c r="Q21" s="40" t="s">
        <v>20</v>
      </c>
      <c r="R21" s="41" t="s">
        <v>20</v>
      </c>
      <c r="S21" s="42"/>
      <c r="T21" s="43">
        <f t="array" ref="T21">IF(AND(Q21="Fait", R21="Fait"), "Complété", INDEX(BD!$G$4:$L$9, MATCH(Q21, BD!$F$4:$F$9, 0), MATCH(R21, BD!$G$3:$L$3, 0) ))</f>
        <v>0</v>
      </c>
      <c r="U21" s="1"/>
      <c r="V21" s="1"/>
      <c r="W21" s="1"/>
      <c r="X21" s="1"/>
      <c r="Y21" s="1"/>
      <c r="Z21" s="1"/>
    </row>
    <row r="22" ht="19.5" customHeight="1">
      <c r="A22" s="1"/>
      <c r="B22" s="49" t="s">
        <v>31</v>
      </c>
      <c r="C22" s="50" t="s">
        <v>20</v>
      </c>
      <c r="D22" s="51" t="s">
        <v>20</v>
      </c>
      <c r="E22" s="52"/>
      <c r="F22" s="53">
        <f t="array" ref="F22">IF(AND(C22="Fait", D22="Fait"), "Complété", INDEX(BD!$G$4:$L$9, MATCH(C22, BD!$F$4:$F$9, 0), MATCH(D22, BD!$G$3:$L$3, 0) ))</f>
        <v>0</v>
      </c>
      <c r="G22" s="1"/>
      <c r="H22" s="49" t="s">
        <v>31</v>
      </c>
      <c r="I22" s="54" t="b">
        <v>0</v>
      </c>
      <c r="J22" s="54" t="b">
        <v>0</v>
      </c>
      <c r="K22" s="54" t="b">
        <v>0</v>
      </c>
      <c r="L22" s="54" t="b">
        <v>0</v>
      </c>
      <c r="M22" s="55" t="b">
        <v>0</v>
      </c>
      <c r="N22" s="56">
        <f t="shared" si="1"/>
        <v>0</v>
      </c>
      <c r="O22" s="1"/>
      <c r="P22" s="49" t="s">
        <v>31</v>
      </c>
      <c r="Q22" s="50" t="s">
        <v>20</v>
      </c>
      <c r="R22" s="51" t="s">
        <v>20</v>
      </c>
      <c r="S22" s="52"/>
      <c r="T22" s="53">
        <f t="array" ref="T22">IF(AND(Q22="Fait", R22="Fait"), "Complété", INDEX(BD!$G$4:$L$9, MATCH(Q22, BD!$F$4:$F$9, 0), MATCH(R22, BD!$G$3:$L$3, 0) ))</f>
        <v>0</v>
      </c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7"/>
      <c r="B24" s="29" t="s">
        <v>32</v>
      </c>
      <c r="C24" s="30"/>
      <c r="D24" s="30"/>
      <c r="E24" s="30"/>
      <c r="F24" s="31"/>
      <c r="G24" s="1"/>
      <c r="H24" s="29" t="s">
        <v>33</v>
      </c>
      <c r="I24" s="30"/>
      <c r="J24" s="30"/>
      <c r="K24" s="30"/>
      <c r="L24" s="30"/>
      <c r="M24" s="3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7"/>
      <c r="B25" s="32" t="s">
        <v>9</v>
      </c>
      <c r="C25" s="33" t="s">
        <v>34</v>
      </c>
      <c r="D25" s="34" t="s">
        <v>35</v>
      </c>
      <c r="E25" s="58" t="s">
        <v>12</v>
      </c>
      <c r="F25" s="38" t="s">
        <v>13</v>
      </c>
      <c r="G25" s="1"/>
      <c r="H25" s="59" t="s">
        <v>9</v>
      </c>
      <c r="I25" s="33" t="s">
        <v>34</v>
      </c>
      <c r="J25" s="60" t="s">
        <v>36</v>
      </c>
      <c r="K25" s="60" t="s">
        <v>35</v>
      </c>
      <c r="L25" s="60" t="s">
        <v>37</v>
      </c>
      <c r="M25" s="38" t="s">
        <v>13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57"/>
      <c r="B26" s="39" t="s">
        <v>19</v>
      </c>
      <c r="C26" s="61" t="s">
        <v>20</v>
      </c>
      <c r="D26" s="62" t="s">
        <v>20</v>
      </c>
      <c r="E26" s="63" t="s">
        <v>20</v>
      </c>
      <c r="F26" s="46">
        <f t="array" ref="F26">IF(AND(C26="Fait",D26="Envoyé",E26="Envoyé"),"Complété",INDEX(BD!$P$17:P$22,MATCH(C26,BD!$O$17:$O$22,0))+IF(AND(C26="Fait",D26="Envoyé"),0.2,0))</f>
        <v>0</v>
      </c>
      <c r="G26" s="1"/>
      <c r="H26" s="64" t="s">
        <v>38</v>
      </c>
      <c r="I26" s="65" t="str">
        <f>IF(AND(F11="Complété", F12="Complété", F13="Complété", N11="Complété", N12="Complété", N13="Complété", T11="Complété", T12="Complété", T13="Complété"), "Prêt", "Pas prêt")</f>
        <v>Pas prêt</v>
      </c>
      <c r="J26" s="66" t="s">
        <v>20</v>
      </c>
      <c r="K26" s="66" t="s">
        <v>20</v>
      </c>
      <c r="L26" s="66" t="s">
        <v>20</v>
      </c>
      <c r="M26" s="67">
        <f t="shared" ref="M26:M29" si="2">IF((IF(I26="Prêt",1,0) + IF(J26="Envoyé",1,0) + IF(K26="Envoyé",1,0) + IF(L26="Envoyé",1,0)) = 4, "Complété", (IF(I26="Prêt",1,0) + IF(J26="Envoyé",1,0) + IF(K26="Envoyé",1,0) + IF(L26="Envoyé",1,0)) * 25/100)</f>
        <v>0</v>
      </c>
      <c r="N26" s="1"/>
      <c r="O26" s="1"/>
      <c r="P26" s="6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57"/>
      <c r="B27" s="47" t="s">
        <v>21</v>
      </c>
      <c r="C27" s="69" t="s">
        <v>20</v>
      </c>
      <c r="D27" s="70" t="s">
        <v>20</v>
      </c>
      <c r="E27" s="71" t="s">
        <v>20</v>
      </c>
      <c r="F27" s="46">
        <f t="array" ref="F27">IF(AND(C27="Fait",D27="Envoyé",E27="Envoyé"),"Complété",INDEX(BD!$P$17:P$22,MATCH(C27,BD!$O$17:$O$22,0))+IF(AND(C27="Fait",D27="Envoyé"),0.2,0))</f>
        <v>0</v>
      </c>
      <c r="G27" s="1"/>
      <c r="H27" s="72" t="s">
        <v>39</v>
      </c>
      <c r="I27" s="65" t="str">
        <f>IF(AND(F14="Complété", F15="Complété", F16="Complété", N14="Complété", N15="Complété", N16="Complété", T14="Complété", T15="Complété", T16="Complété"), "Prêt", "Pas prêt")</f>
        <v>Pas prêt</v>
      </c>
      <c r="J27" s="73" t="s">
        <v>20</v>
      </c>
      <c r="K27" s="73" t="s">
        <v>20</v>
      </c>
      <c r="L27" s="73" t="s">
        <v>20</v>
      </c>
      <c r="M27" s="74">
        <f t="shared" si="2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57"/>
      <c r="B28" s="47" t="s">
        <v>22</v>
      </c>
      <c r="C28" s="69" t="s">
        <v>20</v>
      </c>
      <c r="D28" s="70" t="s">
        <v>20</v>
      </c>
      <c r="E28" s="71" t="s">
        <v>20</v>
      </c>
      <c r="F28" s="46">
        <f t="array" ref="F28">IF(AND(C28="Fait",D28="Envoyé",E28="Envoyé"),"Complété",INDEX(BD!$P$17:P$22,MATCH(C28,BD!$O$17:$O$22,0))+IF(AND(C28="Fait",D28="Envoyé"),0.2,0))</f>
        <v>0</v>
      </c>
      <c r="G28" s="1"/>
      <c r="H28" s="72" t="s">
        <v>40</v>
      </c>
      <c r="I28" s="65" t="str">
        <f>IF(AND(F17="Complété", F18="Complété", F19="Complété", N17="Complété", N18="Complété", N19="Complété", T17="Complété", T18="Complété", T19="Complété"), "Prêt", "Pas prêt")</f>
        <v>Pas prêt</v>
      </c>
      <c r="J28" s="73" t="s">
        <v>20</v>
      </c>
      <c r="K28" s="73" t="s">
        <v>20</v>
      </c>
      <c r="L28" s="73" t="s">
        <v>20</v>
      </c>
      <c r="M28" s="74">
        <f t="shared" si="2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57"/>
      <c r="B29" s="47" t="s">
        <v>23</v>
      </c>
      <c r="C29" s="69" t="s">
        <v>20</v>
      </c>
      <c r="D29" s="70" t="s">
        <v>20</v>
      </c>
      <c r="E29" s="71" t="s">
        <v>20</v>
      </c>
      <c r="F29" s="46">
        <f t="array" ref="F29">IF(AND(C29="Fait",D29="Envoyé",E29="Envoyé"),"Complété",INDEX(BD!$P$17:P$22,MATCH(C29,BD!$O$17:$O$22,0))+IF(AND(C29="Fait",D29="Envoyé"),0.2,0))</f>
        <v>0</v>
      </c>
      <c r="G29" s="1"/>
      <c r="H29" s="75" t="s">
        <v>41</v>
      </c>
      <c r="I29" s="76" t="str">
        <f>IF(AND(F20="Complété", F21="Complété", F22="Complété", N20="Complété", N21="Complété", N22="Complété", T20="Complété", T21="Complété", T22="Complété"), "Prêt", "Pas prêt")</f>
        <v>Pas prêt</v>
      </c>
      <c r="J29" s="77" t="s">
        <v>20</v>
      </c>
      <c r="K29" s="77" t="s">
        <v>20</v>
      </c>
      <c r="L29" s="77" t="s">
        <v>20</v>
      </c>
      <c r="M29" s="78">
        <f t="shared" si="2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57"/>
      <c r="B30" s="47" t="s">
        <v>24</v>
      </c>
      <c r="C30" s="69" t="s">
        <v>20</v>
      </c>
      <c r="D30" s="70" t="s">
        <v>20</v>
      </c>
      <c r="E30" s="71" t="s">
        <v>20</v>
      </c>
      <c r="F30" s="46">
        <f t="array" ref="F30">IF(AND(C30="Fait",D30="Envoyé",E30="Envoyé"),"Complété",INDEX(BD!$P$17:P$22,MATCH(C30,BD!$O$17:$O$22,0))+IF(AND(C30="Fait",D30="Envoyé"),0.2,0))</f>
        <v>0</v>
      </c>
      <c r="G30" s="1"/>
      <c r="H30" s="1"/>
      <c r="I30" s="79"/>
      <c r="J30" s="79"/>
      <c r="K30" s="6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>
      <c r="A31" s="57"/>
      <c r="B31" s="47" t="s">
        <v>25</v>
      </c>
      <c r="C31" s="69" t="s">
        <v>20</v>
      </c>
      <c r="D31" s="70" t="s">
        <v>20</v>
      </c>
      <c r="E31" s="71" t="s">
        <v>20</v>
      </c>
      <c r="F31" s="46">
        <f t="array" ref="F31">IF(AND(C31="Fait",D31="Envoyé",E31="Envoyé"),"Complété",INDEX(BD!$P$17:P$22,MATCH(C31,BD!$O$17:$O$22,0))+IF(AND(C31="Fait",D31="Envoyé"),0.2,0))</f>
        <v>0</v>
      </c>
      <c r="G31" s="1"/>
      <c r="H31" s="1"/>
      <c r="I31" s="79"/>
      <c r="J31" s="79"/>
      <c r="K31" s="6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9.5" customHeight="1">
      <c r="A32" s="57"/>
      <c r="B32" s="47" t="s">
        <v>26</v>
      </c>
      <c r="C32" s="69" t="s">
        <v>20</v>
      </c>
      <c r="D32" s="70" t="s">
        <v>20</v>
      </c>
      <c r="E32" s="71" t="s">
        <v>20</v>
      </c>
      <c r="F32" s="46">
        <f t="array" ref="F32">IF(AND(C32="Fait",D32="Envoyé",E32="Envoyé"),"Complété",INDEX(BD!$P$17:P$22,MATCH(C32,BD!$O$17:$O$22,0))+IF(AND(C32="Fait",D32="Envoyé"),0.2,0))</f>
        <v>0</v>
      </c>
      <c r="G32" s="1"/>
      <c r="H32" s="1"/>
      <c r="I32" s="79"/>
      <c r="J32" s="79"/>
      <c r="K32" s="6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9.5" customHeight="1">
      <c r="A33" s="57"/>
      <c r="B33" s="47" t="s">
        <v>27</v>
      </c>
      <c r="C33" s="69" t="s">
        <v>20</v>
      </c>
      <c r="D33" s="70" t="s">
        <v>20</v>
      </c>
      <c r="E33" s="71" t="s">
        <v>20</v>
      </c>
      <c r="F33" s="46">
        <f t="array" ref="F33">IF(AND(C33="Fait",D33="Envoyé",E33="Envoyé"),"Complété",INDEX(BD!$P$17:P$22,MATCH(C33,BD!$O$17:$O$22,0))+IF(AND(C33="Fait",D33="Envoyé"),0.2,0))</f>
        <v>0</v>
      </c>
      <c r="G33" s="1"/>
      <c r="H33" s="1"/>
      <c r="I33" s="79"/>
      <c r="J33" s="79"/>
      <c r="K33" s="6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9.5" customHeight="1">
      <c r="A34" s="57"/>
      <c r="B34" s="47" t="s">
        <v>28</v>
      </c>
      <c r="C34" s="69" t="s">
        <v>20</v>
      </c>
      <c r="D34" s="70" t="s">
        <v>20</v>
      </c>
      <c r="E34" s="71" t="s">
        <v>20</v>
      </c>
      <c r="F34" s="46">
        <f t="array" ref="F34">IF(AND(C34="Fait",D34="Envoyé",E34="Envoyé"),"Complété",INDEX(BD!$P$17:P$22,MATCH(C34,BD!$O$17:$O$22,0))+IF(AND(C34="Fait",D34="Envoyé"),0.2,0))</f>
        <v>0</v>
      </c>
      <c r="G34" s="1"/>
      <c r="H34" s="1"/>
      <c r="I34" s="79"/>
      <c r="J34" s="79"/>
      <c r="K34" s="6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9.5" customHeight="1">
      <c r="A35" s="57"/>
      <c r="B35" s="47" t="s">
        <v>29</v>
      </c>
      <c r="C35" s="69" t="s">
        <v>20</v>
      </c>
      <c r="D35" s="70" t="s">
        <v>20</v>
      </c>
      <c r="E35" s="71" t="s">
        <v>20</v>
      </c>
      <c r="F35" s="46">
        <f t="array" ref="F35">IF(AND(C35="Fait",D35="Envoyé",E35="Envoyé"),"Complété",INDEX(BD!$P$17:P$22,MATCH(C35,BD!$O$17:$O$22,0))+IF(AND(C35="Fait",D35="Envoyé"),0.2,0))</f>
        <v>0</v>
      </c>
      <c r="G35" s="1"/>
      <c r="H35" s="1"/>
      <c r="I35" s="79"/>
      <c r="J35" s="79"/>
      <c r="K35" s="6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9.5" customHeight="1">
      <c r="A36" s="57"/>
      <c r="B36" s="47" t="s">
        <v>30</v>
      </c>
      <c r="C36" s="69" t="s">
        <v>20</v>
      </c>
      <c r="D36" s="70" t="s">
        <v>20</v>
      </c>
      <c r="E36" s="71" t="s">
        <v>20</v>
      </c>
      <c r="F36" s="46">
        <f t="array" ref="F36">IF(AND(C36="Fait",D36="Envoyé",E36="Envoyé"),"Complété",INDEX(BD!$P$17:P$22,MATCH(C36,BD!$O$17:$O$22,0))+IF(AND(C36="Fait",D36="Envoyé"),0.2,0))</f>
        <v>0</v>
      </c>
      <c r="G36" s="1"/>
      <c r="H36" s="1"/>
      <c r="I36" s="79"/>
      <c r="J36" s="79"/>
      <c r="K36" s="6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9.5" customHeight="1">
      <c r="A37" s="57"/>
      <c r="B37" s="49" t="s">
        <v>31</v>
      </c>
      <c r="C37" s="80" t="s">
        <v>20</v>
      </c>
      <c r="D37" s="81" t="s">
        <v>20</v>
      </c>
      <c r="E37" s="82" t="s">
        <v>20</v>
      </c>
      <c r="F37" s="56">
        <f t="array" ref="F37">IF(AND(C37="Fait",D37="Envoyé",E37="Envoyé"),"Complété",INDEX(BD!$P$17:P$22,MATCH(C37,BD!$O$17:$O$22,0))+IF(AND(C37="Fait",D37="Envoyé"),0.2,0))</f>
        <v>0</v>
      </c>
      <c r="G37" s="1"/>
      <c r="H37" s="1"/>
      <c r="I37" s="79"/>
      <c r="J37" s="79"/>
      <c r="K37" s="6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9:F9"/>
    <mergeCell ref="B24:F24"/>
    <mergeCell ref="H24:M24"/>
    <mergeCell ref="P2:T5"/>
    <mergeCell ref="C3:N3"/>
    <mergeCell ref="C4:N7"/>
    <mergeCell ref="P6:R7"/>
    <mergeCell ref="S6:T7"/>
    <mergeCell ref="H9:N9"/>
    <mergeCell ref="P9:T9"/>
  </mergeCells>
  <conditionalFormatting sqref="F11:F22">
    <cfRule type="containsText" dxfId="0" priority="1" operator="containsText" text="Complété">
      <formula>NOT(ISERROR(SEARCH(("Complété"),(F11))))</formula>
    </cfRule>
  </conditionalFormatting>
  <conditionalFormatting sqref="F11:F22">
    <cfRule type="colorScale" priority="2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F26:F37">
    <cfRule type="containsText" dxfId="0" priority="3" operator="containsText" text="Complété">
      <formula>NOT(ISERROR(SEARCH(("Complété"),(F26))))</formula>
    </cfRule>
  </conditionalFormatting>
  <conditionalFormatting sqref="F26:F37">
    <cfRule type="colorScale" priority="4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I26:I29">
    <cfRule type="containsText" dxfId="1" priority="5" operator="containsText" text="Pas prêt">
      <formula>NOT(ISERROR(SEARCH(("Pas prêt"),(I26))))</formula>
    </cfRule>
  </conditionalFormatting>
  <conditionalFormatting sqref="I26:I29">
    <cfRule type="containsText" dxfId="2" priority="6" operator="containsText" text="Prêt">
      <formula>NOT(ISERROR(SEARCH(("Prêt"),(I26))))</formula>
    </cfRule>
  </conditionalFormatting>
  <conditionalFormatting sqref="K30:K37">
    <cfRule type="containsText" dxfId="0" priority="7" operator="containsText" text="Complété">
      <formula>NOT(ISERROR(SEARCH(("Complété"),(K30))))</formula>
    </cfRule>
  </conditionalFormatting>
  <conditionalFormatting sqref="K30:K37">
    <cfRule type="colorScale" priority="8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M26:M29">
    <cfRule type="containsText" dxfId="0" priority="9" operator="containsText" text="Complété">
      <formula>NOT(ISERROR(SEARCH(("Complété"),(M26))))</formula>
    </cfRule>
  </conditionalFormatting>
  <conditionalFormatting sqref="M26:M29">
    <cfRule type="colorScale" priority="10">
      <colorScale>
        <cfvo type="formula" val="0"/>
        <cfvo type="formula" val="0"/>
        <cfvo type="formula" val="1"/>
        <color rgb="FFF8696B"/>
        <color rgb="FFFFEB84"/>
        <color rgb="FF63BE7B"/>
      </colorScale>
    </cfRule>
  </conditionalFormatting>
  <conditionalFormatting sqref="N11:N22">
    <cfRule type="containsText" dxfId="0" priority="11" operator="containsText" text="Complété">
      <formula>NOT(ISERROR(SEARCH(("Complété"),(N11))))</formula>
    </cfRule>
  </conditionalFormatting>
  <conditionalFormatting sqref="N11:N22">
    <cfRule type="colorScale" priority="12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P26">
    <cfRule type="containsText" dxfId="0" priority="13" operator="containsText" text="Complèté">
      <formula>NOT(ISERROR(SEARCH(("Complèté"),(P26))))</formula>
    </cfRule>
  </conditionalFormatting>
  <conditionalFormatting sqref="P26">
    <cfRule type="colorScale" priority="14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T11:T22">
    <cfRule type="containsText" dxfId="0" priority="15" operator="containsText" text="Complété">
      <formula>NOT(ISERROR(SEARCH(("Complété"),(T11))))</formula>
    </cfRule>
  </conditionalFormatting>
  <conditionalFormatting sqref="T11:T22">
    <cfRule type="colorScale" priority="16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dataValidations>
    <dataValidation type="list" allowBlank="1" showErrorMessage="1" sqref="J26:L26 D26:E37">
      <formula1>BD!$B$13:$B$14</formula1>
    </dataValidation>
    <dataValidation type="list" allowBlank="1" showErrorMessage="1" sqref="C11:D22 Q11:R22 J27:L29 C26:C37">
      <formula1>BD!$B$4:$B$9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5.71"/>
    <col customWidth="1" min="3" max="4" width="10.71"/>
    <col customWidth="1" min="5" max="5" width="15.71"/>
    <col customWidth="1" min="6" max="6" width="10.71"/>
    <col customWidth="1" min="7" max="7" width="2.71"/>
    <col customWidth="1" min="8" max="8" width="13.43"/>
    <col customWidth="1" min="9" max="13" width="12.71"/>
    <col customWidth="1" min="14" max="14" width="10.71"/>
    <col customWidth="1" min="15" max="15" width="2.71"/>
    <col customWidth="1" min="16" max="16" width="11.43"/>
    <col customWidth="1" min="17" max="18" width="10.71"/>
    <col customWidth="1" min="19" max="19" width="15.71"/>
    <col customWidth="1" min="20" max="20" width="10.71"/>
    <col customWidth="1" min="21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2" t="s">
        <v>0</v>
      </c>
      <c r="C2" s="3" t="str">
        <f t="array" ref="C2">RIGHT(CELL("nomfichier",A1),LEN(CELL("nomfichier",A1))-FIND("]",CELL("nomfichier",A1)))</f>
        <v>#VALUE!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1"/>
      <c r="P2" s="6" t="s">
        <v>1</v>
      </c>
      <c r="Q2" s="7"/>
      <c r="R2" s="7"/>
      <c r="S2" s="7"/>
      <c r="T2" s="8"/>
      <c r="U2" s="1"/>
      <c r="V2" s="1"/>
      <c r="W2" s="1"/>
      <c r="X2" s="1"/>
      <c r="Y2" s="1"/>
      <c r="Z2" s="1"/>
    </row>
    <row r="3" ht="15.0" customHeight="1">
      <c r="A3" s="1"/>
      <c r="B3" s="9" t="s">
        <v>2</v>
      </c>
      <c r="C3" s="10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"/>
      <c r="P3" s="13"/>
      <c r="T3" s="14"/>
      <c r="U3" s="1"/>
      <c r="V3" s="1"/>
      <c r="W3" s="1"/>
      <c r="X3" s="1"/>
      <c r="Y3" s="1"/>
      <c r="Z3" s="1"/>
    </row>
    <row r="4" ht="15.0" customHeight="1">
      <c r="A4" s="1"/>
      <c r="B4" s="9" t="s">
        <v>4</v>
      </c>
      <c r="C4" s="15" t="s">
        <v>3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  <c r="O4" s="1"/>
      <c r="P4" s="13"/>
      <c r="T4" s="14"/>
      <c r="U4" s="1"/>
      <c r="V4" s="1"/>
      <c r="W4" s="1"/>
      <c r="X4" s="1"/>
      <c r="Y4" s="1"/>
      <c r="Z4" s="1"/>
    </row>
    <row r="5" ht="15.0" customHeight="1">
      <c r="A5" s="1"/>
      <c r="B5" s="9"/>
      <c r="C5" s="18"/>
      <c r="N5" s="14"/>
      <c r="O5" s="1"/>
      <c r="P5" s="13"/>
      <c r="T5" s="14"/>
      <c r="U5" s="1"/>
      <c r="V5" s="1"/>
      <c r="W5" s="1"/>
      <c r="X5" s="1"/>
      <c r="Y5" s="1"/>
      <c r="Z5" s="1"/>
    </row>
    <row r="6" ht="15.0" customHeight="1">
      <c r="A6" s="1"/>
      <c r="B6" s="9"/>
      <c r="C6" s="18"/>
      <c r="N6" s="14"/>
      <c r="O6" s="1"/>
      <c r="P6" s="19" t="s">
        <v>5</v>
      </c>
      <c r="S6" s="20">
        <v>45162.0</v>
      </c>
      <c r="T6" s="14"/>
      <c r="U6" s="1"/>
      <c r="V6" s="1"/>
      <c r="W6" s="1"/>
      <c r="X6" s="1"/>
      <c r="Y6" s="1"/>
      <c r="Z6" s="1"/>
    </row>
    <row r="7" ht="15.75" customHeight="1">
      <c r="A7" s="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  <c r="O7" s="1"/>
      <c r="P7" s="25"/>
      <c r="Q7" s="23"/>
      <c r="R7" s="23"/>
      <c r="S7" s="23"/>
      <c r="T7" s="24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6" t="s">
        <v>6</v>
      </c>
      <c r="C9" s="27"/>
      <c r="D9" s="27"/>
      <c r="E9" s="27"/>
      <c r="F9" s="28"/>
      <c r="G9" s="1"/>
      <c r="H9" s="29" t="s">
        <v>7</v>
      </c>
      <c r="I9" s="30"/>
      <c r="J9" s="30"/>
      <c r="K9" s="30"/>
      <c r="L9" s="30"/>
      <c r="M9" s="30"/>
      <c r="N9" s="31"/>
      <c r="O9" s="1"/>
      <c r="P9" s="26" t="s">
        <v>8</v>
      </c>
      <c r="Q9" s="27"/>
      <c r="R9" s="27"/>
      <c r="S9" s="27"/>
      <c r="T9" s="28"/>
      <c r="U9" s="1"/>
      <c r="V9" s="1"/>
      <c r="W9" s="1"/>
      <c r="X9" s="1"/>
      <c r="Y9" s="1"/>
      <c r="Z9" s="1"/>
    </row>
    <row r="10" ht="19.5" customHeight="1">
      <c r="A10" s="1"/>
      <c r="B10" s="32" t="s">
        <v>9</v>
      </c>
      <c r="C10" s="33" t="s">
        <v>10</v>
      </c>
      <c r="D10" s="34" t="s">
        <v>11</v>
      </c>
      <c r="E10" s="35" t="s">
        <v>12</v>
      </c>
      <c r="F10" s="36" t="s">
        <v>13</v>
      </c>
      <c r="G10" s="1"/>
      <c r="H10" s="32" t="s">
        <v>9</v>
      </c>
      <c r="I10" s="33" t="s">
        <v>14</v>
      </c>
      <c r="J10" s="33" t="s">
        <v>15</v>
      </c>
      <c r="K10" s="33" t="s">
        <v>16</v>
      </c>
      <c r="L10" s="33" t="s">
        <v>17</v>
      </c>
      <c r="M10" s="37" t="s">
        <v>18</v>
      </c>
      <c r="N10" s="38" t="s">
        <v>13</v>
      </c>
      <c r="O10" s="1"/>
      <c r="P10" s="32" t="s">
        <v>9</v>
      </c>
      <c r="Q10" s="33" t="s">
        <v>10</v>
      </c>
      <c r="R10" s="34" t="s">
        <v>11</v>
      </c>
      <c r="S10" s="35" t="s">
        <v>12</v>
      </c>
      <c r="T10" s="36" t="s">
        <v>13</v>
      </c>
      <c r="U10" s="1"/>
      <c r="V10" s="1"/>
      <c r="W10" s="1"/>
      <c r="X10" s="1"/>
      <c r="Y10" s="1"/>
      <c r="Z10" s="1"/>
    </row>
    <row r="11" ht="19.5" customHeight="1">
      <c r="A11" s="1"/>
      <c r="B11" s="39" t="s">
        <v>19</v>
      </c>
      <c r="C11" s="40" t="s">
        <v>20</v>
      </c>
      <c r="D11" s="41" t="s">
        <v>20</v>
      </c>
      <c r="E11" s="42"/>
      <c r="F11" s="43">
        <f t="array" ref="F11">IF(AND(C11="Fait", D11="Fait"), "Complété", INDEX(BD!$G$4:$L$9, MATCH(C11, BD!$F$4:$F$9, 0), MATCH(D11, BD!$G$3:$L$3, 0) ))</f>
        <v>0</v>
      </c>
      <c r="G11" s="1"/>
      <c r="H11" s="39" t="s">
        <v>19</v>
      </c>
      <c r="I11" s="44" t="b">
        <v>0</v>
      </c>
      <c r="J11" s="44" t="b">
        <v>0</v>
      </c>
      <c r="K11" s="44" t="b">
        <v>0</v>
      </c>
      <c r="L11" s="44" t="b">
        <v>0</v>
      </c>
      <c r="M11" s="45" t="b">
        <v>0</v>
      </c>
      <c r="N11" s="46">
        <f t="shared" ref="N11:N22" si="1">IF(SUM(I11+ J11+ K11+ L11+ M11) * 20 = 100, "Complété", SUM(I11+ J11+ K11+ L11+ M11) * 20 /100)</f>
        <v>0</v>
      </c>
      <c r="O11" s="1"/>
      <c r="P11" s="39" t="s">
        <v>19</v>
      </c>
      <c r="Q11" s="40" t="s">
        <v>20</v>
      </c>
      <c r="R11" s="41" t="s">
        <v>20</v>
      </c>
      <c r="S11" s="42"/>
      <c r="T11" s="43">
        <f t="array" ref="T11">IF(AND(Q11="Fait", R11="Fait"), "Complété", INDEX(BD!$G$4:$L$9, MATCH(Q11, BD!$F$4:$F$9, 0), MATCH(R11, BD!$G$3:$L$3, 0) ))</f>
        <v>0</v>
      </c>
      <c r="U11" s="1"/>
      <c r="V11" s="1"/>
      <c r="W11" s="1"/>
      <c r="X11" s="1"/>
      <c r="Y11" s="1"/>
      <c r="Z11" s="1"/>
    </row>
    <row r="12" ht="19.5" customHeight="1">
      <c r="A12" s="1"/>
      <c r="B12" s="47" t="s">
        <v>21</v>
      </c>
      <c r="C12" s="40" t="s">
        <v>20</v>
      </c>
      <c r="D12" s="41" t="s">
        <v>20</v>
      </c>
      <c r="E12" s="42"/>
      <c r="F12" s="43">
        <f t="array" ref="F12">IF(AND(C12="Fait", D12="Fait"), "Complété", INDEX(BD!$G$4:$L$9, MATCH(C12, BD!$F$4:$F$9, 0), MATCH(D12, BD!$G$3:$L$3, 0) ))</f>
        <v>0</v>
      </c>
      <c r="G12" s="1"/>
      <c r="H12" s="47" t="s">
        <v>21</v>
      </c>
      <c r="I12" s="44" t="b">
        <v>0</v>
      </c>
      <c r="J12" s="44" t="b">
        <v>0</v>
      </c>
      <c r="K12" s="44" t="b">
        <v>0</v>
      </c>
      <c r="L12" s="44" t="b">
        <v>0</v>
      </c>
      <c r="M12" s="45" t="b">
        <v>0</v>
      </c>
      <c r="N12" s="46">
        <f t="shared" si="1"/>
        <v>0</v>
      </c>
      <c r="O12" s="1"/>
      <c r="P12" s="47" t="s">
        <v>21</v>
      </c>
      <c r="Q12" s="40" t="s">
        <v>20</v>
      </c>
      <c r="R12" s="41" t="s">
        <v>20</v>
      </c>
      <c r="S12" s="42"/>
      <c r="T12" s="43">
        <f t="array" ref="T12">IF(AND(Q12="Fait", R12="Fait"), "Complété", INDEX(BD!$G$4:$L$9, MATCH(Q12, BD!$F$4:$F$9, 0), MATCH(R12, BD!$G$3:$L$3, 0) ))</f>
        <v>0</v>
      </c>
      <c r="U12" s="1"/>
      <c r="V12" s="1"/>
      <c r="W12" s="1"/>
      <c r="X12" s="1"/>
      <c r="Y12" s="1"/>
      <c r="Z12" s="1"/>
    </row>
    <row r="13" ht="19.5" customHeight="1">
      <c r="A13" s="1"/>
      <c r="B13" s="47" t="s">
        <v>22</v>
      </c>
      <c r="C13" s="40" t="s">
        <v>20</v>
      </c>
      <c r="D13" s="41" t="s">
        <v>20</v>
      </c>
      <c r="E13" s="42"/>
      <c r="F13" s="43">
        <f t="array" ref="F13">IF(AND(C13="Fait", D13="Fait"), "Complété", INDEX(BD!$G$4:$L$9, MATCH(C13, BD!$F$4:$F$9, 0), MATCH(D13, BD!$G$3:$L$3, 0) ))</f>
        <v>0</v>
      </c>
      <c r="G13" s="1"/>
      <c r="H13" s="47" t="s">
        <v>22</v>
      </c>
      <c r="I13" s="44" t="b">
        <v>0</v>
      </c>
      <c r="J13" s="44" t="b">
        <v>0</v>
      </c>
      <c r="K13" s="44" t="b">
        <v>0</v>
      </c>
      <c r="L13" s="44" t="b">
        <v>0</v>
      </c>
      <c r="M13" s="45" t="b">
        <v>0</v>
      </c>
      <c r="N13" s="46">
        <f t="shared" si="1"/>
        <v>0</v>
      </c>
      <c r="O13" s="48"/>
      <c r="P13" s="47" t="s">
        <v>22</v>
      </c>
      <c r="Q13" s="40" t="s">
        <v>20</v>
      </c>
      <c r="R13" s="41" t="s">
        <v>20</v>
      </c>
      <c r="S13" s="42"/>
      <c r="T13" s="43">
        <f t="array" ref="T13">IF(AND(Q13="Fait", R13="Fait"), "Complété", INDEX(BD!$G$4:$L$9, MATCH(Q13, BD!$F$4:$F$9, 0), MATCH(R13, BD!$G$3:$L$3, 0) ))</f>
        <v>0</v>
      </c>
      <c r="U13" s="1"/>
      <c r="V13" s="1"/>
      <c r="W13" s="1"/>
      <c r="X13" s="1"/>
      <c r="Y13" s="1"/>
      <c r="Z13" s="1"/>
    </row>
    <row r="14" ht="19.5" customHeight="1">
      <c r="A14" s="1"/>
      <c r="B14" s="47" t="s">
        <v>23</v>
      </c>
      <c r="C14" s="40" t="s">
        <v>20</v>
      </c>
      <c r="D14" s="41" t="s">
        <v>20</v>
      </c>
      <c r="E14" s="42"/>
      <c r="F14" s="43">
        <f t="array" ref="F14">IF(AND(C14="Fait", D14="Fait"), "Complété", INDEX(BD!$G$4:$L$9, MATCH(C14, BD!$F$4:$F$9, 0), MATCH(D14, BD!$G$3:$L$3, 0) ))</f>
        <v>0</v>
      </c>
      <c r="G14" s="1"/>
      <c r="H14" s="47" t="s">
        <v>23</v>
      </c>
      <c r="I14" s="44" t="b">
        <v>0</v>
      </c>
      <c r="J14" s="44" t="b">
        <v>0</v>
      </c>
      <c r="K14" s="44" t="b">
        <v>0</v>
      </c>
      <c r="L14" s="44" t="b">
        <v>0</v>
      </c>
      <c r="M14" s="45" t="b">
        <v>0</v>
      </c>
      <c r="N14" s="46">
        <f t="shared" si="1"/>
        <v>0</v>
      </c>
      <c r="O14" s="48"/>
      <c r="P14" s="47" t="s">
        <v>23</v>
      </c>
      <c r="Q14" s="40" t="s">
        <v>20</v>
      </c>
      <c r="R14" s="41" t="s">
        <v>20</v>
      </c>
      <c r="S14" s="42"/>
      <c r="T14" s="43">
        <f t="array" ref="T14">IF(AND(Q14="Fait", R14="Fait"), "Complété", INDEX(BD!$G$4:$L$9, MATCH(Q14, BD!$F$4:$F$9, 0), MATCH(R14, BD!$G$3:$L$3, 0) ))</f>
        <v>0</v>
      </c>
      <c r="U14" s="1"/>
      <c r="V14" s="1"/>
      <c r="W14" s="1"/>
      <c r="X14" s="1"/>
      <c r="Y14" s="1"/>
      <c r="Z14" s="1"/>
    </row>
    <row r="15" ht="19.5" customHeight="1">
      <c r="A15" s="1"/>
      <c r="B15" s="47" t="s">
        <v>24</v>
      </c>
      <c r="C15" s="40" t="s">
        <v>20</v>
      </c>
      <c r="D15" s="41" t="s">
        <v>20</v>
      </c>
      <c r="E15" s="42"/>
      <c r="F15" s="43">
        <f t="array" ref="F15">IF(AND(C15="Fait", D15="Fait"), "Complété", INDEX(BD!$G$4:$L$9, MATCH(C15, BD!$F$4:$F$9, 0), MATCH(D15, BD!$G$3:$L$3, 0) ))</f>
        <v>0</v>
      </c>
      <c r="G15" s="1"/>
      <c r="H15" s="47" t="s">
        <v>24</v>
      </c>
      <c r="I15" s="44" t="b">
        <v>0</v>
      </c>
      <c r="J15" s="44" t="b">
        <v>0</v>
      </c>
      <c r="K15" s="44" t="b">
        <v>0</v>
      </c>
      <c r="L15" s="44" t="b">
        <v>0</v>
      </c>
      <c r="M15" s="45" t="b">
        <v>0</v>
      </c>
      <c r="N15" s="46">
        <f t="shared" si="1"/>
        <v>0</v>
      </c>
      <c r="O15" s="48"/>
      <c r="P15" s="47" t="s">
        <v>24</v>
      </c>
      <c r="Q15" s="40" t="s">
        <v>20</v>
      </c>
      <c r="R15" s="41" t="s">
        <v>20</v>
      </c>
      <c r="S15" s="42"/>
      <c r="T15" s="43">
        <f t="array" ref="T15">IF(AND(Q15="Fait", R15="Fait"), "Complété", INDEX(BD!$G$4:$L$9, MATCH(Q15, BD!$F$4:$F$9, 0), MATCH(R15, BD!$G$3:$L$3, 0) ))</f>
        <v>0</v>
      </c>
      <c r="U15" s="1"/>
      <c r="V15" s="1"/>
      <c r="W15" s="1"/>
      <c r="X15" s="1"/>
      <c r="Y15" s="1"/>
      <c r="Z15" s="1"/>
    </row>
    <row r="16" ht="19.5" customHeight="1">
      <c r="A16" s="1"/>
      <c r="B16" s="47" t="s">
        <v>25</v>
      </c>
      <c r="C16" s="40" t="s">
        <v>20</v>
      </c>
      <c r="D16" s="41" t="s">
        <v>20</v>
      </c>
      <c r="E16" s="42"/>
      <c r="F16" s="43">
        <f t="array" ref="F16">IF(AND(C16="Fait", D16="Fait"), "Complété", INDEX(BD!$G$4:$L$9, MATCH(C16, BD!$F$4:$F$9, 0), MATCH(D16, BD!$G$3:$L$3, 0) ))</f>
        <v>0</v>
      </c>
      <c r="G16" s="1"/>
      <c r="H16" s="47" t="s">
        <v>25</v>
      </c>
      <c r="I16" s="44" t="b">
        <v>0</v>
      </c>
      <c r="J16" s="44" t="b">
        <v>0</v>
      </c>
      <c r="K16" s="44" t="b">
        <v>0</v>
      </c>
      <c r="L16" s="44" t="b">
        <v>0</v>
      </c>
      <c r="M16" s="45" t="b">
        <v>0</v>
      </c>
      <c r="N16" s="46">
        <f t="shared" si="1"/>
        <v>0</v>
      </c>
      <c r="O16" s="48"/>
      <c r="P16" s="47" t="s">
        <v>25</v>
      </c>
      <c r="Q16" s="40" t="s">
        <v>20</v>
      </c>
      <c r="R16" s="41" t="s">
        <v>20</v>
      </c>
      <c r="S16" s="42"/>
      <c r="T16" s="43">
        <f t="array" ref="T16">IF(AND(Q16="Fait", R16="Fait"), "Complété", INDEX(BD!$G$4:$L$9, MATCH(Q16, BD!$F$4:$F$9, 0), MATCH(R16, BD!$G$3:$L$3, 0) ))</f>
        <v>0</v>
      </c>
      <c r="U16" s="1"/>
      <c r="V16" s="1"/>
      <c r="W16" s="1"/>
      <c r="X16" s="1"/>
      <c r="Y16" s="1"/>
      <c r="Z16" s="1"/>
    </row>
    <row r="17" ht="19.5" customHeight="1">
      <c r="A17" s="1"/>
      <c r="B17" s="47" t="s">
        <v>26</v>
      </c>
      <c r="C17" s="40" t="s">
        <v>20</v>
      </c>
      <c r="D17" s="41" t="s">
        <v>20</v>
      </c>
      <c r="E17" s="42"/>
      <c r="F17" s="43">
        <f t="array" ref="F17">IF(AND(C17="Fait", D17="Fait"), "Complété", INDEX(BD!$G$4:$L$9, MATCH(C17, BD!$F$4:$F$9, 0), MATCH(D17, BD!$G$3:$L$3, 0) ))</f>
        <v>0</v>
      </c>
      <c r="G17" s="1"/>
      <c r="H17" s="47" t="s">
        <v>26</v>
      </c>
      <c r="I17" s="44" t="b">
        <v>0</v>
      </c>
      <c r="J17" s="44" t="b">
        <v>0</v>
      </c>
      <c r="K17" s="44" t="b">
        <v>0</v>
      </c>
      <c r="L17" s="44" t="b">
        <v>0</v>
      </c>
      <c r="M17" s="45" t="b">
        <v>0</v>
      </c>
      <c r="N17" s="46">
        <f t="shared" si="1"/>
        <v>0</v>
      </c>
      <c r="O17" s="48"/>
      <c r="P17" s="47" t="s">
        <v>26</v>
      </c>
      <c r="Q17" s="40" t="s">
        <v>20</v>
      </c>
      <c r="R17" s="41" t="s">
        <v>20</v>
      </c>
      <c r="S17" s="42"/>
      <c r="T17" s="43">
        <f t="array" ref="T17">IF(AND(Q17="Fait", R17="Fait"), "Complété", INDEX(BD!$G$4:$L$9, MATCH(Q17, BD!$F$4:$F$9, 0), MATCH(R17, BD!$G$3:$L$3, 0) ))</f>
        <v>0</v>
      </c>
      <c r="U17" s="1"/>
      <c r="V17" s="1"/>
      <c r="W17" s="1"/>
      <c r="X17" s="1"/>
      <c r="Y17" s="1"/>
      <c r="Z17" s="1"/>
    </row>
    <row r="18" ht="19.5" customHeight="1">
      <c r="A18" s="1"/>
      <c r="B18" s="47" t="s">
        <v>27</v>
      </c>
      <c r="C18" s="40" t="s">
        <v>20</v>
      </c>
      <c r="D18" s="41" t="s">
        <v>20</v>
      </c>
      <c r="E18" s="42"/>
      <c r="F18" s="43">
        <f t="array" ref="F18">IF(AND(C18="Fait", D18="Fait"), "Complété", INDEX(BD!$G$4:$L$9, MATCH(C18, BD!$F$4:$F$9, 0), MATCH(D18, BD!$G$3:$L$3, 0) ))</f>
        <v>0</v>
      </c>
      <c r="G18" s="1"/>
      <c r="H18" s="47" t="s">
        <v>27</v>
      </c>
      <c r="I18" s="44" t="b">
        <v>0</v>
      </c>
      <c r="J18" s="44" t="b">
        <v>0</v>
      </c>
      <c r="K18" s="44" t="b">
        <v>0</v>
      </c>
      <c r="L18" s="44" t="b">
        <v>0</v>
      </c>
      <c r="M18" s="45" t="b">
        <v>0</v>
      </c>
      <c r="N18" s="46">
        <f t="shared" si="1"/>
        <v>0</v>
      </c>
      <c r="O18" s="48"/>
      <c r="P18" s="47" t="s">
        <v>27</v>
      </c>
      <c r="Q18" s="40" t="s">
        <v>20</v>
      </c>
      <c r="R18" s="41" t="s">
        <v>20</v>
      </c>
      <c r="S18" s="42"/>
      <c r="T18" s="43">
        <f t="array" ref="T18">IF(AND(Q18="Fait", R18="Fait"), "Complété", INDEX(BD!$G$4:$L$9, MATCH(Q18, BD!$F$4:$F$9, 0), MATCH(R18, BD!$G$3:$L$3, 0) ))</f>
        <v>0</v>
      </c>
      <c r="U18" s="1"/>
      <c r="V18" s="1"/>
      <c r="W18" s="1"/>
      <c r="X18" s="1"/>
      <c r="Y18" s="1"/>
      <c r="Z18" s="1"/>
    </row>
    <row r="19" ht="19.5" customHeight="1">
      <c r="A19" s="1"/>
      <c r="B19" s="47" t="s">
        <v>28</v>
      </c>
      <c r="C19" s="40" t="s">
        <v>20</v>
      </c>
      <c r="D19" s="41" t="s">
        <v>20</v>
      </c>
      <c r="E19" s="42"/>
      <c r="F19" s="43">
        <f t="array" ref="F19">IF(AND(C19="Fait", D19="Fait"), "Complété", INDEX(BD!$G$4:$L$9, MATCH(C19, BD!$F$4:$F$9, 0), MATCH(D19, BD!$G$3:$L$3, 0) ))</f>
        <v>0</v>
      </c>
      <c r="G19" s="1"/>
      <c r="H19" s="47" t="s">
        <v>28</v>
      </c>
      <c r="I19" s="44" t="b">
        <v>0</v>
      </c>
      <c r="J19" s="44" t="b">
        <v>0</v>
      </c>
      <c r="K19" s="44" t="b">
        <v>0</v>
      </c>
      <c r="L19" s="44" t="b">
        <v>0</v>
      </c>
      <c r="M19" s="45" t="b">
        <v>0</v>
      </c>
      <c r="N19" s="46">
        <f t="shared" si="1"/>
        <v>0</v>
      </c>
      <c r="O19" s="1"/>
      <c r="P19" s="47" t="s">
        <v>28</v>
      </c>
      <c r="Q19" s="40" t="s">
        <v>20</v>
      </c>
      <c r="R19" s="41" t="s">
        <v>20</v>
      </c>
      <c r="S19" s="42"/>
      <c r="T19" s="43">
        <f t="array" ref="T19">IF(AND(Q19="Fait", R19="Fait"), "Complété", INDEX(BD!$G$4:$L$9, MATCH(Q19, BD!$F$4:$F$9, 0), MATCH(R19, BD!$G$3:$L$3, 0) ))</f>
        <v>0</v>
      </c>
      <c r="U19" s="1"/>
      <c r="V19" s="1"/>
      <c r="W19" s="1"/>
      <c r="X19" s="1"/>
      <c r="Y19" s="1"/>
      <c r="Z19" s="1"/>
    </row>
    <row r="20" ht="19.5" customHeight="1">
      <c r="A20" s="1"/>
      <c r="B20" s="47" t="s">
        <v>29</v>
      </c>
      <c r="C20" s="40" t="s">
        <v>20</v>
      </c>
      <c r="D20" s="41" t="s">
        <v>20</v>
      </c>
      <c r="E20" s="42"/>
      <c r="F20" s="43">
        <f t="array" ref="F20">IF(AND(C20="Fait", D20="Fait"), "Complété", INDEX(BD!$G$4:$L$9, MATCH(C20, BD!$F$4:$F$9, 0), MATCH(D20, BD!$G$3:$L$3, 0) ))</f>
        <v>0</v>
      </c>
      <c r="G20" s="1"/>
      <c r="H20" s="47" t="s">
        <v>29</v>
      </c>
      <c r="I20" s="44" t="b">
        <v>0</v>
      </c>
      <c r="J20" s="44" t="b">
        <v>0</v>
      </c>
      <c r="K20" s="44" t="b">
        <v>0</v>
      </c>
      <c r="L20" s="44" t="b">
        <v>0</v>
      </c>
      <c r="M20" s="45" t="b">
        <v>0</v>
      </c>
      <c r="N20" s="46">
        <f t="shared" si="1"/>
        <v>0</v>
      </c>
      <c r="O20" s="1"/>
      <c r="P20" s="47" t="s">
        <v>29</v>
      </c>
      <c r="Q20" s="40" t="s">
        <v>20</v>
      </c>
      <c r="R20" s="41" t="s">
        <v>20</v>
      </c>
      <c r="S20" s="42"/>
      <c r="T20" s="43">
        <f t="array" ref="T20">IF(AND(Q20="Fait", R20="Fait"), "Complété", INDEX(BD!$G$4:$L$9, MATCH(Q20, BD!$F$4:$F$9, 0), MATCH(R20, BD!$G$3:$L$3, 0) ))</f>
        <v>0</v>
      </c>
      <c r="U20" s="1"/>
      <c r="V20" s="1"/>
      <c r="W20" s="1"/>
      <c r="X20" s="1"/>
      <c r="Y20" s="1"/>
      <c r="Z20" s="1"/>
    </row>
    <row r="21" ht="19.5" customHeight="1">
      <c r="A21" s="1"/>
      <c r="B21" s="47" t="s">
        <v>30</v>
      </c>
      <c r="C21" s="40" t="s">
        <v>20</v>
      </c>
      <c r="D21" s="41" t="s">
        <v>20</v>
      </c>
      <c r="E21" s="42"/>
      <c r="F21" s="43">
        <f t="array" ref="F21">IF(AND(C21="Fait", D21="Fait"), "Complété", INDEX(BD!$G$4:$L$9, MATCH(C21, BD!$F$4:$F$9, 0), MATCH(D21, BD!$G$3:$L$3, 0) ))</f>
        <v>0</v>
      </c>
      <c r="G21" s="1"/>
      <c r="H21" s="47" t="s">
        <v>30</v>
      </c>
      <c r="I21" s="44" t="b">
        <v>0</v>
      </c>
      <c r="J21" s="44" t="b">
        <v>0</v>
      </c>
      <c r="K21" s="44" t="b">
        <v>0</v>
      </c>
      <c r="L21" s="44" t="b">
        <v>0</v>
      </c>
      <c r="M21" s="45" t="b">
        <v>0</v>
      </c>
      <c r="N21" s="46">
        <f t="shared" si="1"/>
        <v>0</v>
      </c>
      <c r="O21" s="1"/>
      <c r="P21" s="47" t="s">
        <v>30</v>
      </c>
      <c r="Q21" s="40" t="s">
        <v>20</v>
      </c>
      <c r="R21" s="41" t="s">
        <v>20</v>
      </c>
      <c r="S21" s="42"/>
      <c r="T21" s="43">
        <f t="array" ref="T21">IF(AND(Q21="Fait", R21="Fait"), "Complété", INDEX(BD!$G$4:$L$9, MATCH(Q21, BD!$F$4:$F$9, 0), MATCH(R21, BD!$G$3:$L$3, 0) ))</f>
        <v>0</v>
      </c>
      <c r="U21" s="1"/>
      <c r="V21" s="1"/>
      <c r="W21" s="1"/>
      <c r="X21" s="1"/>
      <c r="Y21" s="1"/>
      <c r="Z21" s="1"/>
    </row>
    <row r="22" ht="19.5" customHeight="1">
      <c r="A22" s="1"/>
      <c r="B22" s="49" t="s">
        <v>31</v>
      </c>
      <c r="C22" s="50" t="s">
        <v>20</v>
      </c>
      <c r="D22" s="51" t="s">
        <v>20</v>
      </c>
      <c r="E22" s="52"/>
      <c r="F22" s="53">
        <f t="array" ref="F22">IF(AND(C22="Fait", D22="Fait"), "Complété", INDEX(BD!$G$4:$L$9, MATCH(C22, BD!$F$4:$F$9, 0), MATCH(D22, BD!$G$3:$L$3, 0) ))</f>
        <v>0</v>
      </c>
      <c r="G22" s="1"/>
      <c r="H22" s="49" t="s">
        <v>31</v>
      </c>
      <c r="I22" s="54" t="b">
        <v>0</v>
      </c>
      <c r="J22" s="54" t="b">
        <v>0</v>
      </c>
      <c r="K22" s="54" t="b">
        <v>0</v>
      </c>
      <c r="L22" s="54" t="b">
        <v>0</v>
      </c>
      <c r="M22" s="55" t="b">
        <v>0</v>
      </c>
      <c r="N22" s="56">
        <f t="shared" si="1"/>
        <v>0</v>
      </c>
      <c r="O22" s="1"/>
      <c r="P22" s="49" t="s">
        <v>31</v>
      </c>
      <c r="Q22" s="50" t="s">
        <v>20</v>
      </c>
      <c r="R22" s="51" t="s">
        <v>20</v>
      </c>
      <c r="S22" s="52"/>
      <c r="T22" s="53">
        <f t="array" ref="T22">IF(AND(Q22="Fait", R22="Fait"), "Complété", INDEX(BD!$G$4:$L$9, MATCH(Q22, BD!$F$4:$F$9, 0), MATCH(R22, BD!$G$3:$L$3, 0) ))</f>
        <v>0</v>
      </c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7"/>
      <c r="B24" s="29" t="s">
        <v>32</v>
      </c>
      <c r="C24" s="30"/>
      <c r="D24" s="30"/>
      <c r="E24" s="30"/>
      <c r="F24" s="31"/>
      <c r="G24" s="1"/>
      <c r="H24" s="29" t="s">
        <v>33</v>
      </c>
      <c r="I24" s="30"/>
      <c r="J24" s="30"/>
      <c r="K24" s="30"/>
      <c r="L24" s="30"/>
      <c r="M24" s="3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7"/>
      <c r="B25" s="32" t="s">
        <v>9</v>
      </c>
      <c r="C25" s="33" t="s">
        <v>34</v>
      </c>
      <c r="D25" s="34" t="s">
        <v>35</v>
      </c>
      <c r="E25" s="58" t="s">
        <v>12</v>
      </c>
      <c r="F25" s="38" t="s">
        <v>13</v>
      </c>
      <c r="G25" s="1"/>
      <c r="H25" s="59" t="s">
        <v>9</v>
      </c>
      <c r="I25" s="33" t="s">
        <v>34</v>
      </c>
      <c r="J25" s="60" t="s">
        <v>36</v>
      </c>
      <c r="K25" s="60" t="s">
        <v>35</v>
      </c>
      <c r="L25" s="60" t="s">
        <v>37</v>
      </c>
      <c r="M25" s="38" t="s">
        <v>13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57"/>
      <c r="B26" s="39" t="s">
        <v>19</v>
      </c>
      <c r="C26" s="61" t="s">
        <v>20</v>
      </c>
      <c r="D26" s="62" t="s">
        <v>20</v>
      </c>
      <c r="E26" s="63" t="s">
        <v>20</v>
      </c>
      <c r="F26" s="46">
        <f t="array" ref="F26">IF(AND(C26="Fait",D26="Envoyé",E26="Envoyé"),"Complété",INDEX(BD!$P$17:P$22,MATCH(C26,BD!$O$17:$O$22,0))+IF(AND(C26="Fait",D26="Envoyé"),0.2,0))</f>
        <v>0</v>
      </c>
      <c r="G26" s="1"/>
      <c r="H26" s="64" t="s">
        <v>38</v>
      </c>
      <c r="I26" s="65" t="str">
        <f>IF(AND(F11="Complété", F12="Complété", F13="Complété", N11="Complété", N12="Complété", N13="Complété", T11="Complété", T12="Complété", T13="Complété"), "Prêt", "Pas prêt")</f>
        <v>Pas prêt</v>
      </c>
      <c r="J26" s="66" t="s">
        <v>20</v>
      </c>
      <c r="K26" s="66" t="s">
        <v>20</v>
      </c>
      <c r="L26" s="66" t="s">
        <v>20</v>
      </c>
      <c r="M26" s="67">
        <f t="shared" ref="M26:M29" si="2">IF((IF(I26="Prêt",1,0) + IF(J26="Envoyé",1,0) + IF(K26="Envoyé",1,0) + IF(L26="Envoyé",1,0)) = 4, "Complété", (IF(I26="Prêt",1,0) + IF(J26="Envoyé",1,0) + IF(K26="Envoyé",1,0) + IF(L26="Envoyé",1,0)) * 25/100)</f>
        <v>0</v>
      </c>
      <c r="N26" s="1"/>
      <c r="O26" s="1"/>
      <c r="P26" s="6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57"/>
      <c r="B27" s="47" t="s">
        <v>21</v>
      </c>
      <c r="C27" s="69" t="s">
        <v>20</v>
      </c>
      <c r="D27" s="70" t="s">
        <v>20</v>
      </c>
      <c r="E27" s="71" t="s">
        <v>20</v>
      </c>
      <c r="F27" s="46">
        <f t="array" ref="F27">IF(AND(C27="Fait",D27="Envoyé",E27="Envoyé"),"Complété",INDEX(BD!$P$17:P$22,MATCH(C27,BD!$O$17:$O$22,0))+IF(AND(C27="Fait",D27="Envoyé"),0.2,0))</f>
        <v>0</v>
      </c>
      <c r="G27" s="1"/>
      <c r="H27" s="72" t="s">
        <v>39</v>
      </c>
      <c r="I27" s="65" t="str">
        <f>IF(AND(F14="Complété", F15="Complété", F16="Complété", N14="Complété", N15="Complété", N16="Complété", T14="Complété", T15="Complété", T16="Complété"), "Prêt", "Pas prêt")</f>
        <v>Pas prêt</v>
      </c>
      <c r="J27" s="73" t="s">
        <v>20</v>
      </c>
      <c r="K27" s="73" t="s">
        <v>20</v>
      </c>
      <c r="L27" s="73" t="s">
        <v>20</v>
      </c>
      <c r="M27" s="74">
        <f t="shared" si="2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57"/>
      <c r="B28" s="47" t="s">
        <v>22</v>
      </c>
      <c r="C28" s="69" t="s">
        <v>20</v>
      </c>
      <c r="D28" s="70" t="s">
        <v>20</v>
      </c>
      <c r="E28" s="71" t="s">
        <v>20</v>
      </c>
      <c r="F28" s="46">
        <f t="array" ref="F28">IF(AND(C28="Fait",D28="Envoyé",E28="Envoyé"),"Complété",INDEX(BD!$P$17:P$22,MATCH(C28,BD!$O$17:$O$22,0))+IF(AND(C28="Fait",D28="Envoyé"),0.2,0))</f>
        <v>0</v>
      </c>
      <c r="G28" s="1"/>
      <c r="H28" s="72" t="s">
        <v>40</v>
      </c>
      <c r="I28" s="65" t="str">
        <f>IF(AND(F17="Complété", F18="Complété", F19="Complété", N17="Complété", N18="Complété", N19="Complété", T17="Complété", T18="Complété", T19="Complété"), "Prêt", "Pas prêt")</f>
        <v>Pas prêt</v>
      </c>
      <c r="J28" s="73" t="s">
        <v>20</v>
      </c>
      <c r="K28" s="73" t="s">
        <v>20</v>
      </c>
      <c r="L28" s="73" t="s">
        <v>20</v>
      </c>
      <c r="M28" s="74">
        <f t="shared" si="2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57"/>
      <c r="B29" s="47" t="s">
        <v>23</v>
      </c>
      <c r="C29" s="69" t="s">
        <v>20</v>
      </c>
      <c r="D29" s="70" t="s">
        <v>20</v>
      </c>
      <c r="E29" s="71" t="s">
        <v>20</v>
      </c>
      <c r="F29" s="46">
        <f t="array" ref="F29">IF(AND(C29="Fait",D29="Envoyé",E29="Envoyé"),"Complété",INDEX(BD!$P$17:P$22,MATCH(C29,BD!$O$17:$O$22,0))+IF(AND(C29="Fait",D29="Envoyé"),0.2,0))</f>
        <v>0</v>
      </c>
      <c r="G29" s="1"/>
      <c r="H29" s="75" t="s">
        <v>41</v>
      </c>
      <c r="I29" s="76" t="str">
        <f>IF(AND(F20="Complété", F21="Complété", F22="Complété", N20="Complété", N21="Complété", N22="Complété", T20="Complété", T21="Complété", T22="Complété"), "Prêt", "Pas prêt")</f>
        <v>Pas prêt</v>
      </c>
      <c r="J29" s="77" t="s">
        <v>20</v>
      </c>
      <c r="K29" s="77" t="s">
        <v>20</v>
      </c>
      <c r="L29" s="77" t="s">
        <v>20</v>
      </c>
      <c r="M29" s="78">
        <f t="shared" si="2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57"/>
      <c r="B30" s="47" t="s">
        <v>24</v>
      </c>
      <c r="C30" s="69" t="s">
        <v>20</v>
      </c>
      <c r="D30" s="70" t="s">
        <v>20</v>
      </c>
      <c r="E30" s="71" t="s">
        <v>20</v>
      </c>
      <c r="F30" s="46">
        <f t="array" ref="F30">IF(AND(C30="Fait",D30="Envoyé",E30="Envoyé"),"Complété",INDEX(BD!$P$17:P$22,MATCH(C30,BD!$O$17:$O$22,0))+IF(AND(C30="Fait",D30="Envoyé"),0.2,0))</f>
        <v>0</v>
      </c>
      <c r="G30" s="1"/>
      <c r="H30" s="1"/>
      <c r="I30" s="79"/>
      <c r="J30" s="79"/>
      <c r="K30" s="79"/>
      <c r="L30" s="6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57"/>
      <c r="B31" s="47" t="s">
        <v>25</v>
      </c>
      <c r="C31" s="69" t="s">
        <v>20</v>
      </c>
      <c r="D31" s="70" t="s">
        <v>20</v>
      </c>
      <c r="E31" s="71" t="s">
        <v>20</v>
      </c>
      <c r="F31" s="46">
        <f t="array" ref="F31">IF(AND(C31="Fait",D31="Envoyé",E31="Envoyé"),"Complété",INDEX(BD!$P$17:P$22,MATCH(C31,BD!$O$17:$O$22,0))+IF(AND(C31="Fait",D31="Envoyé"),0.2,0))</f>
        <v>0</v>
      </c>
      <c r="G31" s="1"/>
      <c r="H31" s="1"/>
      <c r="I31" s="79"/>
      <c r="J31" s="79"/>
      <c r="K31" s="79"/>
      <c r="L31" s="6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57"/>
      <c r="B32" s="47" t="s">
        <v>26</v>
      </c>
      <c r="C32" s="69" t="s">
        <v>20</v>
      </c>
      <c r="D32" s="70" t="s">
        <v>20</v>
      </c>
      <c r="E32" s="71" t="s">
        <v>20</v>
      </c>
      <c r="F32" s="46">
        <f t="array" ref="F32">IF(AND(C32="Fait",D32="Envoyé",E32="Envoyé"),"Complété",INDEX(BD!$P$17:P$22,MATCH(C32,BD!$O$17:$O$22,0))+IF(AND(C32="Fait",D32="Envoyé"),0.2,0))</f>
        <v>0</v>
      </c>
      <c r="G32" s="1"/>
      <c r="H32" s="1"/>
      <c r="I32" s="79"/>
      <c r="J32" s="79"/>
      <c r="K32" s="79"/>
      <c r="L32" s="6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57"/>
      <c r="B33" s="47" t="s">
        <v>27</v>
      </c>
      <c r="C33" s="69" t="s">
        <v>20</v>
      </c>
      <c r="D33" s="70" t="s">
        <v>20</v>
      </c>
      <c r="E33" s="71" t="s">
        <v>20</v>
      </c>
      <c r="F33" s="46">
        <f t="array" ref="F33">IF(AND(C33="Fait",D33="Envoyé",E33="Envoyé"),"Complété",INDEX(BD!$P$17:P$22,MATCH(C33,BD!$O$17:$O$22,0))+IF(AND(C33="Fait",D33="Envoyé"),0.2,0))</f>
        <v>0</v>
      </c>
      <c r="G33" s="1"/>
      <c r="H33" s="1"/>
      <c r="I33" s="79"/>
      <c r="J33" s="79"/>
      <c r="K33" s="79"/>
      <c r="L33" s="6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57"/>
      <c r="B34" s="47" t="s">
        <v>28</v>
      </c>
      <c r="C34" s="69" t="s">
        <v>20</v>
      </c>
      <c r="D34" s="70" t="s">
        <v>20</v>
      </c>
      <c r="E34" s="71" t="s">
        <v>20</v>
      </c>
      <c r="F34" s="46">
        <f t="array" ref="F34">IF(AND(C34="Fait",D34="Envoyé",E34="Envoyé"),"Complété",INDEX(BD!$P$17:P$22,MATCH(C34,BD!$O$17:$O$22,0))+IF(AND(C34="Fait",D34="Envoyé"),0.2,0))</f>
        <v>0</v>
      </c>
      <c r="G34" s="1"/>
      <c r="H34" s="1"/>
      <c r="I34" s="79"/>
      <c r="J34" s="79"/>
      <c r="K34" s="79"/>
      <c r="L34" s="6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57"/>
      <c r="B35" s="47" t="s">
        <v>29</v>
      </c>
      <c r="C35" s="69" t="s">
        <v>20</v>
      </c>
      <c r="D35" s="70" t="s">
        <v>20</v>
      </c>
      <c r="E35" s="71" t="s">
        <v>20</v>
      </c>
      <c r="F35" s="46">
        <f t="array" ref="F35">IF(AND(C35="Fait",D35="Envoyé",E35="Envoyé"),"Complété",INDEX(BD!$P$17:P$22,MATCH(C35,BD!$O$17:$O$22,0))+IF(AND(C35="Fait",D35="Envoyé"),0.2,0))</f>
        <v>0</v>
      </c>
      <c r="G35" s="1"/>
      <c r="H35" s="1"/>
      <c r="I35" s="79"/>
      <c r="J35" s="79"/>
      <c r="K35" s="79"/>
      <c r="L35" s="6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57"/>
      <c r="B36" s="47" t="s">
        <v>30</v>
      </c>
      <c r="C36" s="69" t="s">
        <v>20</v>
      </c>
      <c r="D36" s="70" t="s">
        <v>20</v>
      </c>
      <c r="E36" s="71" t="s">
        <v>20</v>
      </c>
      <c r="F36" s="46">
        <f t="array" ref="F36">IF(AND(C36="Fait",D36="Envoyé",E36="Envoyé"),"Complété",INDEX(BD!$P$17:P$22,MATCH(C36,BD!$O$17:$O$22,0))+IF(AND(C36="Fait",D36="Envoyé"),0.2,0))</f>
        <v>0</v>
      </c>
      <c r="G36" s="1"/>
      <c r="H36" s="1"/>
      <c r="I36" s="79"/>
      <c r="J36" s="79"/>
      <c r="K36" s="79"/>
      <c r="L36" s="6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57"/>
      <c r="B37" s="49" t="s">
        <v>31</v>
      </c>
      <c r="C37" s="80" t="s">
        <v>20</v>
      </c>
      <c r="D37" s="81" t="s">
        <v>20</v>
      </c>
      <c r="E37" s="82" t="s">
        <v>20</v>
      </c>
      <c r="F37" s="56">
        <f t="array" ref="F37">IF(AND(C37="Fait",D37="Envoyé",E37="Envoyé"),"Complété",INDEX(BD!$P$17:P$22,MATCH(C37,BD!$O$17:$O$22,0))+IF(AND(C37="Fait",D37="Envoyé"),0.2,0))</f>
        <v>0</v>
      </c>
      <c r="G37" s="1"/>
      <c r="H37" s="1"/>
      <c r="I37" s="79"/>
      <c r="J37" s="79"/>
      <c r="K37" s="79"/>
      <c r="L37" s="6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9:F9"/>
    <mergeCell ref="B24:F24"/>
    <mergeCell ref="H24:M24"/>
    <mergeCell ref="P2:T5"/>
    <mergeCell ref="C3:N3"/>
    <mergeCell ref="C4:N7"/>
    <mergeCell ref="P6:R7"/>
    <mergeCell ref="S6:T7"/>
    <mergeCell ref="H9:N9"/>
    <mergeCell ref="P9:T9"/>
  </mergeCells>
  <conditionalFormatting sqref="F11:F22">
    <cfRule type="containsText" dxfId="0" priority="1" operator="containsText" text="Complété">
      <formula>NOT(ISERROR(SEARCH(("Complété"),(F11))))</formula>
    </cfRule>
  </conditionalFormatting>
  <conditionalFormatting sqref="F11:F22">
    <cfRule type="colorScale" priority="2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F26:F37">
    <cfRule type="containsText" dxfId="0" priority="3" operator="containsText" text="Complété">
      <formula>NOT(ISERROR(SEARCH(("Complété"),(F26))))</formula>
    </cfRule>
  </conditionalFormatting>
  <conditionalFormatting sqref="F26:F37">
    <cfRule type="colorScale" priority="4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I26:I29">
    <cfRule type="containsText" dxfId="1" priority="5" operator="containsText" text="Pas prêt">
      <formula>NOT(ISERROR(SEARCH(("Pas prêt"),(I26))))</formula>
    </cfRule>
  </conditionalFormatting>
  <conditionalFormatting sqref="I26:I29">
    <cfRule type="containsText" dxfId="2" priority="6" operator="containsText" text="Prêt">
      <formula>NOT(ISERROR(SEARCH(("Prêt"),(I26))))</formula>
    </cfRule>
  </conditionalFormatting>
  <conditionalFormatting sqref="L30:L37">
    <cfRule type="containsText" dxfId="0" priority="7" operator="containsText" text="Complété">
      <formula>NOT(ISERROR(SEARCH(("Complété"),(L30))))</formula>
    </cfRule>
  </conditionalFormatting>
  <conditionalFormatting sqref="L30:L37">
    <cfRule type="colorScale" priority="8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M26:M29">
    <cfRule type="containsText" dxfId="0" priority="9" operator="containsText" text="Complété">
      <formula>NOT(ISERROR(SEARCH(("Complété"),(M26))))</formula>
    </cfRule>
  </conditionalFormatting>
  <conditionalFormatting sqref="M26:M29">
    <cfRule type="colorScale" priority="10">
      <colorScale>
        <cfvo type="formula" val="0"/>
        <cfvo type="formula" val="0"/>
        <cfvo type="formula" val="1"/>
        <color rgb="FFF8696B"/>
        <color rgb="FFFFEB84"/>
        <color rgb="FF63BE7B"/>
      </colorScale>
    </cfRule>
  </conditionalFormatting>
  <conditionalFormatting sqref="N11:N22">
    <cfRule type="containsText" dxfId="0" priority="11" operator="containsText" text="Complété">
      <formula>NOT(ISERROR(SEARCH(("Complété"),(N11))))</formula>
    </cfRule>
  </conditionalFormatting>
  <conditionalFormatting sqref="N11:N22">
    <cfRule type="colorScale" priority="12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P26">
    <cfRule type="containsText" dxfId="0" priority="13" operator="containsText" text="Complèté">
      <formula>NOT(ISERROR(SEARCH(("Complèté"),(P26))))</formula>
    </cfRule>
  </conditionalFormatting>
  <conditionalFormatting sqref="P26">
    <cfRule type="colorScale" priority="14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T11:T22">
    <cfRule type="containsText" dxfId="0" priority="15" operator="containsText" text="Complété">
      <formula>NOT(ISERROR(SEARCH(("Complété"),(T11))))</formula>
    </cfRule>
  </conditionalFormatting>
  <conditionalFormatting sqref="T11:T22">
    <cfRule type="colorScale" priority="16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dataValidations>
    <dataValidation type="list" allowBlank="1" showErrorMessage="1" sqref="J26:L26 D26:E37">
      <formula1>BD!$B$13:$B$14</formula1>
    </dataValidation>
    <dataValidation type="list" allowBlank="1" showErrorMessage="1" sqref="C11:D22 Q11:R22 J27:L29 C26:C37 J30:J37">
      <formula1>BD!$B$4:$B$9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5.71"/>
    <col customWidth="1" min="3" max="4" width="10.71"/>
    <col customWidth="1" min="5" max="5" width="15.71"/>
    <col customWidth="1" min="6" max="6" width="10.71"/>
    <col customWidth="1" min="7" max="7" width="2.71"/>
    <col customWidth="1" min="8" max="8" width="13.43"/>
    <col customWidth="1" min="9" max="13" width="12.71"/>
    <col customWidth="1" min="14" max="14" width="10.71"/>
    <col customWidth="1" min="15" max="15" width="2.71"/>
    <col customWidth="1" min="16" max="16" width="11.43"/>
    <col customWidth="1" min="17" max="18" width="10.71"/>
    <col customWidth="1" min="19" max="19" width="15.71"/>
    <col customWidth="1" min="20" max="20" width="10.71"/>
    <col customWidth="1" min="21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2" t="s">
        <v>0</v>
      </c>
      <c r="C2" s="3" t="str">
        <f t="array" ref="C2">RIGHT(CELL("nomfichier",A1),LEN(CELL("nomfichier",A1))-FIND("]",CELL("nomfichier",A1)))</f>
        <v>#VALUE!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1"/>
      <c r="P2" s="6" t="s">
        <v>1</v>
      </c>
      <c r="Q2" s="7"/>
      <c r="R2" s="7"/>
      <c r="S2" s="7"/>
      <c r="T2" s="8"/>
      <c r="U2" s="1"/>
      <c r="V2" s="1"/>
      <c r="W2" s="1"/>
      <c r="X2" s="1"/>
      <c r="Y2" s="1"/>
      <c r="Z2" s="1"/>
    </row>
    <row r="3" ht="15.0" customHeight="1">
      <c r="A3" s="1"/>
      <c r="B3" s="9" t="s">
        <v>2</v>
      </c>
      <c r="C3" s="10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"/>
      <c r="P3" s="13"/>
      <c r="T3" s="14"/>
      <c r="U3" s="1"/>
      <c r="V3" s="1"/>
      <c r="W3" s="1"/>
      <c r="X3" s="1"/>
      <c r="Y3" s="1"/>
      <c r="Z3" s="1"/>
    </row>
    <row r="4" ht="15.0" customHeight="1">
      <c r="A4" s="1"/>
      <c r="B4" s="9" t="s">
        <v>4</v>
      </c>
      <c r="C4" s="15" t="s">
        <v>3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  <c r="O4" s="1"/>
      <c r="P4" s="13"/>
      <c r="T4" s="14"/>
      <c r="U4" s="1"/>
      <c r="V4" s="1"/>
      <c r="W4" s="1"/>
      <c r="X4" s="1"/>
      <c r="Y4" s="1"/>
      <c r="Z4" s="1"/>
    </row>
    <row r="5" ht="15.0" customHeight="1">
      <c r="A5" s="1"/>
      <c r="B5" s="9"/>
      <c r="C5" s="18"/>
      <c r="N5" s="14"/>
      <c r="O5" s="1"/>
      <c r="P5" s="13"/>
      <c r="T5" s="14"/>
      <c r="U5" s="1"/>
      <c r="V5" s="1"/>
      <c r="W5" s="1"/>
      <c r="X5" s="1"/>
      <c r="Y5" s="1"/>
      <c r="Z5" s="1"/>
    </row>
    <row r="6" ht="15.0" customHeight="1">
      <c r="A6" s="1"/>
      <c r="B6" s="9"/>
      <c r="C6" s="18"/>
      <c r="N6" s="14"/>
      <c r="O6" s="1"/>
      <c r="P6" s="19" t="s">
        <v>5</v>
      </c>
      <c r="S6" s="20">
        <v>45162.0</v>
      </c>
      <c r="T6" s="14"/>
      <c r="U6" s="1"/>
      <c r="V6" s="1"/>
      <c r="W6" s="1"/>
      <c r="X6" s="1"/>
      <c r="Y6" s="1"/>
      <c r="Z6" s="1"/>
    </row>
    <row r="7" ht="15.75" customHeight="1">
      <c r="A7" s="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  <c r="O7" s="1"/>
      <c r="P7" s="25"/>
      <c r="Q7" s="23"/>
      <c r="R7" s="23"/>
      <c r="S7" s="23"/>
      <c r="T7" s="24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6" t="s">
        <v>6</v>
      </c>
      <c r="C9" s="27"/>
      <c r="D9" s="27"/>
      <c r="E9" s="27"/>
      <c r="F9" s="28"/>
      <c r="G9" s="1"/>
      <c r="H9" s="29" t="s">
        <v>7</v>
      </c>
      <c r="I9" s="30"/>
      <c r="J9" s="30"/>
      <c r="K9" s="30"/>
      <c r="L9" s="30"/>
      <c r="M9" s="30"/>
      <c r="N9" s="31"/>
      <c r="O9" s="1"/>
      <c r="P9" s="26" t="s">
        <v>8</v>
      </c>
      <c r="Q9" s="27"/>
      <c r="R9" s="27"/>
      <c r="S9" s="27"/>
      <c r="T9" s="28"/>
      <c r="U9" s="1"/>
      <c r="V9" s="1"/>
      <c r="W9" s="1"/>
      <c r="X9" s="1"/>
      <c r="Y9" s="1"/>
      <c r="Z9" s="1"/>
    </row>
    <row r="10" ht="19.5" customHeight="1">
      <c r="A10" s="1"/>
      <c r="B10" s="32" t="s">
        <v>9</v>
      </c>
      <c r="C10" s="33" t="s">
        <v>10</v>
      </c>
      <c r="D10" s="34" t="s">
        <v>11</v>
      </c>
      <c r="E10" s="35" t="s">
        <v>12</v>
      </c>
      <c r="F10" s="36" t="s">
        <v>13</v>
      </c>
      <c r="G10" s="1"/>
      <c r="H10" s="32" t="s">
        <v>9</v>
      </c>
      <c r="I10" s="33" t="s">
        <v>14</v>
      </c>
      <c r="J10" s="33" t="s">
        <v>15</v>
      </c>
      <c r="K10" s="33" t="s">
        <v>16</v>
      </c>
      <c r="L10" s="33" t="s">
        <v>17</v>
      </c>
      <c r="M10" s="37" t="s">
        <v>18</v>
      </c>
      <c r="N10" s="38" t="s">
        <v>13</v>
      </c>
      <c r="O10" s="1"/>
      <c r="P10" s="32" t="s">
        <v>9</v>
      </c>
      <c r="Q10" s="33" t="s">
        <v>10</v>
      </c>
      <c r="R10" s="34" t="s">
        <v>11</v>
      </c>
      <c r="S10" s="35" t="s">
        <v>12</v>
      </c>
      <c r="T10" s="36" t="s">
        <v>13</v>
      </c>
      <c r="U10" s="1"/>
      <c r="V10" s="1"/>
      <c r="W10" s="1"/>
      <c r="X10" s="1"/>
      <c r="Y10" s="1"/>
      <c r="Z10" s="1"/>
    </row>
    <row r="11" ht="19.5" customHeight="1">
      <c r="A11" s="1"/>
      <c r="B11" s="39" t="s">
        <v>19</v>
      </c>
      <c r="C11" s="40" t="s">
        <v>20</v>
      </c>
      <c r="D11" s="41" t="s">
        <v>20</v>
      </c>
      <c r="E11" s="42"/>
      <c r="F11" s="43">
        <f t="array" ref="F11">IF(AND(C11="Fait", D11="Fait"), "Complété", INDEX(BD!$G$4:$L$9, MATCH(C11, BD!$F$4:$F$9, 0), MATCH(D11, BD!$G$3:$L$3, 0) ))</f>
        <v>0</v>
      </c>
      <c r="G11" s="1"/>
      <c r="H11" s="39" t="s">
        <v>19</v>
      </c>
      <c r="I11" s="44" t="b">
        <v>0</v>
      </c>
      <c r="J11" s="44" t="b">
        <v>0</v>
      </c>
      <c r="K11" s="44" t="b">
        <v>0</v>
      </c>
      <c r="L11" s="44" t="b">
        <v>0</v>
      </c>
      <c r="M11" s="45" t="b">
        <v>0</v>
      </c>
      <c r="N11" s="46">
        <f t="shared" ref="N11:N22" si="1">IF(SUM(I11+ J11+ K11+ L11+ M11) * 20 = 100, "Complété", SUM(I11+ J11+ K11+ L11+ M11) * 20 /100)</f>
        <v>0</v>
      </c>
      <c r="O11" s="1"/>
      <c r="P11" s="39" t="s">
        <v>19</v>
      </c>
      <c r="Q11" s="40" t="s">
        <v>20</v>
      </c>
      <c r="R11" s="41" t="s">
        <v>20</v>
      </c>
      <c r="S11" s="42"/>
      <c r="T11" s="43">
        <f t="array" ref="T11">IF(AND(Q11="Fait", R11="Fait"), "Complété", INDEX(BD!$G$4:$L$9, MATCH(Q11, BD!$F$4:$F$9, 0), MATCH(R11, BD!$G$3:$L$3, 0) ))</f>
        <v>0</v>
      </c>
      <c r="U11" s="1"/>
      <c r="V11" s="1"/>
      <c r="W11" s="1"/>
      <c r="X11" s="1"/>
      <c r="Y11" s="1"/>
      <c r="Z11" s="1"/>
    </row>
    <row r="12" ht="19.5" customHeight="1">
      <c r="A12" s="1"/>
      <c r="B12" s="47" t="s">
        <v>21</v>
      </c>
      <c r="C12" s="40" t="s">
        <v>20</v>
      </c>
      <c r="D12" s="41" t="s">
        <v>20</v>
      </c>
      <c r="E12" s="42"/>
      <c r="F12" s="43">
        <f t="array" ref="F12">IF(AND(C12="Fait", D12="Fait"), "Complété", INDEX(BD!$G$4:$L$9, MATCH(C12, BD!$F$4:$F$9, 0), MATCH(D12, BD!$G$3:$L$3, 0) ))</f>
        <v>0</v>
      </c>
      <c r="G12" s="1"/>
      <c r="H12" s="47" t="s">
        <v>21</v>
      </c>
      <c r="I12" s="44" t="b">
        <v>0</v>
      </c>
      <c r="J12" s="44" t="b">
        <v>0</v>
      </c>
      <c r="K12" s="44" t="b">
        <v>0</v>
      </c>
      <c r="L12" s="44" t="b">
        <v>0</v>
      </c>
      <c r="M12" s="45" t="b">
        <v>0</v>
      </c>
      <c r="N12" s="46">
        <f t="shared" si="1"/>
        <v>0</v>
      </c>
      <c r="O12" s="1"/>
      <c r="P12" s="47" t="s">
        <v>21</v>
      </c>
      <c r="Q12" s="40" t="s">
        <v>20</v>
      </c>
      <c r="R12" s="41" t="s">
        <v>20</v>
      </c>
      <c r="S12" s="42"/>
      <c r="T12" s="43">
        <f t="array" ref="T12">IF(AND(Q12="Fait", R12="Fait"), "Complété", INDEX(BD!$G$4:$L$9, MATCH(Q12, BD!$F$4:$F$9, 0), MATCH(R12, BD!$G$3:$L$3, 0) ))</f>
        <v>0</v>
      </c>
      <c r="U12" s="1"/>
      <c r="V12" s="1"/>
      <c r="W12" s="1"/>
      <c r="X12" s="1"/>
      <c r="Y12" s="1"/>
      <c r="Z12" s="1"/>
    </row>
    <row r="13" ht="19.5" customHeight="1">
      <c r="A13" s="1"/>
      <c r="B13" s="47" t="s">
        <v>22</v>
      </c>
      <c r="C13" s="40" t="s">
        <v>20</v>
      </c>
      <c r="D13" s="41" t="s">
        <v>20</v>
      </c>
      <c r="E13" s="42"/>
      <c r="F13" s="43">
        <f t="array" ref="F13">IF(AND(C13="Fait", D13="Fait"), "Complété", INDEX(BD!$G$4:$L$9, MATCH(C13, BD!$F$4:$F$9, 0), MATCH(D13, BD!$G$3:$L$3, 0) ))</f>
        <v>0</v>
      </c>
      <c r="G13" s="1"/>
      <c r="H13" s="47" t="s">
        <v>22</v>
      </c>
      <c r="I13" s="44" t="b">
        <v>0</v>
      </c>
      <c r="J13" s="44" t="b">
        <v>0</v>
      </c>
      <c r="K13" s="44" t="b">
        <v>0</v>
      </c>
      <c r="L13" s="44" t="b">
        <v>0</v>
      </c>
      <c r="M13" s="45" t="b">
        <v>0</v>
      </c>
      <c r="N13" s="46">
        <f t="shared" si="1"/>
        <v>0</v>
      </c>
      <c r="O13" s="48"/>
      <c r="P13" s="47" t="s">
        <v>22</v>
      </c>
      <c r="Q13" s="40" t="s">
        <v>20</v>
      </c>
      <c r="R13" s="41" t="s">
        <v>20</v>
      </c>
      <c r="S13" s="42"/>
      <c r="T13" s="43">
        <f t="array" ref="T13">IF(AND(Q13="Fait", R13="Fait"), "Complété", INDEX(BD!$G$4:$L$9, MATCH(Q13, BD!$F$4:$F$9, 0), MATCH(R13, BD!$G$3:$L$3, 0) ))</f>
        <v>0</v>
      </c>
      <c r="U13" s="1"/>
      <c r="V13" s="1"/>
      <c r="W13" s="1"/>
      <c r="X13" s="1"/>
      <c r="Y13" s="1"/>
      <c r="Z13" s="1"/>
    </row>
    <row r="14" ht="19.5" customHeight="1">
      <c r="A14" s="1"/>
      <c r="B14" s="47" t="s">
        <v>23</v>
      </c>
      <c r="C14" s="40" t="s">
        <v>20</v>
      </c>
      <c r="D14" s="41" t="s">
        <v>20</v>
      </c>
      <c r="E14" s="42"/>
      <c r="F14" s="43">
        <f t="array" ref="F14">IF(AND(C14="Fait", D14="Fait"), "Complété", INDEX(BD!$G$4:$L$9, MATCH(C14, BD!$F$4:$F$9, 0), MATCH(D14, BD!$G$3:$L$3, 0) ))</f>
        <v>0</v>
      </c>
      <c r="G14" s="1"/>
      <c r="H14" s="47" t="s">
        <v>23</v>
      </c>
      <c r="I14" s="44" t="b">
        <v>0</v>
      </c>
      <c r="J14" s="44" t="b">
        <v>0</v>
      </c>
      <c r="K14" s="44" t="b">
        <v>0</v>
      </c>
      <c r="L14" s="44" t="b">
        <v>0</v>
      </c>
      <c r="M14" s="45" t="b">
        <v>0</v>
      </c>
      <c r="N14" s="46">
        <f t="shared" si="1"/>
        <v>0</v>
      </c>
      <c r="O14" s="48"/>
      <c r="P14" s="47" t="s">
        <v>23</v>
      </c>
      <c r="Q14" s="40" t="s">
        <v>20</v>
      </c>
      <c r="R14" s="41" t="s">
        <v>20</v>
      </c>
      <c r="S14" s="42"/>
      <c r="T14" s="43">
        <f t="array" ref="T14">IF(AND(Q14="Fait", R14="Fait"), "Complété", INDEX(BD!$G$4:$L$9, MATCH(Q14, BD!$F$4:$F$9, 0), MATCH(R14, BD!$G$3:$L$3, 0) ))</f>
        <v>0</v>
      </c>
      <c r="U14" s="1"/>
      <c r="V14" s="1"/>
      <c r="W14" s="1"/>
      <c r="X14" s="1"/>
      <c r="Y14" s="1"/>
      <c r="Z14" s="1"/>
    </row>
    <row r="15" ht="19.5" customHeight="1">
      <c r="A15" s="1"/>
      <c r="B15" s="47" t="s">
        <v>24</v>
      </c>
      <c r="C15" s="40" t="s">
        <v>20</v>
      </c>
      <c r="D15" s="41" t="s">
        <v>20</v>
      </c>
      <c r="E15" s="42"/>
      <c r="F15" s="43">
        <f t="array" ref="F15">IF(AND(C15="Fait", D15="Fait"), "Complété", INDEX(BD!$G$4:$L$9, MATCH(C15, BD!$F$4:$F$9, 0), MATCH(D15, BD!$G$3:$L$3, 0) ))</f>
        <v>0</v>
      </c>
      <c r="G15" s="1"/>
      <c r="H15" s="47" t="s">
        <v>24</v>
      </c>
      <c r="I15" s="44" t="b">
        <v>0</v>
      </c>
      <c r="J15" s="44" t="b">
        <v>0</v>
      </c>
      <c r="K15" s="44" t="b">
        <v>0</v>
      </c>
      <c r="L15" s="44" t="b">
        <v>0</v>
      </c>
      <c r="M15" s="45" t="b">
        <v>0</v>
      </c>
      <c r="N15" s="46">
        <f t="shared" si="1"/>
        <v>0</v>
      </c>
      <c r="O15" s="48"/>
      <c r="P15" s="47" t="s">
        <v>24</v>
      </c>
      <c r="Q15" s="40" t="s">
        <v>20</v>
      </c>
      <c r="R15" s="41" t="s">
        <v>20</v>
      </c>
      <c r="S15" s="42"/>
      <c r="T15" s="43">
        <f t="array" ref="T15">IF(AND(Q15="Fait", R15="Fait"), "Complété", INDEX(BD!$G$4:$L$9, MATCH(Q15, BD!$F$4:$F$9, 0), MATCH(R15, BD!$G$3:$L$3, 0) ))</f>
        <v>0</v>
      </c>
      <c r="U15" s="1"/>
      <c r="V15" s="1"/>
      <c r="W15" s="1"/>
      <c r="X15" s="1"/>
      <c r="Y15" s="1"/>
      <c r="Z15" s="1"/>
    </row>
    <row r="16" ht="19.5" customHeight="1">
      <c r="A16" s="1"/>
      <c r="B16" s="47" t="s">
        <v>25</v>
      </c>
      <c r="C16" s="40" t="s">
        <v>20</v>
      </c>
      <c r="D16" s="41" t="s">
        <v>20</v>
      </c>
      <c r="E16" s="42"/>
      <c r="F16" s="43">
        <f t="array" ref="F16">IF(AND(C16="Fait", D16="Fait"), "Complété", INDEX(BD!$G$4:$L$9, MATCH(C16, BD!$F$4:$F$9, 0), MATCH(D16, BD!$G$3:$L$3, 0) ))</f>
        <v>0</v>
      </c>
      <c r="G16" s="1"/>
      <c r="H16" s="47" t="s">
        <v>25</v>
      </c>
      <c r="I16" s="44" t="b">
        <v>0</v>
      </c>
      <c r="J16" s="44" t="b">
        <v>0</v>
      </c>
      <c r="K16" s="44" t="b">
        <v>0</v>
      </c>
      <c r="L16" s="44" t="b">
        <v>0</v>
      </c>
      <c r="M16" s="45" t="b">
        <v>0</v>
      </c>
      <c r="N16" s="46">
        <f t="shared" si="1"/>
        <v>0</v>
      </c>
      <c r="O16" s="48"/>
      <c r="P16" s="47" t="s">
        <v>25</v>
      </c>
      <c r="Q16" s="40" t="s">
        <v>20</v>
      </c>
      <c r="R16" s="41" t="s">
        <v>20</v>
      </c>
      <c r="S16" s="42"/>
      <c r="T16" s="43">
        <f t="array" ref="T16">IF(AND(Q16="Fait", R16="Fait"), "Complété", INDEX(BD!$G$4:$L$9, MATCH(Q16, BD!$F$4:$F$9, 0), MATCH(R16, BD!$G$3:$L$3, 0) ))</f>
        <v>0</v>
      </c>
      <c r="U16" s="1"/>
      <c r="V16" s="1"/>
      <c r="W16" s="1"/>
      <c r="X16" s="1"/>
      <c r="Y16" s="1"/>
      <c r="Z16" s="1"/>
    </row>
    <row r="17" ht="19.5" customHeight="1">
      <c r="A17" s="1"/>
      <c r="B17" s="47" t="s">
        <v>26</v>
      </c>
      <c r="C17" s="40" t="s">
        <v>20</v>
      </c>
      <c r="D17" s="41" t="s">
        <v>20</v>
      </c>
      <c r="E17" s="42"/>
      <c r="F17" s="43">
        <f t="array" ref="F17">IF(AND(C17="Fait", D17="Fait"), "Complété", INDEX(BD!$G$4:$L$9, MATCH(C17, BD!$F$4:$F$9, 0), MATCH(D17, BD!$G$3:$L$3, 0) ))</f>
        <v>0</v>
      </c>
      <c r="G17" s="1"/>
      <c r="H17" s="47" t="s">
        <v>26</v>
      </c>
      <c r="I17" s="44" t="b">
        <v>0</v>
      </c>
      <c r="J17" s="44" t="b">
        <v>0</v>
      </c>
      <c r="K17" s="44" t="b">
        <v>0</v>
      </c>
      <c r="L17" s="44" t="b">
        <v>0</v>
      </c>
      <c r="M17" s="45" t="b">
        <v>0</v>
      </c>
      <c r="N17" s="46">
        <f t="shared" si="1"/>
        <v>0</v>
      </c>
      <c r="O17" s="48"/>
      <c r="P17" s="47" t="s">
        <v>26</v>
      </c>
      <c r="Q17" s="40" t="s">
        <v>20</v>
      </c>
      <c r="R17" s="41" t="s">
        <v>20</v>
      </c>
      <c r="S17" s="42"/>
      <c r="T17" s="43">
        <f t="array" ref="T17">IF(AND(Q17="Fait", R17="Fait"), "Complété", INDEX(BD!$G$4:$L$9, MATCH(Q17, BD!$F$4:$F$9, 0), MATCH(R17, BD!$G$3:$L$3, 0) ))</f>
        <v>0</v>
      </c>
      <c r="U17" s="1"/>
      <c r="V17" s="1"/>
      <c r="W17" s="1"/>
      <c r="X17" s="1"/>
      <c r="Y17" s="1"/>
      <c r="Z17" s="1"/>
    </row>
    <row r="18" ht="19.5" customHeight="1">
      <c r="A18" s="1"/>
      <c r="B18" s="47" t="s">
        <v>27</v>
      </c>
      <c r="C18" s="40" t="s">
        <v>20</v>
      </c>
      <c r="D18" s="41" t="s">
        <v>20</v>
      </c>
      <c r="E18" s="42"/>
      <c r="F18" s="43">
        <f t="array" ref="F18">IF(AND(C18="Fait", D18="Fait"), "Complété", INDEX(BD!$G$4:$L$9, MATCH(C18, BD!$F$4:$F$9, 0), MATCH(D18, BD!$G$3:$L$3, 0) ))</f>
        <v>0</v>
      </c>
      <c r="G18" s="1"/>
      <c r="H18" s="47" t="s">
        <v>27</v>
      </c>
      <c r="I18" s="44" t="b">
        <v>0</v>
      </c>
      <c r="J18" s="44" t="b">
        <v>0</v>
      </c>
      <c r="K18" s="44" t="b">
        <v>0</v>
      </c>
      <c r="L18" s="44" t="b">
        <v>0</v>
      </c>
      <c r="M18" s="45" t="b">
        <v>0</v>
      </c>
      <c r="N18" s="46">
        <f t="shared" si="1"/>
        <v>0</v>
      </c>
      <c r="O18" s="48"/>
      <c r="P18" s="47" t="s">
        <v>27</v>
      </c>
      <c r="Q18" s="40" t="s">
        <v>20</v>
      </c>
      <c r="R18" s="41" t="s">
        <v>20</v>
      </c>
      <c r="S18" s="42"/>
      <c r="T18" s="43">
        <f t="array" ref="T18">IF(AND(Q18="Fait", R18="Fait"), "Complété", INDEX(BD!$G$4:$L$9, MATCH(Q18, BD!$F$4:$F$9, 0), MATCH(R18, BD!$G$3:$L$3, 0) ))</f>
        <v>0</v>
      </c>
      <c r="U18" s="1"/>
      <c r="V18" s="1"/>
      <c r="W18" s="1"/>
      <c r="X18" s="1"/>
      <c r="Y18" s="1"/>
      <c r="Z18" s="1"/>
    </row>
    <row r="19" ht="19.5" customHeight="1">
      <c r="A19" s="1"/>
      <c r="B19" s="47" t="s">
        <v>28</v>
      </c>
      <c r="C19" s="40" t="s">
        <v>20</v>
      </c>
      <c r="D19" s="41" t="s">
        <v>20</v>
      </c>
      <c r="E19" s="42"/>
      <c r="F19" s="43">
        <f t="array" ref="F19">IF(AND(C19="Fait", D19="Fait"), "Complété", INDEX(BD!$G$4:$L$9, MATCH(C19, BD!$F$4:$F$9, 0), MATCH(D19, BD!$G$3:$L$3, 0) ))</f>
        <v>0</v>
      </c>
      <c r="G19" s="1"/>
      <c r="H19" s="47" t="s">
        <v>28</v>
      </c>
      <c r="I19" s="44" t="b">
        <v>0</v>
      </c>
      <c r="J19" s="44" t="b">
        <v>0</v>
      </c>
      <c r="K19" s="44" t="b">
        <v>0</v>
      </c>
      <c r="L19" s="44" t="b">
        <v>0</v>
      </c>
      <c r="M19" s="45" t="b">
        <v>0</v>
      </c>
      <c r="N19" s="46">
        <f t="shared" si="1"/>
        <v>0</v>
      </c>
      <c r="O19" s="1"/>
      <c r="P19" s="47" t="s">
        <v>28</v>
      </c>
      <c r="Q19" s="40" t="s">
        <v>20</v>
      </c>
      <c r="R19" s="41" t="s">
        <v>20</v>
      </c>
      <c r="S19" s="42"/>
      <c r="T19" s="43">
        <f t="array" ref="T19">IF(AND(Q19="Fait", R19="Fait"), "Complété", INDEX(BD!$G$4:$L$9, MATCH(Q19, BD!$F$4:$F$9, 0), MATCH(R19, BD!$G$3:$L$3, 0) ))</f>
        <v>0</v>
      </c>
      <c r="U19" s="1"/>
      <c r="V19" s="1"/>
      <c r="W19" s="1"/>
      <c r="X19" s="1"/>
      <c r="Y19" s="1"/>
      <c r="Z19" s="1"/>
    </row>
    <row r="20" ht="19.5" customHeight="1">
      <c r="A20" s="1"/>
      <c r="B20" s="47" t="s">
        <v>29</v>
      </c>
      <c r="C20" s="40" t="s">
        <v>20</v>
      </c>
      <c r="D20" s="41" t="s">
        <v>20</v>
      </c>
      <c r="E20" s="42"/>
      <c r="F20" s="43">
        <f t="array" ref="F20">IF(AND(C20="Fait", D20="Fait"), "Complété", INDEX(BD!$G$4:$L$9, MATCH(C20, BD!$F$4:$F$9, 0), MATCH(D20, BD!$G$3:$L$3, 0) ))</f>
        <v>0</v>
      </c>
      <c r="G20" s="1"/>
      <c r="H20" s="47" t="s">
        <v>29</v>
      </c>
      <c r="I20" s="44" t="b">
        <v>0</v>
      </c>
      <c r="J20" s="44" t="b">
        <v>0</v>
      </c>
      <c r="K20" s="44" t="b">
        <v>0</v>
      </c>
      <c r="L20" s="44" t="b">
        <v>0</v>
      </c>
      <c r="M20" s="45" t="b">
        <v>0</v>
      </c>
      <c r="N20" s="46">
        <f t="shared" si="1"/>
        <v>0</v>
      </c>
      <c r="O20" s="1"/>
      <c r="P20" s="47" t="s">
        <v>29</v>
      </c>
      <c r="Q20" s="40" t="s">
        <v>20</v>
      </c>
      <c r="R20" s="41" t="s">
        <v>20</v>
      </c>
      <c r="S20" s="42"/>
      <c r="T20" s="43">
        <f t="array" ref="T20">IF(AND(Q20="Fait", R20="Fait"), "Complété", INDEX(BD!$G$4:$L$9, MATCH(Q20, BD!$F$4:$F$9, 0), MATCH(R20, BD!$G$3:$L$3, 0) ))</f>
        <v>0</v>
      </c>
      <c r="U20" s="1"/>
      <c r="V20" s="1"/>
      <c r="W20" s="1"/>
      <c r="X20" s="1"/>
      <c r="Y20" s="1"/>
      <c r="Z20" s="1"/>
    </row>
    <row r="21" ht="19.5" customHeight="1">
      <c r="A21" s="1"/>
      <c r="B21" s="47" t="s">
        <v>30</v>
      </c>
      <c r="C21" s="40" t="s">
        <v>20</v>
      </c>
      <c r="D21" s="41" t="s">
        <v>20</v>
      </c>
      <c r="E21" s="42"/>
      <c r="F21" s="43">
        <f t="array" ref="F21">IF(AND(C21="Fait", D21="Fait"), "Complété", INDEX(BD!$G$4:$L$9, MATCH(C21, BD!$F$4:$F$9, 0), MATCH(D21, BD!$G$3:$L$3, 0) ))</f>
        <v>0</v>
      </c>
      <c r="G21" s="1"/>
      <c r="H21" s="47" t="s">
        <v>30</v>
      </c>
      <c r="I21" s="44" t="b">
        <v>0</v>
      </c>
      <c r="J21" s="44" t="b">
        <v>0</v>
      </c>
      <c r="K21" s="44" t="b">
        <v>0</v>
      </c>
      <c r="L21" s="44" t="b">
        <v>0</v>
      </c>
      <c r="M21" s="45" t="b">
        <v>0</v>
      </c>
      <c r="N21" s="46">
        <f t="shared" si="1"/>
        <v>0</v>
      </c>
      <c r="O21" s="1"/>
      <c r="P21" s="47" t="s">
        <v>30</v>
      </c>
      <c r="Q21" s="40" t="s">
        <v>20</v>
      </c>
      <c r="R21" s="41" t="s">
        <v>20</v>
      </c>
      <c r="S21" s="42"/>
      <c r="T21" s="43">
        <f t="array" ref="T21">IF(AND(Q21="Fait", R21="Fait"), "Complété", INDEX(BD!$G$4:$L$9, MATCH(Q21, BD!$F$4:$F$9, 0), MATCH(R21, BD!$G$3:$L$3, 0) ))</f>
        <v>0</v>
      </c>
      <c r="U21" s="1"/>
      <c r="V21" s="1"/>
      <c r="W21" s="1"/>
      <c r="X21" s="1"/>
      <c r="Y21" s="1"/>
      <c r="Z21" s="1"/>
    </row>
    <row r="22" ht="19.5" customHeight="1">
      <c r="A22" s="1"/>
      <c r="B22" s="49" t="s">
        <v>31</v>
      </c>
      <c r="C22" s="50" t="s">
        <v>20</v>
      </c>
      <c r="D22" s="51" t="s">
        <v>20</v>
      </c>
      <c r="E22" s="52"/>
      <c r="F22" s="53">
        <f t="array" ref="F22">IF(AND(C22="Fait", D22="Fait"), "Complété", INDEX(BD!$G$4:$L$9, MATCH(C22, BD!$F$4:$F$9, 0), MATCH(D22, BD!$G$3:$L$3, 0) ))</f>
        <v>0</v>
      </c>
      <c r="G22" s="1"/>
      <c r="H22" s="49" t="s">
        <v>31</v>
      </c>
      <c r="I22" s="54" t="b">
        <v>0</v>
      </c>
      <c r="J22" s="54" t="b">
        <v>0</v>
      </c>
      <c r="K22" s="54" t="b">
        <v>0</v>
      </c>
      <c r="L22" s="54" t="b">
        <v>0</v>
      </c>
      <c r="M22" s="55" t="b">
        <v>0</v>
      </c>
      <c r="N22" s="56">
        <f t="shared" si="1"/>
        <v>0</v>
      </c>
      <c r="O22" s="1"/>
      <c r="P22" s="49" t="s">
        <v>31</v>
      </c>
      <c r="Q22" s="50" t="s">
        <v>20</v>
      </c>
      <c r="R22" s="51" t="s">
        <v>20</v>
      </c>
      <c r="S22" s="52"/>
      <c r="T22" s="53">
        <f t="array" ref="T22">IF(AND(Q22="Fait", R22="Fait"), "Complété", INDEX(BD!$G$4:$L$9, MATCH(Q22, BD!$F$4:$F$9, 0), MATCH(R22, BD!$G$3:$L$3, 0) ))</f>
        <v>0</v>
      </c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7"/>
      <c r="B24" s="29" t="s">
        <v>32</v>
      </c>
      <c r="C24" s="30"/>
      <c r="D24" s="30"/>
      <c r="E24" s="30"/>
      <c r="F24" s="31"/>
      <c r="G24" s="1"/>
      <c r="H24" s="29" t="s">
        <v>33</v>
      </c>
      <c r="I24" s="30"/>
      <c r="J24" s="30"/>
      <c r="K24" s="30"/>
      <c r="L24" s="30"/>
      <c r="M24" s="3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7"/>
      <c r="B25" s="32" t="s">
        <v>9</v>
      </c>
      <c r="C25" s="33" t="s">
        <v>34</v>
      </c>
      <c r="D25" s="34" t="s">
        <v>35</v>
      </c>
      <c r="E25" s="58" t="s">
        <v>12</v>
      </c>
      <c r="F25" s="38" t="s">
        <v>13</v>
      </c>
      <c r="G25" s="1"/>
      <c r="H25" s="59" t="s">
        <v>9</v>
      </c>
      <c r="I25" s="33" t="s">
        <v>34</v>
      </c>
      <c r="J25" s="60" t="s">
        <v>36</v>
      </c>
      <c r="K25" s="60" t="s">
        <v>35</v>
      </c>
      <c r="L25" s="60" t="s">
        <v>37</v>
      </c>
      <c r="M25" s="38" t="s">
        <v>13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57"/>
      <c r="B26" s="39" t="s">
        <v>19</v>
      </c>
      <c r="C26" s="61" t="s">
        <v>20</v>
      </c>
      <c r="D26" s="62" t="s">
        <v>20</v>
      </c>
      <c r="E26" s="63" t="s">
        <v>20</v>
      </c>
      <c r="F26" s="46">
        <f t="array" ref="F26">IF(AND(C26="Fait",D26="Envoyé",E26="Envoyé"),"Complété",INDEX(BD!$P$17:P$22,MATCH(C26,BD!$O$17:$O$22,0))+IF(AND(C26="Fait",D26="Envoyé"),0.2,0))</f>
        <v>0</v>
      </c>
      <c r="G26" s="1"/>
      <c r="H26" s="64" t="s">
        <v>38</v>
      </c>
      <c r="I26" s="65" t="str">
        <f>IF(AND(F11="Complété", F12="Complété", F13="Complété", N11="Complété", N12="Complété", N13="Complété", T11="Complété", T12="Complété", T13="Complété"), "Prêt", "Pas prêt")</f>
        <v>Pas prêt</v>
      </c>
      <c r="J26" s="66" t="s">
        <v>20</v>
      </c>
      <c r="K26" s="66" t="s">
        <v>20</v>
      </c>
      <c r="L26" s="66" t="s">
        <v>20</v>
      </c>
      <c r="M26" s="67">
        <f t="shared" ref="M26:M29" si="2">IF((IF(I26="Prêt",1,0) + IF(J26="Envoyé",1,0) + IF(K26="Envoyé",1,0) + IF(L26="Envoyé",1,0)) = 4, "Complété", (IF(I26="Prêt",1,0) + IF(J26="Envoyé",1,0) + IF(K26="Envoyé",1,0) + IF(L26="Envoyé",1,0)) * 25/100)</f>
        <v>0</v>
      </c>
      <c r="N26" s="1"/>
      <c r="O26" s="1"/>
      <c r="P26" s="6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57"/>
      <c r="B27" s="47" t="s">
        <v>21</v>
      </c>
      <c r="C27" s="69" t="s">
        <v>20</v>
      </c>
      <c r="D27" s="70" t="s">
        <v>20</v>
      </c>
      <c r="E27" s="71" t="s">
        <v>20</v>
      </c>
      <c r="F27" s="46">
        <f t="array" ref="F27">IF(AND(C27="Fait",D27="Envoyé",E27="Envoyé"),"Complété",INDEX(BD!$P$17:P$22,MATCH(C27,BD!$O$17:$O$22,0))+IF(AND(C27="Fait",D27="Envoyé"),0.2,0))</f>
        <v>0</v>
      </c>
      <c r="G27" s="1"/>
      <c r="H27" s="72" t="s">
        <v>39</v>
      </c>
      <c r="I27" s="65" t="str">
        <f>IF(AND(F14="Complété", F15="Complété", F16="Complété", N14="Complété", N15="Complété", N16="Complété", T14="Complété", T15="Complété", T16="Complété"), "Prêt", "Pas prêt")</f>
        <v>Pas prêt</v>
      </c>
      <c r="J27" s="73" t="s">
        <v>20</v>
      </c>
      <c r="K27" s="73" t="s">
        <v>20</v>
      </c>
      <c r="L27" s="73" t="s">
        <v>20</v>
      </c>
      <c r="M27" s="74">
        <f t="shared" si="2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57"/>
      <c r="B28" s="47" t="s">
        <v>22</v>
      </c>
      <c r="C28" s="69" t="s">
        <v>20</v>
      </c>
      <c r="D28" s="70" t="s">
        <v>20</v>
      </c>
      <c r="E28" s="71" t="s">
        <v>20</v>
      </c>
      <c r="F28" s="46">
        <f t="array" ref="F28">IF(AND(C28="Fait",D28="Envoyé",E28="Envoyé"),"Complété",INDEX(BD!$P$17:P$22,MATCH(C28,BD!$O$17:$O$22,0))+IF(AND(C28="Fait",D28="Envoyé"),0.2,0))</f>
        <v>0</v>
      </c>
      <c r="G28" s="1"/>
      <c r="H28" s="72" t="s">
        <v>40</v>
      </c>
      <c r="I28" s="65" t="str">
        <f>IF(AND(F17="Complété", F18="Complété", F19="Complété", N17="Complété", N18="Complété", N19="Complété", T17="Complété", T18="Complété", T19="Complété"), "Prêt", "Pas prêt")</f>
        <v>Pas prêt</v>
      </c>
      <c r="J28" s="73" t="s">
        <v>20</v>
      </c>
      <c r="K28" s="73" t="s">
        <v>20</v>
      </c>
      <c r="L28" s="73" t="s">
        <v>20</v>
      </c>
      <c r="M28" s="74">
        <f t="shared" si="2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57"/>
      <c r="B29" s="47" t="s">
        <v>23</v>
      </c>
      <c r="C29" s="69" t="s">
        <v>20</v>
      </c>
      <c r="D29" s="70" t="s">
        <v>20</v>
      </c>
      <c r="E29" s="71" t="s">
        <v>20</v>
      </c>
      <c r="F29" s="46">
        <f t="array" ref="F29">IF(AND(C29="Fait",D29="Envoyé",E29="Envoyé"),"Complété",INDEX(BD!$P$17:P$22,MATCH(C29,BD!$O$17:$O$22,0))+IF(AND(C29="Fait",D29="Envoyé"),0.2,0))</f>
        <v>0</v>
      </c>
      <c r="G29" s="1"/>
      <c r="H29" s="75" t="s">
        <v>41</v>
      </c>
      <c r="I29" s="76" t="str">
        <f>IF(AND(F20="Complété", F21="Complété", F22="Complété", N20="Complété", N21="Complété", N22="Complété", T20="Complété", T21="Complété", T22="Complété"), "Prêt", "Pas prêt")</f>
        <v>Pas prêt</v>
      </c>
      <c r="J29" s="77" t="s">
        <v>20</v>
      </c>
      <c r="K29" s="77" t="s">
        <v>20</v>
      </c>
      <c r="L29" s="77" t="s">
        <v>20</v>
      </c>
      <c r="M29" s="78">
        <f t="shared" si="2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57"/>
      <c r="B30" s="47" t="s">
        <v>24</v>
      </c>
      <c r="C30" s="69" t="s">
        <v>20</v>
      </c>
      <c r="D30" s="70" t="s">
        <v>20</v>
      </c>
      <c r="E30" s="71" t="s">
        <v>20</v>
      </c>
      <c r="F30" s="46">
        <f t="array" ref="F30">IF(AND(C30="Fait",D30="Envoyé",E30="Envoyé"),"Complété",INDEX(BD!$P$17:P$22,MATCH(C30,BD!$O$17:$O$22,0))+IF(AND(C30="Fait",D30="Envoyé"),0.2,0))</f>
        <v>0</v>
      </c>
      <c r="G30" s="1"/>
      <c r="H30" s="1"/>
      <c r="I30" s="79"/>
      <c r="J30" s="79"/>
      <c r="K30" s="79"/>
      <c r="L30" s="6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57"/>
      <c r="B31" s="47" t="s">
        <v>25</v>
      </c>
      <c r="C31" s="69" t="s">
        <v>20</v>
      </c>
      <c r="D31" s="70" t="s">
        <v>20</v>
      </c>
      <c r="E31" s="71" t="s">
        <v>20</v>
      </c>
      <c r="F31" s="46">
        <f t="array" ref="F31">IF(AND(C31="Fait",D31="Envoyé",E31="Envoyé"),"Complété",INDEX(BD!$P$17:P$22,MATCH(C31,BD!$O$17:$O$22,0))+IF(AND(C31="Fait",D31="Envoyé"),0.2,0))</f>
        <v>0</v>
      </c>
      <c r="G31" s="1"/>
      <c r="H31" s="1"/>
      <c r="I31" s="79"/>
      <c r="J31" s="79"/>
      <c r="K31" s="79"/>
      <c r="L31" s="6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57"/>
      <c r="B32" s="47" t="s">
        <v>26</v>
      </c>
      <c r="C32" s="69" t="s">
        <v>20</v>
      </c>
      <c r="D32" s="70" t="s">
        <v>20</v>
      </c>
      <c r="E32" s="71" t="s">
        <v>20</v>
      </c>
      <c r="F32" s="46">
        <f t="array" ref="F32">IF(AND(C32="Fait",D32="Envoyé",E32="Envoyé"),"Complété",INDEX(BD!$P$17:P$22,MATCH(C32,BD!$O$17:$O$22,0))+IF(AND(C32="Fait",D32="Envoyé"),0.2,0))</f>
        <v>0</v>
      </c>
      <c r="G32" s="1"/>
      <c r="H32" s="1"/>
      <c r="I32" s="79"/>
      <c r="J32" s="79"/>
      <c r="K32" s="79"/>
      <c r="L32" s="6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57"/>
      <c r="B33" s="47" t="s">
        <v>27</v>
      </c>
      <c r="C33" s="69" t="s">
        <v>20</v>
      </c>
      <c r="D33" s="70" t="s">
        <v>20</v>
      </c>
      <c r="E33" s="71" t="s">
        <v>20</v>
      </c>
      <c r="F33" s="46">
        <f t="array" ref="F33">IF(AND(C33="Fait",D33="Envoyé",E33="Envoyé"),"Complété",INDEX(BD!$P$17:P$22,MATCH(C33,BD!$O$17:$O$22,0))+IF(AND(C33="Fait",D33="Envoyé"),0.2,0))</f>
        <v>0</v>
      </c>
      <c r="G33" s="1"/>
      <c r="H33" s="1"/>
      <c r="I33" s="79"/>
      <c r="J33" s="79"/>
      <c r="K33" s="79"/>
      <c r="L33" s="6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57"/>
      <c r="B34" s="47" t="s">
        <v>28</v>
      </c>
      <c r="C34" s="69" t="s">
        <v>20</v>
      </c>
      <c r="D34" s="70" t="s">
        <v>20</v>
      </c>
      <c r="E34" s="71" t="s">
        <v>20</v>
      </c>
      <c r="F34" s="46">
        <f t="array" ref="F34">IF(AND(C34="Fait",D34="Envoyé",E34="Envoyé"),"Complété",INDEX(BD!$P$17:P$22,MATCH(C34,BD!$O$17:$O$22,0))+IF(AND(C34="Fait",D34="Envoyé"),0.2,0))</f>
        <v>0</v>
      </c>
      <c r="G34" s="1"/>
      <c r="H34" s="1"/>
      <c r="I34" s="79"/>
      <c r="J34" s="79"/>
      <c r="K34" s="79"/>
      <c r="L34" s="6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57"/>
      <c r="B35" s="47" t="s">
        <v>29</v>
      </c>
      <c r="C35" s="69" t="s">
        <v>20</v>
      </c>
      <c r="D35" s="70" t="s">
        <v>20</v>
      </c>
      <c r="E35" s="71" t="s">
        <v>20</v>
      </c>
      <c r="F35" s="46">
        <f t="array" ref="F35">IF(AND(C35="Fait",D35="Envoyé",E35="Envoyé"),"Complété",INDEX(BD!$P$17:P$22,MATCH(C35,BD!$O$17:$O$22,0))+IF(AND(C35="Fait",D35="Envoyé"),0.2,0))</f>
        <v>0</v>
      </c>
      <c r="G35" s="1"/>
      <c r="H35" s="1"/>
      <c r="I35" s="79"/>
      <c r="J35" s="79"/>
      <c r="K35" s="79"/>
      <c r="L35" s="6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57"/>
      <c r="B36" s="47" t="s">
        <v>30</v>
      </c>
      <c r="C36" s="69" t="s">
        <v>20</v>
      </c>
      <c r="D36" s="70" t="s">
        <v>20</v>
      </c>
      <c r="E36" s="71" t="s">
        <v>20</v>
      </c>
      <c r="F36" s="46">
        <f t="array" ref="F36">IF(AND(C36="Fait",D36="Envoyé",E36="Envoyé"),"Complété",INDEX(BD!$P$17:P$22,MATCH(C36,BD!$O$17:$O$22,0))+IF(AND(C36="Fait",D36="Envoyé"),0.2,0))</f>
        <v>0</v>
      </c>
      <c r="G36" s="1"/>
      <c r="H36" s="1"/>
      <c r="I36" s="79"/>
      <c r="J36" s="79"/>
      <c r="K36" s="79"/>
      <c r="L36" s="6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57"/>
      <c r="B37" s="49" t="s">
        <v>31</v>
      </c>
      <c r="C37" s="80" t="s">
        <v>20</v>
      </c>
      <c r="D37" s="81" t="s">
        <v>20</v>
      </c>
      <c r="E37" s="82" t="s">
        <v>20</v>
      </c>
      <c r="F37" s="56">
        <f t="array" ref="F37">IF(AND(C37="Fait",D37="Envoyé",E37="Envoyé"),"Complété",INDEX(BD!$P$17:P$22,MATCH(C37,BD!$O$17:$O$22,0))+IF(AND(C37="Fait",D37="Envoyé"),0.2,0))</f>
        <v>0</v>
      </c>
      <c r="G37" s="1"/>
      <c r="H37" s="1"/>
      <c r="I37" s="79"/>
      <c r="J37" s="79"/>
      <c r="K37" s="79"/>
      <c r="L37" s="6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9:F9"/>
    <mergeCell ref="B24:F24"/>
    <mergeCell ref="H24:M24"/>
    <mergeCell ref="P2:T5"/>
    <mergeCell ref="C3:N3"/>
    <mergeCell ref="C4:N7"/>
    <mergeCell ref="P6:R7"/>
    <mergeCell ref="S6:T7"/>
    <mergeCell ref="H9:N9"/>
    <mergeCell ref="P9:T9"/>
  </mergeCells>
  <conditionalFormatting sqref="F11:F22">
    <cfRule type="containsText" dxfId="0" priority="1" operator="containsText" text="Complété">
      <formula>NOT(ISERROR(SEARCH(("Complété"),(F11))))</formula>
    </cfRule>
  </conditionalFormatting>
  <conditionalFormatting sqref="F11:F22">
    <cfRule type="colorScale" priority="2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F26:F37">
    <cfRule type="containsText" dxfId="0" priority="3" operator="containsText" text="Complété">
      <formula>NOT(ISERROR(SEARCH(("Complété"),(F26))))</formula>
    </cfRule>
  </conditionalFormatting>
  <conditionalFormatting sqref="F26:F37">
    <cfRule type="colorScale" priority="4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I26:I29">
    <cfRule type="containsText" dxfId="1" priority="5" operator="containsText" text="Pas prêt">
      <formula>NOT(ISERROR(SEARCH(("Pas prêt"),(I26))))</formula>
    </cfRule>
  </conditionalFormatting>
  <conditionalFormatting sqref="I26:I29">
    <cfRule type="containsText" dxfId="2" priority="6" operator="containsText" text="Prêt">
      <formula>NOT(ISERROR(SEARCH(("Prêt"),(I26))))</formula>
    </cfRule>
  </conditionalFormatting>
  <conditionalFormatting sqref="L30:L37">
    <cfRule type="containsText" dxfId="0" priority="7" operator="containsText" text="Complété">
      <formula>NOT(ISERROR(SEARCH(("Complété"),(L30))))</formula>
    </cfRule>
  </conditionalFormatting>
  <conditionalFormatting sqref="L30:L37">
    <cfRule type="colorScale" priority="8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M26:M29">
    <cfRule type="containsText" dxfId="0" priority="9" operator="containsText" text="Complété">
      <formula>NOT(ISERROR(SEARCH(("Complété"),(M26))))</formula>
    </cfRule>
  </conditionalFormatting>
  <conditionalFormatting sqref="M26:M29">
    <cfRule type="colorScale" priority="10">
      <colorScale>
        <cfvo type="formula" val="0"/>
        <cfvo type="formula" val="0"/>
        <cfvo type="formula" val="1"/>
        <color rgb="FFF8696B"/>
        <color rgb="FFFFEB84"/>
        <color rgb="FF63BE7B"/>
      </colorScale>
    </cfRule>
  </conditionalFormatting>
  <conditionalFormatting sqref="N11:N22">
    <cfRule type="containsText" dxfId="0" priority="11" operator="containsText" text="Complété">
      <formula>NOT(ISERROR(SEARCH(("Complété"),(N11))))</formula>
    </cfRule>
  </conditionalFormatting>
  <conditionalFormatting sqref="N11:N22">
    <cfRule type="colorScale" priority="12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P26">
    <cfRule type="containsText" dxfId="0" priority="13" operator="containsText" text="Complèté">
      <formula>NOT(ISERROR(SEARCH(("Complèté"),(P26))))</formula>
    </cfRule>
  </conditionalFormatting>
  <conditionalFormatting sqref="P26">
    <cfRule type="colorScale" priority="14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conditionalFormatting sqref="T11:T22">
    <cfRule type="containsText" dxfId="0" priority="15" operator="containsText" text="Complété">
      <formula>NOT(ISERROR(SEARCH(("Complété"),(T11))))</formula>
    </cfRule>
  </conditionalFormatting>
  <conditionalFormatting sqref="T11:T22">
    <cfRule type="colorScale" priority="16">
      <colorScale>
        <cfvo type="formula" val="0"/>
        <cfvo type="percentile" val="0.5"/>
        <cfvo type="formula" val="1"/>
        <color rgb="FFF8696B"/>
        <color rgb="FFFFEB84"/>
        <color rgb="FF63BE7B"/>
      </colorScale>
    </cfRule>
  </conditionalFormatting>
  <dataValidations>
    <dataValidation type="list" allowBlank="1" showErrorMessage="1" sqref="J26:L26 D26:E37">
      <formula1>BD!$B$13:$B$14</formula1>
    </dataValidation>
    <dataValidation type="list" allowBlank="1" showErrorMessage="1" sqref="C11:D22 Q11:R22 J27:L29 C26:C37 J30:J37">
      <formula1>BD!$B$4:$B$9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17" width="15.71"/>
    <col customWidth="1" min="18" max="26" width="10.71"/>
  </cols>
  <sheetData>
    <row r="2">
      <c r="F2" s="79" t="s">
        <v>6</v>
      </c>
    </row>
    <row r="3">
      <c r="B3" s="83" t="s">
        <v>42</v>
      </c>
      <c r="C3" s="84" t="s">
        <v>43</v>
      </c>
      <c r="F3" s="1"/>
      <c r="G3" s="85" t="s">
        <v>20</v>
      </c>
      <c r="H3" s="85" t="s">
        <v>44</v>
      </c>
      <c r="I3" s="85" t="s">
        <v>45</v>
      </c>
      <c r="J3" s="85" t="s">
        <v>46</v>
      </c>
      <c r="K3" s="85" t="s">
        <v>47</v>
      </c>
      <c r="L3" s="85" t="s">
        <v>48</v>
      </c>
      <c r="N3" s="1"/>
      <c r="O3" s="1"/>
      <c r="P3" s="85"/>
      <c r="Q3" s="86"/>
    </row>
    <row r="4">
      <c r="B4" s="87" t="s">
        <v>20</v>
      </c>
      <c r="C4" s="84" t="s">
        <v>49</v>
      </c>
      <c r="D4" s="84">
        <v>0.1</v>
      </c>
      <c r="F4" s="88" t="s">
        <v>20</v>
      </c>
      <c r="G4" s="88">
        <v>0.0</v>
      </c>
      <c r="H4" s="88">
        <v>0.3</v>
      </c>
      <c r="I4" s="88">
        <v>0.25</v>
      </c>
      <c r="J4" s="88">
        <v>0.2</v>
      </c>
      <c r="K4" s="88">
        <v>0.4</v>
      </c>
      <c r="L4" s="88">
        <v>0.5</v>
      </c>
      <c r="N4" s="88"/>
      <c r="O4" s="88"/>
      <c r="P4" s="88"/>
      <c r="Q4" s="88"/>
    </row>
    <row r="5">
      <c r="B5" s="89" t="s">
        <v>44</v>
      </c>
      <c r="C5" s="84" t="s">
        <v>50</v>
      </c>
      <c r="D5" s="84">
        <v>0.0</v>
      </c>
      <c r="F5" s="88" t="s">
        <v>44</v>
      </c>
      <c r="G5" s="88">
        <v>0.3</v>
      </c>
      <c r="H5" s="88">
        <v>0.35</v>
      </c>
      <c r="I5" s="88">
        <v>0.3</v>
      </c>
      <c r="J5" s="88">
        <v>0.4</v>
      </c>
      <c r="K5" s="88">
        <v>0.45</v>
      </c>
      <c r="L5" s="88">
        <v>0.6</v>
      </c>
      <c r="N5" s="88"/>
      <c r="O5" s="88"/>
      <c r="P5" s="88"/>
    </row>
    <row r="6">
      <c r="B6" s="89" t="s">
        <v>45</v>
      </c>
      <c r="F6" s="88" t="s">
        <v>45</v>
      </c>
      <c r="G6" s="88">
        <v>0.25</v>
      </c>
      <c r="H6" s="88">
        <v>0.3</v>
      </c>
      <c r="I6" s="88">
        <v>0.27</v>
      </c>
      <c r="J6" s="88">
        <v>0.3</v>
      </c>
      <c r="K6" s="88">
        <v>0.42</v>
      </c>
      <c r="L6" s="88">
        <v>0.55</v>
      </c>
      <c r="N6" s="88"/>
      <c r="O6" s="88"/>
      <c r="P6" s="88"/>
    </row>
    <row r="7">
      <c r="B7" s="89" t="s">
        <v>46</v>
      </c>
      <c r="F7" s="88" t="s">
        <v>46</v>
      </c>
      <c r="G7" s="88">
        <v>0.2</v>
      </c>
      <c r="H7" s="88">
        <v>0.25</v>
      </c>
      <c r="I7" s="88">
        <v>0.22</v>
      </c>
      <c r="J7" s="88">
        <v>0.3</v>
      </c>
      <c r="K7" s="88">
        <v>0.4</v>
      </c>
      <c r="L7" s="88">
        <v>0.5</v>
      </c>
      <c r="N7" s="88"/>
      <c r="O7" s="88"/>
      <c r="P7" s="88"/>
    </row>
    <row r="8">
      <c r="B8" s="89" t="s">
        <v>47</v>
      </c>
      <c r="F8" s="88" t="s">
        <v>47</v>
      </c>
      <c r="G8" s="88">
        <v>0.4</v>
      </c>
      <c r="H8" s="88">
        <v>0.45</v>
      </c>
      <c r="I8" s="88">
        <v>0.42</v>
      </c>
      <c r="J8" s="88">
        <v>0.4</v>
      </c>
      <c r="K8" s="88">
        <v>0.6</v>
      </c>
      <c r="L8" s="88">
        <v>0.75</v>
      </c>
      <c r="N8" s="88"/>
      <c r="O8" s="88"/>
      <c r="P8" s="88"/>
    </row>
    <row r="9">
      <c r="B9" s="90" t="s">
        <v>48</v>
      </c>
      <c r="F9" s="88" t="s">
        <v>48</v>
      </c>
      <c r="G9" s="88">
        <v>0.5</v>
      </c>
      <c r="H9" s="88">
        <v>0.6</v>
      </c>
      <c r="I9" s="88">
        <v>0.5</v>
      </c>
      <c r="J9" s="88">
        <v>0.55</v>
      </c>
      <c r="K9" s="88">
        <v>0.75</v>
      </c>
      <c r="L9" s="88">
        <v>1.0</v>
      </c>
      <c r="N9" s="88"/>
      <c r="O9" s="88"/>
      <c r="P9" s="88"/>
    </row>
    <row r="12">
      <c r="B12" s="84" t="s">
        <v>42</v>
      </c>
    </row>
    <row r="13">
      <c r="B13" s="84" t="s">
        <v>20</v>
      </c>
      <c r="C13" s="84" t="s">
        <v>19</v>
      </c>
      <c r="E13" s="84" t="s">
        <v>6</v>
      </c>
      <c r="G13" s="64" t="s">
        <v>38</v>
      </c>
    </row>
    <row r="14">
      <c r="B14" s="84" t="s">
        <v>51</v>
      </c>
      <c r="C14" s="84" t="s">
        <v>21</v>
      </c>
      <c r="E14" s="84" t="s">
        <v>52</v>
      </c>
      <c r="G14" s="72" t="s">
        <v>39</v>
      </c>
    </row>
    <row r="15">
      <c r="C15" s="84" t="s">
        <v>22</v>
      </c>
      <c r="E15" s="84" t="s">
        <v>8</v>
      </c>
      <c r="G15" s="72" t="s">
        <v>40</v>
      </c>
      <c r="P15" s="88"/>
    </row>
    <row r="16">
      <c r="C16" s="84" t="s">
        <v>23</v>
      </c>
      <c r="E16" s="84" t="s">
        <v>32</v>
      </c>
      <c r="G16" s="75" t="s">
        <v>41</v>
      </c>
      <c r="O16" s="85"/>
      <c r="P16" s="85" t="s">
        <v>20</v>
      </c>
      <c r="Q16" s="85" t="s">
        <v>51</v>
      </c>
      <c r="R16" s="91"/>
      <c r="S16" s="91"/>
    </row>
    <row r="17">
      <c r="C17" s="84" t="s">
        <v>24</v>
      </c>
      <c r="E17" s="84" t="s">
        <v>33</v>
      </c>
      <c r="O17" s="85" t="s">
        <v>20</v>
      </c>
      <c r="P17" s="88">
        <v>0.0</v>
      </c>
      <c r="Q17" s="88">
        <v>0.15</v>
      </c>
      <c r="R17" s="92"/>
      <c r="S17" s="92"/>
    </row>
    <row r="18">
      <c r="B18" s="84" t="s">
        <v>53</v>
      </c>
      <c r="C18" s="84" t="s">
        <v>25</v>
      </c>
      <c r="O18" s="85" t="s">
        <v>44</v>
      </c>
      <c r="P18" s="88">
        <v>0.2</v>
      </c>
      <c r="Q18" s="88">
        <v>0.25</v>
      </c>
      <c r="R18" s="92"/>
      <c r="S18" s="92"/>
    </row>
    <row r="19">
      <c r="B19" s="84" t="s">
        <v>54</v>
      </c>
      <c r="C19" s="84" t="s">
        <v>26</v>
      </c>
      <c r="O19" s="85" t="s">
        <v>45</v>
      </c>
      <c r="P19" s="88">
        <v>0.3</v>
      </c>
      <c r="Q19" s="88">
        <v>0.35</v>
      </c>
      <c r="R19" s="92"/>
      <c r="S19" s="92"/>
    </row>
    <row r="20">
      <c r="C20" s="84" t="s">
        <v>27</v>
      </c>
      <c r="O20" s="85" t="s">
        <v>46</v>
      </c>
      <c r="P20" s="88">
        <v>0.4</v>
      </c>
      <c r="Q20" s="88">
        <v>0.45</v>
      </c>
      <c r="R20" s="92"/>
      <c r="S20" s="92"/>
    </row>
    <row r="21" ht="15.75" customHeight="1">
      <c r="C21" s="84" t="s">
        <v>28</v>
      </c>
      <c r="O21" s="85" t="s">
        <v>47</v>
      </c>
      <c r="P21" s="88">
        <v>0.5</v>
      </c>
      <c r="Q21" s="88">
        <v>0.55</v>
      </c>
      <c r="R21" s="92"/>
      <c r="S21" s="92"/>
    </row>
    <row r="22" ht="15.75" customHeight="1">
      <c r="C22" s="84" t="s">
        <v>29</v>
      </c>
      <c r="O22" s="85" t="s">
        <v>48</v>
      </c>
      <c r="P22" s="88">
        <v>0.6</v>
      </c>
      <c r="Q22" s="88">
        <v>0.65</v>
      </c>
      <c r="R22" s="92"/>
      <c r="S22" s="92"/>
    </row>
    <row r="23" ht="15.75" customHeight="1">
      <c r="C23" s="84" t="s">
        <v>30</v>
      </c>
    </row>
    <row r="24" ht="15.75" customHeight="1">
      <c r="C24" s="84" t="s">
        <v>31</v>
      </c>
    </row>
    <row r="25" ht="15.75" customHeight="1">
      <c r="P25" s="93" t="s">
        <v>53</v>
      </c>
      <c r="Q25" s="94" t="s">
        <v>51</v>
      </c>
    </row>
    <row r="26" ht="15.75" customHeight="1">
      <c r="O26" s="95" t="s">
        <v>20</v>
      </c>
      <c r="P26" s="96">
        <v>0.1</v>
      </c>
      <c r="Q26" s="97">
        <v>0.15</v>
      </c>
    </row>
    <row r="27" ht="15.75" customHeight="1">
      <c r="O27" s="95" t="s">
        <v>44</v>
      </c>
      <c r="P27" s="96">
        <v>0.2</v>
      </c>
      <c r="Q27" s="97">
        <v>0.25</v>
      </c>
    </row>
    <row r="28" ht="15.75" customHeight="1">
      <c r="O28" s="95" t="s">
        <v>45</v>
      </c>
      <c r="P28" s="96">
        <v>0.3</v>
      </c>
      <c r="Q28" s="97">
        <v>0.35</v>
      </c>
    </row>
    <row r="29" ht="15.75" customHeight="1">
      <c r="O29" s="95" t="s">
        <v>46</v>
      </c>
      <c r="P29" s="96">
        <v>0.4</v>
      </c>
      <c r="Q29" s="97">
        <v>0.45</v>
      </c>
    </row>
    <row r="30" ht="15.75" customHeight="1">
      <c r="O30" s="95" t="s">
        <v>47</v>
      </c>
      <c r="P30" s="96">
        <v>0.5</v>
      </c>
      <c r="Q30" s="97">
        <v>0.55</v>
      </c>
    </row>
    <row r="31" ht="15.75" customHeight="1">
      <c r="O31" s="95" t="s">
        <v>48</v>
      </c>
      <c r="P31" s="96">
        <v>0.6</v>
      </c>
      <c r="Q31" s="97">
        <v>0.65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2:L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2023-08-16T17:38:37Z</dcterms:created>
  <dc:creator>Cindy Desjardins</dc:creator>
</cp:coreProperties>
</file>