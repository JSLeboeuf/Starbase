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flacroix\AppData\Local\Microsoft\Windows\INetCache\Content.Outlook\H9QLB923\"/>
    </mc:Choice>
  </mc:AlternateContent>
  <xr:revisionPtr revIDLastSave="0" documentId="13_ncr:1_{1F7C375D-6516-46BE-8AA9-234748C282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alorisation" sheetId="11" r:id="rId1"/>
  </sheets>
  <definedNames>
    <definedName name="_Order1" hidden="1">255</definedName>
    <definedName name="_Order2" hidden="1">255</definedName>
    <definedName name="Print_Area" localSheetId="0">Valorisation!$A$1:$J$31</definedName>
    <definedName name="_xlnm.Print_Area" localSheetId="0">Valorisation!$A$1:$J$57</definedName>
    <definedName name="Zone_impres_M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0" i="11" l="1"/>
  <c r="H50" i="11"/>
  <c r="H44" i="11"/>
  <c r="H42" i="11"/>
  <c r="H46" i="11" s="1"/>
  <c r="H51" i="11" s="1"/>
  <c r="F50" i="11"/>
  <c r="F44" i="11"/>
  <c r="F42" i="11"/>
  <c r="F46" i="11" s="1"/>
  <c r="F51" i="11" s="1"/>
  <c r="J24" i="11" l="1"/>
  <c r="H15" i="11"/>
  <c r="H22" i="11" s="1"/>
  <c r="H26" i="11" s="1"/>
  <c r="F15" i="11"/>
  <c r="F22" i="11" s="1"/>
  <c r="F26" i="11" s="1"/>
  <c r="E15" i="11"/>
  <c r="E22" i="11" s="1"/>
  <c r="E26" i="11" s="1"/>
  <c r="D44" i="11"/>
  <c r="D42" i="11" l="1"/>
  <c r="D46" i="11" s="1"/>
  <c r="D51" i="11" s="1"/>
  <c r="D15" i="11" l="1"/>
  <c r="D22" i="11" s="1"/>
  <c r="G15" i="11"/>
  <c r="G22" i="11" l="1"/>
  <c r="G26" i="11" s="1"/>
  <c r="D26" i="11"/>
  <c r="J26" i="11" l="1"/>
  <c r="J28" i="11" s="1"/>
  <c r="H35" i="11" s="1"/>
  <c r="H48" i="11" s="1"/>
  <c r="H54" i="11" s="1"/>
  <c r="H56" i="11" s="1"/>
  <c r="D35" i="11" l="1"/>
  <c r="D48" i="11" s="1"/>
  <c r="D54" i="11" s="1"/>
  <c r="D56" i="11" s="1"/>
  <c r="F35" i="11"/>
  <c r="F48" i="11" s="1"/>
  <c r="F54" i="11" s="1"/>
  <c r="F56" i="11" s="1"/>
</calcChain>
</file>

<file path=xl/sharedStrings.xml><?xml version="1.0" encoding="utf-8"?>
<sst xmlns="http://schemas.openxmlformats.org/spreadsheetml/2006/main" count="43" uniqueCount="36">
  <si>
    <t>X</t>
  </si>
  <si>
    <t>Projet #1 pour discussion</t>
  </si>
  <si>
    <t>Évaluation selon la capitalisation des bénéfices représentatifs</t>
  </si>
  <si>
    <t>PONDÉRATION</t>
  </si>
  <si>
    <t>MULTIPLE</t>
  </si>
  <si>
    <t>AJUSTEMENTS AUX PROFITS</t>
  </si>
  <si>
    <t>BAIIA REPRÉSENTATIF</t>
  </si>
  <si>
    <t>BAIIA REPRÉSENTATIF PONDÉRÉ</t>
  </si>
  <si>
    <t>BÉNÉFICES AVANT IMPÔTS</t>
  </si>
  <si>
    <t>AMORTISSEMENT</t>
  </si>
  <si>
    <t>BAIIA</t>
  </si>
  <si>
    <t>PLUS :</t>
  </si>
  <si>
    <t>VALORISATION ENTREPRISE *</t>
  </si>
  <si>
    <t>VALEUR DE LA SOCIÉTÉ (ACTIONS)</t>
  </si>
  <si>
    <t>VALORISATION ARRONDIE SOCIÉTÉ (ACTIONS)</t>
  </si>
  <si>
    <t>VALORISATION ENTREPRISE</t>
  </si>
  <si>
    <t>MOINS : DETTE LONG TERME</t>
  </si>
  <si>
    <t>MOYENNE</t>
  </si>
  <si>
    <t>CHIFFRE D'AFFAIRE 2023</t>
  </si>
  <si>
    <t>CHIFFRE D'AFFAIRE 2022</t>
  </si>
  <si>
    <t>FONDS DE ROULEMENT CIBLE</t>
  </si>
  <si>
    <t>MOINS : FONDS DE ROULEMENT CIBLE</t>
  </si>
  <si>
    <t>% DU FONDS DE ROULEMENT CIBLE (1/12)</t>
  </si>
  <si>
    <t>CETTE VALEUR CONSIDÈRE UN FONDS DE ROULEMENT ÉQUIVALENT À 1/12 DU CHIFFRE D'AFFAIRES MOYEN, AUCUN ACTIF SUPERFLU ET AUCUNE DETTE À LONG TERME À LA CLÔTURE</t>
  </si>
  <si>
    <t>CLINIQUE VÉTÉRINAIRE DE VALLEYFIELD INC.</t>
  </si>
  <si>
    <t>VALORISATION DE LA SOCIÉTÉ AU 31 DÉCEMBRE 2023</t>
  </si>
  <si>
    <t>INTÉRÊTS SUR LA DETTE LONG TERME</t>
  </si>
  <si>
    <t>AIDES GOUVERNEMENTALES</t>
  </si>
  <si>
    <t>REVENUS D'INTÉRÊTS</t>
  </si>
  <si>
    <t>Seulement le CUEC comme prêt à travers les années, donc N/A</t>
  </si>
  <si>
    <t>À questionner, présence de subventions salariales entre 2020 et 2022 (présenté au net des salaires peut-être, sans mention)? Actuellement seul ajustement de subventions = pardonnable 10k$ de CUEC (ils ont seulement pris le 40k$ et non le 60k$)</t>
  </si>
  <si>
    <t>Uniquement 67,5k$ de salaire pour l'année 2024 pour M. Grenier, ne représente pas la JVM du salaire d'un vétérinaire. 100k$ de plus de salaire, au jugement</t>
  </si>
  <si>
    <t>Moyenne sur 2 ans</t>
  </si>
  <si>
    <t>Remboursement complet du CUEC déjà fait, aucune autre dettes</t>
  </si>
  <si>
    <t>PLUS : FONDS DE ROULEMENT RÉEL (31 DÉC. 2023)</t>
  </si>
  <si>
    <t>SALAIRE DE L'ADMINISTRATEUR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</si>
</sst>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$&quot;_);[Red]\(#,##0.00\ &quot;$&quot;\)"/>
    <numFmt numFmtId="43" formatCode="_ * #,##0.00_)_ ;_ * \(#,##0.00\)_ ;_ * &quot;-&quot;??_)_ ;_ @_ "/>
    <numFmt numFmtId="164" formatCode="_ * #,##0.00_)\ _$_ ;_ * \(#,##0.00\)\ _$_ ;_ * &quot;-&quot;??_)\ _$_ ;_ @_ "/>
    <numFmt numFmtId="165" formatCode="_ * #,##0_)\ _$_ ;_ * \(#,##0\)\ _$_ ;_ * &quot;-&quot;??_)\ _$_ ;_ @_ 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2"/>
      <color indexed="9"/>
      <name val="Arial"/>
      <family val="2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12"/>
      <color indexed="9"/>
      <name val="Arial"/>
      <family val="2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0.5"/>
      <color rgb="FF0000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164" fontId="0" fillId="0" borderId="0" xfId="1" applyFont="1" applyAlignment="1">
      <alignment horizontal="center"/>
    </xf>
    <xf numFmtId="0" fontId="0" fillId="0" borderId="0" xfId="0" applyAlignment="1">
      <alignment horizontal="left" indent="1"/>
    </xf>
    <xf numFmtId="4" fontId="0" fillId="0" borderId="0" xfId="0" applyNumberFormat="1"/>
    <xf numFmtId="4" fontId="0" fillId="0" borderId="0" xfId="0" applyNumberFormat="1" applyAlignment="1">
      <alignment horizontal="center"/>
    </xf>
    <xf numFmtId="0" fontId="5" fillId="0" borderId="0" xfId="0" applyFont="1"/>
    <xf numFmtId="165" fontId="1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165" fontId="1" fillId="0" borderId="3" xfId="1" applyNumberFormat="1" applyFont="1" applyBorder="1" applyAlignment="1">
      <alignment horizontal="center"/>
    </xf>
    <xf numFmtId="165" fontId="0" fillId="0" borderId="0" xfId="1" applyNumberFormat="1" applyFont="1"/>
    <xf numFmtId="4" fontId="2" fillId="0" borderId="0" xfId="0" applyNumberFormat="1" applyFont="1" applyAlignment="1">
      <alignment horizontal="center" wrapText="1"/>
    </xf>
    <xf numFmtId="165" fontId="2" fillId="0" borderId="0" xfId="1" applyNumberFormat="1" applyFont="1" applyBorder="1"/>
    <xf numFmtId="0" fontId="2" fillId="0" borderId="0" xfId="0" applyFont="1" applyAlignment="1">
      <alignment horizontal="right"/>
    </xf>
    <xf numFmtId="165" fontId="2" fillId="0" borderId="0" xfId="1" applyNumberFormat="1" applyFont="1"/>
    <xf numFmtId="0" fontId="7" fillId="0" borderId="0" xfId="0" applyFont="1" applyAlignment="1">
      <alignment horizontal="center"/>
    </xf>
    <xf numFmtId="0" fontId="6" fillId="0" borderId="0" xfId="0" applyFont="1"/>
    <xf numFmtId="165" fontId="6" fillId="0" borderId="3" xfId="1" applyNumberFormat="1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 indent="4"/>
    </xf>
    <xf numFmtId="0" fontId="2" fillId="0" borderId="0" xfId="0" applyFont="1" applyAlignment="1">
      <alignment horizontal="left"/>
    </xf>
    <xf numFmtId="164" fontId="2" fillId="0" borderId="3" xfId="1" applyFont="1" applyBorder="1" applyAlignment="1">
      <alignment horizontal="right"/>
    </xf>
    <xf numFmtId="10" fontId="2" fillId="0" borderId="0" xfId="2" applyNumberFormat="1" applyFont="1" applyAlignment="1">
      <alignment horizontal="center"/>
    </xf>
    <xf numFmtId="0" fontId="9" fillId="0" borderId="0" xfId="0" applyFont="1"/>
    <xf numFmtId="8" fontId="0" fillId="0" borderId="0" xfId="0" applyNumberFormat="1"/>
    <xf numFmtId="165" fontId="0" fillId="0" borderId="0" xfId="1" applyNumberFormat="1" applyFont="1" applyFill="1" applyBorder="1" applyAlignment="1">
      <alignment horizontal="right"/>
    </xf>
    <xf numFmtId="165" fontId="0" fillId="0" borderId="0" xfId="0" applyNumberFormat="1"/>
    <xf numFmtId="0" fontId="2" fillId="0" borderId="0" xfId="0" applyFont="1"/>
    <xf numFmtId="165" fontId="0" fillId="0" borderId="3" xfId="1" applyNumberFormat="1" applyFont="1" applyBorder="1" applyAlignment="1">
      <alignment horizontal="center"/>
    </xf>
    <xf numFmtId="165" fontId="2" fillId="0" borderId="0" xfId="1" applyNumberFormat="1" applyFont="1" applyAlignment="1">
      <alignment horizontal="right"/>
    </xf>
    <xf numFmtId="0" fontId="3" fillId="0" borderId="0" xfId="0" applyFont="1" applyAlignment="1">
      <alignment horizontal="left"/>
    </xf>
    <xf numFmtId="165" fontId="0" fillId="0" borderId="3" xfId="0" applyNumberFormat="1" applyBorder="1"/>
    <xf numFmtId="10" fontId="1" fillId="0" borderId="3" xfId="2" applyNumberFormat="1" applyFont="1" applyBorder="1" applyAlignment="1">
      <alignment horizontal="center"/>
    </xf>
    <xf numFmtId="0" fontId="4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right" indent="1"/>
    </xf>
    <xf numFmtId="15" fontId="8" fillId="2" borderId="1" xfId="0" applyNumberFormat="1" applyFont="1" applyFill="1" applyBorder="1" applyAlignment="1">
      <alignment horizontal="left"/>
    </xf>
    <xf numFmtId="0" fontId="8" fillId="2" borderId="2" xfId="0" quotePrefix="1" applyFont="1" applyFill="1" applyBorder="1"/>
    <xf numFmtId="0" fontId="4" fillId="2" borderId="0" xfId="0" applyFont="1" applyFill="1" applyAlignment="1">
      <alignment horizontal="right" indent="1"/>
    </xf>
    <xf numFmtId="164" fontId="2" fillId="0" borderId="0" xfId="1" applyFont="1" applyBorder="1" applyAlignment="1">
      <alignment horizontal="right"/>
    </xf>
    <xf numFmtId="10" fontId="1" fillId="0" borderId="0" xfId="2" applyNumberFormat="1" applyFont="1" applyBorder="1" applyAlignment="1">
      <alignment horizontal="center"/>
    </xf>
    <xf numFmtId="165" fontId="1" fillId="0" borderId="0" xfId="1" applyNumberFormat="1" applyFont="1" applyFill="1" applyAlignment="1">
      <alignment horizontal="center"/>
    </xf>
    <xf numFmtId="165" fontId="0" fillId="0" borderId="0" xfId="1" applyNumberFormat="1" applyFont="1" applyFill="1" applyAlignment="1">
      <alignment horizontal="center"/>
    </xf>
    <xf numFmtId="0" fontId="11" fillId="0" borderId="0" xfId="0" applyFont="1"/>
    <xf numFmtId="0" fontId="2" fillId="3" borderId="0" xfId="0" applyFont="1" applyFill="1" applyAlignment="1">
      <alignment horizontal="left"/>
    </xf>
    <xf numFmtId="0" fontId="2" fillId="3" borderId="0" xfId="0" applyFont="1" applyFill="1"/>
    <xf numFmtId="165" fontId="2" fillId="3" borderId="4" xfId="0" applyNumberFormat="1" applyFont="1" applyFill="1" applyBorder="1"/>
    <xf numFmtId="165" fontId="2" fillId="3" borderId="0" xfId="0" applyNumberFormat="1" applyFont="1" applyFill="1"/>
    <xf numFmtId="0" fontId="10" fillId="0" borderId="0" xfId="0" applyFont="1" applyAlignment="1">
      <alignment horizontal="justify" vertical="top" wrapText="1"/>
    </xf>
    <xf numFmtId="0" fontId="12" fillId="0" borderId="0" xfId="0" applyFont="1" applyAlignment="1">
      <alignment horizontal="left" vertical="center" wrapText="1"/>
    </xf>
  </cellXfs>
  <cellStyles count="4">
    <cellStyle name="Milliers" xfId="1" builtinId="3"/>
    <cellStyle name="Milliers 2" xfId="3" xr:uid="{5C7C16F0-9F1B-4971-A2BA-F8598ADF8321}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977348</xdr:colOff>
      <xdr:row>28</xdr:row>
      <xdr:rowOff>16565</xdr:rowOff>
    </xdr:from>
    <xdr:to>
      <xdr:col>9</xdr:col>
      <xdr:colOff>405848</xdr:colOff>
      <xdr:row>31</xdr:row>
      <xdr:rowOff>74544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A98C5DAD-C13B-E827-EE28-A857D5D7535B}"/>
            </a:ext>
          </a:extLst>
        </xdr:cNvPr>
        <xdr:cNvCxnSpPr/>
      </xdr:nvCxnSpPr>
      <xdr:spPr>
        <a:xfrm flipH="1">
          <a:off x="4745935" y="6410739"/>
          <a:ext cx="2675283" cy="538370"/>
        </a:xfrm>
        <a:prstGeom prst="straightConnector1">
          <a:avLst/>
        </a:prstGeom>
        <a:ln>
          <a:solidFill>
            <a:schemeClr val="bg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28</xdr:row>
      <xdr:rowOff>19464</xdr:rowOff>
    </xdr:from>
    <xdr:to>
      <xdr:col>9</xdr:col>
      <xdr:colOff>393010</xdr:colOff>
      <xdr:row>31</xdr:row>
      <xdr:rowOff>47625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A45880DD-2839-48BC-AE00-E51B2135A4C8}"/>
            </a:ext>
          </a:extLst>
        </xdr:cNvPr>
        <xdr:cNvCxnSpPr/>
      </xdr:nvCxnSpPr>
      <xdr:spPr>
        <a:xfrm flipH="1">
          <a:off x="6972300" y="4962939"/>
          <a:ext cx="2536135" cy="504411"/>
        </a:xfrm>
        <a:prstGeom prst="straightConnector1">
          <a:avLst/>
        </a:prstGeom>
        <a:ln>
          <a:solidFill>
            <a:schemeClr val="bg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790575</xdr:colOff>
      <xdr:row>28</xdr:row>
      <xdr:rowOff>19464</xdr:rowOff>
    </xdr:from>
    <xdr:to>
      <xdr:col>9</xdr:col>
      <xdr:colOff>393010</xdr:colOff>
      <xdr:row>31</xdr:row>
      <xdr:rowOff>38100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FF991D58-BF70-4B0A-872E-9F83ADE85E2B}"/>
            </a:ext>
          </a:extLst>
        </xdr:cNvPr>
        <xdr:cNvCxnSpPr/>
      </xdr:nvCxnSpPr>
      <xdr:spPr>
        <a:xfrm flipH="1">
          <a:off x="8782050" y="4962939"/>
          <a:ext cx="726385" cy="494886"/>
        </a:xfrm>
        <a:prstGeom prst="straightConnector1">
          <a:avLst/>
        </a:prstGeom>
        <a:ln>
          <a:solidFill>
            <a:schemeClr val="bg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Ringuette et Associés">
  <a:themeElements>
    <a:clrScheme name="Ringuette et Associés">
      <a:dk1>
        <a:sysClr val="windowText" lastClr="000000"/>
      </a:dk1>
      <a:lt1>
        <a:srgbClr val="BFBFBF"/>
      </a:lt1>
      <a:dk2>
        <a:srgbClr val="9FC4E9"/>
      </a:dk2>
      <a:lt2>
        <a:srgbClr val="24629F"/>
      </a:lt2>
      <a:accent1>
        <a:srgbClr val="84E084"/>
      </a:accent1>
      <a:accent2>
        <a:srgbClr val="FEC1A3"/>
      </a:accent2>
      <a:accent3>
        <a:srgbClr val="FD94FE"/>
      </a:accent3>
      <a:accent4>
        <a:srgbClr val="C184FE"/>
      </a:accent4>
      <a:accent5>
        <a:srgbClr val="FFFF66"/>
      </a:accent5>
      <a:accent6>
        <a:srgbClr val="3CB679"/>
      </a:accent6>
      <a:hlink>
        <a:srgbClr val="0000FF"/>
      </a:hlink>
      <a:folHlink>
        <a:srgbClr val="0000F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A3885-BC33-42CD-934A-BF25CEDFECAB}">
  <sheetPr>
    <pageSetUpPr fitToPage="1"/>
  </sheetPr>
  <dimension ref="A1:S62"/>
  <sheetViews>
    <sheetView showGridLines="0" tabSelected="1" view="pageBreakPreview" topLeftCell="A6" zoomScaleNormal="100" zoomScaleSheetLayoutView="100" workbookViewId="0">
      <selection activeCell="B19" sqref="B19"/>
    </sheetView>
  </sheetViews>
  <sheetFormatPr baseColWidth="10" defaultRowHeight="15" x14ac:dyDescent="0.25"/>
  <cols>
    <col min="1" max="1" width="5.7109375" customWidth="1"/>
    <col min="2" max="2" width="48.28515625" customWidth="1"/>
    <col min="3" max="3" width="2.42578125" customWidth="1"/>
    <col min="4" max="7" width="15.85546875" customWidth="1"/>
    <col min="8" max="8" width="14" customWidth="1"/>
    <col min="9" max="9" width="2.85546875" customWidth="1"/>
    <col min="10" max="10" width="13.140625" customWidth="1"/>
    <col min="12" max="12" width="12.140625" customWidth="1"/>
    <col min="13" max="13" width="13.28515625" customWidth="1"/>
  </cols>
  <sheetData>
    <row r="1" spans="1:12" ht="15.75" x14ac:dyDescent="0.25">
      <c r="A1" s="36" t="s">
        <v>24</v>
      </c>
      <c r="B1" s="37"/>
      <c r="C1" s="37"/>
      <c r="D1" s="37"/>
      <c r="E1" s="37"/>
      <c r="F1" s="37"/>
      <c r="G1" s="37"/>
      <c r="H1" s="37"/>
      <c r="I1" s="37"/>
      <c r="J1" s="41" t="s">
        <v>1</v>
      </c>
    </row>
    <row r="2" spans="1:12" ht="15.75" x14ac:dyDescent="0.25">
      <c r="A2" s="36"/>
      <c r="B2" s="37"/>
      <c r="C2" s="37"/>
      <c r="D2" s="37"/>
      <c r="E2" s="37"/>
      <c r="F2" s="37"/>
      <c r="G2" s="37"/>
      <c r="H2" s="37"/>
      <c r="I2" s="37"/>
      <c r="J2" s="38"/>
    </row>
    <row r="3" spans="1:12" ht="21.75" customHeight="1" thickBot="1" x14ac:dyDescent="0.3">
      <c r="A3" s="39" t="s">
        <v>25</v>
      </c>
      <c r="B3" s="40"/>
      <c r="C3" s="40"/>
      <c r="D3" s="40"/>
      <c r="E3" s="40"/>
      <c r="F3" s="40"/>
      <c r="G3" s="40"/>
      <c r="H3" s="40"/>
      <c r="I3" s="40"/>
      <c r="J3" s="40"/>
    </row>
    <row r="5" spans="1:12" ht="6" customHeight="1" x14ac:dyDescent="0.25">
      <c r="B5" s="18"/>
      <c r="C5" s="18"/>
      <c r="D5" s="18"/>
      <c r="E5" s="18"/>
      <c r="F5" s="18"/>
      <c r="G5" s="18"/>
      <c r="H5" s="18"/>
      <c r="I5" s="18"/>
      <c r="J5" s="18"/>
    </row>
    <row r="6" spans="1:12" ht="29.25" customHeight="1" x14ac:dyDescent="0.3">
      <c r="A6" s="22"/>
      <c r="B6" s="33" t="s">
        <v>2</v>
      </c>
    </row>
    <row r="7" spans="1:12" ht="8.25" customHeight="1" x14ac:dyDescent="0.25"/>
    <row r="8" spans="1:12" x14ac:dyDescent="0.25">
      <c r="D8" s="2">
        <v>2023</v>
      </c>
      <c r="E8" s="2">
        <v>2022</v>
      </c>
      <c r="F8" s="2">
        <v>2021</v>
      </c>
      <c r="G8" s="2">
        <v>2020</v>
      </c>
      <c r="H8" s="2">
        <v>2019</v>
      </c>
      <c r="J8" s="2"/>
    </row>
    <row r="9" spans="1:12" ht="10.5" customHeight="1" x14ac:dyDescent="0.25">
      <c r="A9" s="1"/>
      <c r="D9" s="9"/>
      <c r="E9" s="9"/>
      <c r="F9" s="9"/>
      <c r="G9" s="9"/>
      <c r="H9" s="9"/>
      <c r="I9" s="2"/>
      <c r="J9" s="2"/>
    </row>
    <row r="10" spans="1:12" x14ac:dyDescent="0.25">
      <c r="A10" s="1"/>
      <c r="B10" t="s">
        <v>8</v>
      </c>
      <c r="D10" s="10">
        <v>490780</v>
      </c>
      <c r="E10" s="10">
        <v>455304</v>
      </c>
      <c r="F10" s="10">
        <v>505553</v>
      </c>
      <c r="G10" s="10">
        <v>438471</v>
      </c>
      <c r="H10" s="10">
        <v>413363</v>
      </c>
      <c r="I10" s="2"/>
      <c r="J10" s="11"/>
    </row>
    <row r="11" spans="1:12" x14ac:dyDescent="0.25">
      <c r="A11" s="1"/>
      <c r="B11" t="s">
        <v>11</v>
      </c>
      <c r="D11" s="10"/>
      <c r="E11" s="10"/>
      <c r="F11" s="10"/>
      <c r="G11" s="10"/>
      <c r="H11" s="10"/>
      <c r="I11" s="2"/>
      <c r="J11" s="11"/>
    </row>
    <row r="12" spans="1:12" x14ac:dyDescent="0.25">
      <c r="A12" s="1"/>
      <c r="B12" s="4" t="s">
        <v>26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2"/>
      <c r="J12" s="11"/>
      <c r="K12" s="46" t="s">
        <v>29</v>
      </c>
    </row>
    <row r="13" spans="1:12" x14ac:dyDescent="0.25">
      <c r="A13" s="1"/>
      <c r="B13" s="4" t="s">
        <v>9</v>
      </c>
      <c r="D13" s="31">
        <v>3935</v>
      </c>
      <c r="E13" s="31">
        <v>4943</v>
      </c>
      <c r="F13" s="31">
        <v>6213</v>
      </c>
      <c r="G13" s="31">
        <v>7646</v>
      </c>
      <c r="H13" s="31">
        <v>10750</v>
      </c>
      <c r="I13" s="2"/>
      <c r="J13" s="25"/>
    </row>
    <row r="14" spans="1:12" ht="6.75" customHeight="1" x14ac:dyDescent="0.25">
      <c r="A14" s="1"/>
      <c r="D14" s="10"/>
      <c r="E14" s="10"/>
      <c r="F14" s="10"/>
      <c r="G14" s="10"/>
      <c r="H14" s="10"/>
      <c r="I14" s="2"/>
      <c r="J14" s="25"/>
    </row>
    <row r="15" spans="1:12" x14ac:dyDescent="0.25">
      <c r="A15" s="1"/>
      <c r="B15" t="s">
        <v>10</v>
      </c>
      <c r="D15" s="10">
        <f>SUM(D10:D13)</f>
        <v>494715</v>
      </c>
      <c r="E15" s="10">
        <f>SUM(E10:E13)</f>
        <v>460247</v>
      </c>
      <c r="F15" s="10">
        <f>SUM(F10:F13)</f>
        <v>511766</v>
      </c>
      <c r="G15" s="10">
        <f t="shared" ref="G15" si="0">SUM(G10:G13)</f>
        <v>446117</v>
      </c>
      <c r="H15" s="10">
        <f>SUM(H10:H13)</f>
        <v>424113</v>
      </c>
      <c r="I15" s="2"/>
      <c r="J15" s="11"/>
    </row>
    <row r="16" spans="1:12" ht="8.25" customHeight="1" x14ac:dyDescent="0.25">
      <c r="A16" s="1"/>
      <c r="D16" s="10"/>
      <c r="E16" s="10"/>
      <c r="F16" s="10"/>
      <c r="G16" s="10"/>
      <c r="H16" s="10"/>
      <c r="I16" s="2"/>
      <c r="J16" s="2"/>
      <c r="L16" s="26"/>
    </row>
    <row r="17" spans="1:19" x14ac:dyDescent="0.25">
      <c r="A17" s="1"/>
      <c r="B17" t="s">
        <v>5</v>
      </c>
      <c r="D17" s="8"/>
      <c r="E17" s="8"/>
      <c r="F17" s="8"/>
      <c r="G17" s="10"/>
      <c r="H17" s="8"/>
      <c r="I17" s="2"/>
      <c r="J17" s="2"/>
    </row>
    <row r="18" spans="1:19" x14ac:dyDescent="0.25">
      <c r="A18" s="1"/>
      <c r="B18" s="4" t="s">
        <v>35</v>
      </c>
      <c r="D18" s="44">
        <v>-100000</v>
      </c>
      <c r="E18" s="44">
        <v>-100000</v>
      </c>
      <c r="F18" s="44">
        <v>-100000</v>
      </c>
      <c r="G18" s="44">
        <v>-100000</v>
      </c>
      <c r="H18" s="44">
        <v>-100000</v>
      </c>
      <c r="I18" s="2"/>
      <c r="J18" s="2"/>
      <c r="K18" s="46" t="s">
        <v>31</v>
      </c>
    </row>
    <row r="19" spans="1:19" x14ac:dyDescent="0.25">
      <c r="A19" s="1"/>
      <c r="B19" s="4" t="s">
        <v>28</v>
      </c>
      <c r="D19" s="44">
        <v>0</v>
      </c>
      <c r="E19" s="44">
        <v>0</v>
      </c>
      <c r="F19" s="44">
        <v>0</v>
      </c>
      <c r="G19" s="45">
        <v>-333</v>
      </c>
      <c r="H19" s="44">
        <v>-3667</v>
      </c>
      <c r="I19" s="2"/>
      <c r="J19" s="2"/>
    </row>
    <row r="20" spans="1:19" ht="15" customHeight="1" x14ac:dyDescent="0.25">
      <c r="A20" s="1"/>
      <c r="B20" s="4" t="s">
        <v>27</v>
      </c>
      <c r="D20" s="12">
        <v>0</v>
      </c>
      <c r="E20" s="12">
        <v>0</v>
      </c>
      <c r="F20" s="12">
        <v>0</v>
      </c>
      <c r="G20" s="31">
        <v>-10000</v>
      </c>
      <c r="H20" s="12">
        <v>0</v>
      </c>
      <c r="I20" s="2"/>
      <c r="J20" s="2"/>
      <c r="K20" s="52" t="s">
        <v>30</v>
      </c>
      <c r="L20" s="52"/>
      <c r="M20" s="52"/>
      <c r="N20" s="52"/>
      <c r="O20" s="52"/>
      <c r="P20" s="52"/>
      <c r="Q20" s="52"/>
      <c r="R20" s="52"/>
      <c r="S20" s="52"/>
    </row>
    <row r="21" spans="1:19" ht="9" customHeight="1" x14ac:dyDescent="0.25">
      <c r="D21" s="10"/>
      <c r="E21" s="10"/>
      <c r="F21" s="10"/>
      <c r="G21" s="10"/>
      <c r="H21" s="10"/>
      <c r="I21" s="3"/>
      <c r="J21" s="14"/>
      <c r="K21" s="52"/>
      <c r="L21" s="52"/>
      <c r="M21" s="52"/>
      <c r="N21" s="52"/>
      <c r="O21" s="52"/>
      <c r="P21" s="52"/>
      <c r="Q21" s="52"/>
      <c r="R21" s="52"/>
      <c r="S21" s="52"/>
    </row>
    <row r="22" spans="1:19" x14ac:dyDescent="0.25">
      <c r="B22" t="s">
        <v>6</v>
      </c>
      <c r="D22" s="8">
        <f>SUM(D15:D20)</f>
        <v>394715</v>
      </c>
      <c r="E22" s="8">
        <f>SUM(E15:E20)</f>
        <v>360247</v>
      </c>
      <c r="F22" s="8">
        <f>SUM(F15:F20)</f>
        <v>411766</v>
      </c>
      <c r="G22" s="8">
        <f>SUM(G15:G20)</f>
        <v>335784</v>
      </c>
      <c r="H22" s="8">
        <f>SUM(H15:H20)</f>
        <v>320446</v>
      </c>
      <c r="I22" s="3"/>
      <c r="J22" s="15"/>
      <c r="K22" s="52"/>
      <c r="L22" s="52"/>
      <c r="M22" s="52"/>
      <c r="N22" s="52"/>
      <c r="O22" s="52"/>
      <c r="P22" s="52"/>
      <c r="Q22" s="52"/>
      <c r="R22" s="52"/>
      <c r="S22" s="52"/>
    </row>
    <row r="23" spans="1:19" x14ac:dyDescent="0.25">
      <c r="D23" s="6" t="s">
        <v>0</v>
      </c>
      <c r="E23" s="6" t="s">
        <v>0</v>
      </c>
      <c r="F23" s="6" t="s">
        <v>0</v>
      </c>
      <c r="G23" s="6" t="s">
        <v>0</v>
      </c>
      <c r="H23" s="6" t="s">
        <v>0</v>
      </c>
      <c r="I23" s="5"/>
      <c r="J23" s="5"/>
    </row>
    <row r="24" spans="1:19" x14ac:dyDescent="0.25">
      <c r="B24" s="19" t="s">
        <v>3</v>
      </c>
      <c r="C24" s="19"/>
      <c r="D24" s="20">
        <v>1</v>
      </c>
      <c r="E24" s="20">
        <v>1</v>
      </c>
      <c r="F24" s="20">
        <v>1</v>
      </c>
      <c r="G24" s="20">
        <v>1</v>
      </c>
      <c r="H24" s="20">
        <v>1</v>
      </c>
      <c r="I24" s="5"/>
      <c r="J24" s="10">
        <f>SUM(D24:H24)</f>
        <v>5</v>
      </c>
    </row>
    <row r="25" spans="1:19" ht="8.25" customHeight="1" x14ac:dyDescent="0.25">
      <c r="D25" s="5"/>
      <c r="E25" s="5"/>
      <c r="F25" s="5"/>
      <c r="G25" s="5"/>
      <c r="H25" s="5"/>
      <c r="I25" s="5"/>
      <c r="J25" s="13"/>
    </row>
    <row r="26" spans="1:19" x14ac:dyDescent="0.25">
      <c r="D26" s="13">
        <f>D22*D24</f>
        <v>394715</v>
      </c>
      <c r="E26" s="13">
        <f>E22*E24</f>
        <v>360247</v>
      </c>
      <c r="F26" s="13">
        <f>F22*F24</f>
        <v>411766</v>
      </c>
      <c r="G26" s="13">
        <f>G22*G24</f>
        <v>335784</v>
      </c>
      <c r="H26" s="13">
        <f>H22*H24</f>
        <v>320446</v>
      </c>
      <c r="I26" s="5"/>
      <c r="J26" s="13">
        <f>SUM(D26:H26)</f>
        <v>1822958</v>
      </c>
    </row>
    <row r="27" spans="1:19" ht="9.75" customHeight="1" x14ac:dyDescent="0.25">
      <c r="B27" s="7"/>
      <c r="C27" s="7"/>
      <c r="D27" s="5"/>
      <c r="E27" s="5"/>
      <c r="F27" s="5"/>
      <c r="G27" s="5"/>
      <c r="H27" s="5"/>
      <c r="I27" s="5"/>
      <c r="J27" s="5"/>
    </row>
    <row r="28" spans="1:19" x14ac:dyDescent="0.25">
      <c r="B28" s="7"/>
      <c r="C28" s="7"/>
      <c r="D28" s="5"/>
      <c r="E28" s="5"/>
      <c r="F28" s="5"/>
      <c r="G28" s="5"/>
      <c r="H28" s="16" t="s">
        <v>7</v>
      </c>
      <c r="J28" s="15">
        <f>J26/J24</f>
        <v>364591.6</v>
      </c>
      <c r="M28" s="27"/>
    </row>
    <row r="29" spans="1:19" x14ac:dyDescent="0.25">
      <c r="B29" s="7"/>
      <c r="C29" s="7"/>
      <c r="D29" s="5"/>
      <c r="E29" s="5"/>
      <c r="F29" s="5"/>
      <c r="G29" s="5"/>
      <c r="H29" s="5"/>
      <c r="I29" s="5"/>
      <c r="J29" s="5"/>
    </row>
    <row r="30" spans="1:19" ht="7.5" customHeight="1" x14ac:dyDescent="0.25">
      <c r="B30" s="7"/>
      <c r="C30" s="7"/>
      <c r="D30" s="5"/>
      <c r="E30" s="5"/>
      <c r="F30" s="5"/>
      <c r="G30" s="5"/>
      <c r="H30" s="5"/>
      <c r="I30" s="5"/>
      <c r="J30" s="5"/>
    </row>
    <row r="31" spans="1:19" x14ac:dyDescent="0.25">
      <c r="B31" s="7"/>
      <c r="C31" s="7"/>
      <c r="D31" s="5"/>
      <c r="E31" s="5"/>
      <c r="F31" s="5"/>
      <c r="G31" s="5"/>
      <c r="H31" s="5"/>
      <c r="I31" s="5"/>
      <c r="J31" s="21"/>
      <c r="M31" s="27"/>
    </row>
    <row r="32" spans="1:19" x14ac:dyDescent="0.25">
      <c r="D32" s="9" t="s">
        <v>0</v>
      </c>
      <c r="E32" s="9"/>
      <c r="F32" s="9" t="s">
        <v>0</v>
      </c>
      <c r="H32" s="9" t="s">
        <v>0</v>
      </c>
      <c r="I32" s="5"/>
      <c r="J32" s="17"/>
    </row>
    <row r="33" spans="2:11" x14ac:dyDescent="0.25">
      <c r="B33" s="16" t="s">
        <v>4</v>
      </c>
      <c r="C33" s="23"/>
      <c r="D33" s="24">
        <v>7</v>
      </c>
      <c r="E33" s="42"/>
      <c r="F33" s="24">
        <v>8</v>
      </c>
      <c r="H33" s="24">
        <v>9</v>
      </c>
      <c r="I33" s="5"/>
      <c r="J33" s="17"/>
    </row>
    <row r="34" spans="2:11" x14ac:dyDescent="0.25">
      <c r="B34" s="1"/>
      <c r="D34" s="1"/>
      <c r="E34" s="1"/>
      <c r="F34" s="1"/>
      <c r="H34" s="1"/>
      <c r="I34" s="5"/>
      <c r="J34" s="17"/>
    </row>
    <row r="35" spans="2:11" x14ac:dyDescent="0.25">
      <c r="B35" s="16" t="s">
        <v>12</v>
      </c>
      <c r="C35" s="30"/>
      <c r="D35" s="32">
        <f>$J$28*D33</f>
        <v>2552141.1999999997</v>
      </c>
      <c r="E35" s="32"/>
      <c r="F35" s="32">
        <f>$J$28*F33</f>
        <v>2916732.8</v>
      </c>
      <c r="H35" s="32">
        <f>$J$28*H33</f>
        <v>3281324.4</v>
      </c>
      <c r="I35" s="5"/>
      <c r="J35" s="17"/>
    </row>
    <row r="36" spans="2:11" x14ac:dyDescent="0.25">
      <c r="B36" s="16"/>
      <c r="C36" s="30"/>
      <c r="G36" s="32"/>
      <c r="H36" s="28"/>
      <c r="I36" s="5"/>
      <c r="J36" s="17"/>
    </row>
    <row r="37" spans="2:11" x14ac:dyDescent="0.25">
      <c r="B37" s="51" t="s">
        <v>23</v>
      </c>
      <c r="C37" s="51"/>
      <c r="D37" s="51"/>
      <c r="E37" s="51"/>
      <c r="F37" s="51"/>
      <c r="G37" s="51"/>
      <c r="H37" s="51"/>
      <c r="I37" s="5"/>
      <c r="J37" s="17"/>
    </row>
    <row r="38" spans="2:11" x14ac:dyDescent="0.25">
      <c r="B38" s="51"/>
      <c r="C38" s="51"/>
      <c r="D38" s="51"/>
      <c r="E38" s="51"/>
      <c r="F38" s="51"/>
      <c r="G38" s="51"/>
      <c r="H38" s="51"/>
      <c r="I38" s="5"/>
      <c r="J38" s="17"/>
    </row>
    <row r="39" spans="2:11" x14ac:dyDescent="0.25">
      <c r="B39" s="16"/>
      <c r="C39" s="30"/>
      <c r="G39" s="32"/>
      <c r="H39" s="28"/>
      <c r="I39" s="5"/>
      <c r="J39" s="17"/>
    </row>
    <row r="40" spans="2:11" x14ac:dyDescent="0.25">
      <c r="B40" s="1" t="s">
        <v>18</v>
      </c>
      <c r="C40" s="30"/>
      <c r="D40" s="29">
        <v>1214957</v>
      </c>
      <c r="E40" s="29"/>
      <c r="F40" s="29">
        <v>1214957</v>
      </c>
      <c r="G40" s="32"/>
      <c r="H40" s="29">
        <v>1214957</v>
      </c>
      <c r="I40" s="5"/>
      <c r="J40" s="17"/>
    </row>
    <row r="41" spans="2:11" x14ac:dyDescent="0.25">
      <c r="B41" s="1" t="s">
        <v>19</v>
      </c>
      <c r="C41" s="30"/>
      <c r="D41" s="34">
        <v>1147980</v>
      </c>
      <c r="E41" s="29"/>
      <c r="F41" s="34">
        <v>1147980</v>
      </c>
      <c r="G41" s="32"/>
      <c r="H41" s="34">
        <v>1147980</v>
      </c>
      <c r="I41" s="5"/>
      <c r="J41" s="17"/>
    </row>
    <row r="42" spans="2:11" x14ac:dyDescent="0.25">
      <c r="B42" s="1" t="s">
        <v>17</v>
      </c>
      <c r="D42" s="29">
        <f>AVERAGE(D40:D41)</f>
        <v>1181468.5</v>
      </c>
      <c r="E42" s="29"/>
      <c r="F42" s="29">
        <f>AVERAGE(F40:F41)</f>
        <v>1181468.5</v>
      </c>
      <c r="G42" s="32"/>
      <c r="H42" s="29">
        <f>AVERAGE(H40:H41)</f>
        <v>1181468.5</v>
      </c>
      <c r="I42" s="5"/>
      <c r="J42" s="17"/>
      <c r="K42" s="46" t="s">
        <v>32</v>
      </c>
    </row>
    <row r="43" spans="2:11" ht="9" customHeight="1" x14ac:dyDescent="0.25">
      <c r="B43" s="16"/>
      <c r="C43" s="30"/>
      <c r="G43" s="32"/>
      <c r="I43" s="5"/>
      <c r="J43" s="17"/>
    </row>
    <row r="44" spans="2:11" x14ac:dyDescent="0.25">
      <c r="B44" s="1" t="s">
        <v>22</v>
      </c>
      <c r="C44" s="30"/>
      <c r="D44" s="35">
        <f>1/12</f>
        <v>8.3333333333333329E-2</v>
      </c>
      <c r="E44" s="43"/>
      <c r="F44" s="35">
        <f>1/12</f>
        <v>8.3333333333333329E-2</v>
      </c>
      <c r="H44" s="35">
        <f>1/12</f>
        <v>8.3333333333333329E-2</v>
      </c>
      <c r="I44" s="5"/>
      <c r="J44" s="17"/>
    </row>
    <row r="45" spans="2:11" ht="4.5" customHeight="1" x14ac:dyDescent="0.25">
      <c r="B45" s="16"/>
      <c r="C45" s="30"/>
      <c r="D45" s="32"/>
      <c r="E45" s="32"/>
      <c r="F45" s="32"/>
      <c r="H45" s="32"/>
      <c r="I45" s="5"/>
      <c r="J45" s="17"/>
    </row>
    <row r="46" spans="2:11" x14ac:dyDescent="0.25">
      <c r="B46" s="16" t="s">
        <v>20</v>
      </c>
      <c r="C46" s="30"/>
      <c r="D46" s="32">
        <f>D42*D44</f>
        <v>98455.708333333328</v>
      </c>
      <c r="E46" s="32"/>
      <c r="F46" s="32">
        <f>F42*F44</f>
        <v>98455.708333333328</v>
      </c>
      <c r="H46" s="32">
        <f>H42*H44</f>
        <v>98455.708333333328</v>
      </c>
      <c r="I46" s="5"/>
      <c r="J46" s="17"/>
    </row>
    <row r="47" spans="2:11" x14ac:dyDescent="0.25">
      <c r="B47" s="16"/>
      <c r="C47" s="30"/>
      <c r="D47" s="32"/>
      <c r="E47" s="32"/>
      <c r="F47" s="32"/>
      <c r="H47" s="32"/>
      <c r="I47" s="5"/>
      <c r="J47" s="17"/>
    </row>
    <row r="48" spans="2:11" x14ac:dyDescent="0.25">
      <c r="B48" s="16" t="s">
        <v>15</v>
      </c>
      <c r="C48" s="30"/>
      <c r="D48" s="32">
        <f>D35</f>
        <v>2552141.1999999997</v>
      </c>
      <c r="E48" s="32"/>
      <c r="F48" s="32">
        <f>F35</f>
        <v>2916732.8</v>
      </c>
      <c r="H48" s="32">
        <f>H35</f>
        <v>3281324.4</v>
      </c>
      <c r="I48" s="5"/>
      <c r="J48" s="17"/>
    </row>
    <row r="49" spans="2:12" ht="8.25" customHeight="1" x14ac:dyDescent="0.25">
      <c r="B49" s="1"/>
    </row>
    <row r="50" spans="2:12" x14ac:dyDescent="0.25">
      <c r="B50" t="s">
        <v>34</v>
      </c>
      <c r="D50" s="29">
        <f>304014-60712</f>
        <v>243302</v>
      </c>
      <c r="E50" s="29"/>
      <c r="F50" s="29">
        <f>304014-60712</f>
        <v>243302</v>
      </c>
      <c r="H50" s="29">
        <f>304014-60712</f>
        <v>243302</v>
      </c>
    </row>
    <row r="51" spans="2:12" x14ac:dyDescent="0.25">
      <c r="B51" t="s">
        <v>21</v>
      </c>
      <c r="D51" s="29">
        <f>-D46</f>
        <v>-98455.708333333328</v>
      </c>
      <c r="E51" s="29"/>
      <c r="F51" s="29">
        <f>-F46</f>
        <v>-98455.708333333328</v>
      </c>
      <c r="H51" s="29">
        <f>-H46</f>
        <v>-98455.708333333328</v>
      </c>
    </row>
    <row r="52" spans="2:12" x14ac:dyDescent="0.25">
      <c r="B52" t="s">
        <v>16</v>
      </c>
      <c r="D52" s="34">
        <v>0</v>
      </c>
      <c r="E52" s="29"/>
      <c r="F52" s="34">
        <v>0</v>
      </c>
      <c r="H52" s="34">
        <v>0</v>
      </c>
      <c r="K52" s="46" t="s">
        <v>33</v>
      </c>
    </row>
    <row r="53" spans="2:12" x14ac:dyDescent="0.25">
      <c r="D53" s="29"/>
      <c r="E53" s="29"/>
      <c r="F53" s="29"/>
      <c r="H53" s="29"/>
    </row>
    <row r="54" spans="2:12" x14ac:dyDescent="0.25">
      <c r="B54" t="s">
        <v>13</v>
      </c>
      <c r="D54" s="29">
        <f>SUM(D48:D53)</f>
        <v>2696987.4916666662</v>
      </c>
      <c r="E54" s="29"/>
      <c r="F54" s="29">
        <f>SUM(F48:F53)</f>
        <v>3061579.0916666663</v>
      </c>
      <c r="H54" s="29">
        <f>SUM(H48:H53)</f>
        <v>3426170.6916666664</v>
      </c>
    </row>
    <row r="55" spans="2:12" x14ac:dyDescent="0.25">
      <c r="D55" s="29"/>
      <c r="E55" s="29"/>
      <c r="F55" s="29"/>
      <c r="H55" s="29"/>
    </row>
    <row r="56" spans="2:12" ht="15.75" thickBot="1" x14ac:dyDescent="0.3">
      <c r="B56" s="47" t="s">
        <v>14</v>
      </c>
      <c r="C56" s="48"/>
      <c r="D56" s="49">
        <f>ROUND(D54,-4)</f>
        <v>2700000</v>
      </c>
      <c r="E56" s="50"/>
      <c r="F56" s="49">
        <f>ROUND(F54,-4)</f>
        <v>3060000</v>
      </c>
      <c r="G56" s="50"/>
      <c r="H56" s="49">
        <f>ROUND(H54,-4)</f>
        <v>3430000</v>
      </c>
      <c r="L56" s="27"/>
    </row>
    <row r="57" spans="2:12" ht="15.75" thickTop="1" x14ac:dyDescent="0.25">
      <c r="D57" s="29"/>
      <c r="E57" s="29"/>
      <c r="F57" s="29"/>
    </row>
    <row r="58" spans="2:12" x14ac:dyDescent="0.25">
      <c r="D58" s="29"/>
      <c r="E58" s="29"/>
      <c r="F58" s="29"/>
    </row>
    <row r="59" spans="2:12" x14ac:dyDescent="0.25">
      <c r="D59" s="29"/>
      <c r="E59" s="29"/>
      <c r="F59" s="29"/>
    </row>
    <row r="60" spans="2:12" x14ac:dyDescent="0.25">
      <c r="B60" s="26"/>
      <c r="D60" s="29"/>
      <c r="E60" s="29"/>
      <c r="F60" s="29"/>
    </row>
    <row r="61" spans="2:12" x14ac:dyDescent="0.25">
      <c r="D61" s="29"/>
      <c r="E61" s="29"/>
      <c r="F61" s="29"/>
    </row>
    <row r="62" spans="2:12" x14ac:dyDescent="0.25">
      <c r="D62" s="29"/>
      <c r="E62" s="29"/>
      <c r="F62" s="29"/>
    </row>
  </sheetData>
  <mergeCells count="2">
    <mergeCell ref="B37:H38"/>
    <mergeCell ref="K20:S22"/>
  </mergeCells>
  <pageMargins left="0.28999999999999998" right="0.28000000000000003" top="0.74803149606299213" bottom="0.74803149606299213" header="0.31496062992125984" footer="0.31496062992125984"/>
  <pageSetup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Valorisation</vt:lpstr>
      <vt:lpstr>Valorisation!Print_Area</vt:lpstr>
      <vt:lpstr>Valorisation!Zone_d_impression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Ringuette</dc:creator>
  <cp:lastModifiedBy>Félix Lacroix</cp:lastModifiedBy>
  <cp:lastPrinted>2023-09-15T13:48:29Z</cp:lastPrinted>
  <dcterms:created xsi:type="dcterms:W3CDTF">2016-05-17T12:24:48Z</dcterms:created>
  <dcterms:modified xsi:type="dcterms:W3CDTF">2024-12-03T21:03:59Z</dcterms:modified>
</cp:coreProperties>
</file>