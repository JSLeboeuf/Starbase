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Les centres dentaires viva 2014\Départements\Ressources humaines\3. Rémunération\Échelle salariale\"/>
    </mc:Choice>
  </mc:AlternateContent>
  <bookViews>
    <workbookView xWindow="-120" yWindow="-120" windowWidth="29040" windowHeight="15840" tabRatio="663" activeTab="1"/>
  </bookViews>
  <sheets>
    <sheet name="Structure proposée par ARH" sheetId="5" r:id="rId1"/>
    <sheet name="Structure proposée  Pat" sheetId="8" r:id="rId2"/>
    <sheet name="Structure actuelle" sheetId="4" r:id="rId3"/>
  </sheets>
  <definedNames>
    <definedName name="_xlnm.Print_Area" localSheetId="2">'Structure actuelle'!$B$7:$N$48</definedName>
    <definedName name="_xlnm.Print_Area" localSheetId="1">'Structure proposée  Pat'!$A$1:$L$15</definedName>
    <definedName name="_xlnm.Print_Area" localSheetId="0">'Structure proposée par ARH'!$A$1:$L$13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8" l="1"/>
  <c r="E13" i="8" s="1"/>
  <c r="E12" i="8" s="1"/>
  <c r="E11" i="8" s="1"/>
  <c r="E10" i="8" s="1"/>
  <c r="E9" i="8" s="1"/>
  <c r="F14" i="8"/>
  <c r="C13" i="8"/>
  <c r="A13" i="8"/>
  <c r="B13" i="8" s="1"/>
  <c r="A12" i="8" s="1"/>
  <c r="B12" i="8" s="1"/>
  <c r="A11" i="8" s="1"/>
  <c r="B11" i="8" s="1"/>
  <c r="A10" i="8" s="1"/>
  <c r="B10" i="8" s="1"/>
  <c r="A9" i="8" s="1"/>
  <c r="B9" i="8" s="1"/>
  <c r="A8" i="8" s="1"/>
  <c r="B8" i="8" s="1"/>
  <c r="A7" i="8" s="1"/>
  <c r="B7" i="8" s="1"/>
  <c r="A6" i="8" s="1"/>
  <c r="B6" i="8" s="1"/>
  <c r="A5" i="8" s="1"/>
  <c r="C12" i="8"/>
  <c r="C11" i="8" s="1"/>
  <c r="C10" i="8" s="1"/>
  <c r="C9" i="8" s="1"/>
  <c r="C8" i="8" s="1"/>
  <c r="C7" i="8" s="1"/>
  <c r="C6" i="8" s="1"/>
  <c r="C5" i="8" s="1"/>
  <c r="H14" i="8" l="1"/>
  <c r="L14" i="8"/>
  <c r="G14" i="8"/>
  <c r="I14" i="8"/>
  <c r="J14" i="8"/>
  <c r="E12" i="5"/>
  <c r="F13" i="8" l="1"/>
  <c r="L13" i="8"/>
  <c r="J13" i="8"/>
  <c r="I13" i="8"/>
  <c r="H13" i="8"/>
  <c r="G13" i="8"/>
  <c r="E11" i="5"/>
  <c r="E10" i="5" s="1"/>
  <c r="E9" i="5" s="1"/>
  <c r="E8" i="5" s="1"/>
  <c r="E7" i="5" s="1"/>
  <c r="E6" i="5" s="1"/>
  <c r="E5" i="5" s="1"/>
  <c r="J12" i="8" l="1"/>
  <c r="I12" i="8"/>
  <c r="H12" i="8"/>
  <c r="G12" i="8"/>
  <c r="F12" i="8"/>
  <c r="L12" i="8"/>
  <c r="B12" i="5"/>
  <c r="A11" i="5" s="1"/>
  <c r="B11" i="5" s="1"/>
  <c r="L12" i="5"/>
  <c r="K12" i="5"/>
  <c r="J12" i="5"/>
  <c r="I12" i="5"/>
  <c r="H12" i="5"/>
  <c r="G12" i="5"/>
  <c r="F12" i="5"/>
  <c r="K11" i="5"/>
  <c r="C11" i="5"/>
  <c r="C10" i="5" s="1"/>
  <c r="C9" i="5" s="1"/>
  <c r="C8" i="5" s="1"/>
  <c r="C7" i="5" s="1"/>
  <c r="C6" i="5" s="1"/>
  <c r="C5" i="5" s="1"/>
  <c r="H11" i="8" l="1"/>
  <c r="G11" i="8"/>
  <c r="F11" i="8"/>
  <c r="L11" i="8"/>
  <c r="J11" i="8"/>
  <c r="I11" i="8"/>
  <c r="L11" i="5"/>
  <c r="A10" i="5"/>
  <c r="F11" i="5"/>
  <c r="G11" i="5"/>
  <c r="H11" i="5"/>
  <c r="J11" i="5"/>
  <c r="I11" i="5"/>
  <c r="F10" i="8" l="1"/>
  <c r="L10" i="8"/>
  <c r="J10" i="8"/>
  <c r="I10" i="8"/>
  <c r="H10" i="8"/>
  <c r="G10" i="8"/>
  <c r="E8" i="8"/>
  <c r="E7" i="8" s="1"/>
  <c r="E6" i="8" s="1"/>
  <c r="E5" i="8" s="1"/>
  <c r="B10" i="5"/>
  <c r="A9" i="5" s="1"/>
  <c r="B9" i="5" s="1"/>
  <c r="A8" i="5" s="1"/>
  <c r="F10" i="5"/>
  <c r="L10" i="5"/>
  <c r="K10" i="5"/>
  <c r="G10" i="5"/>
  <c r="J10" i="5"/>
  <c r="I10" i="5"/>
  <c r="H10" i="5"/>
  <c r="J9" i="8" l="1"/>
  <c r="I9" i="8"/>
  <c r="H9" i="8"/>
  <c r="G9" i="8"/>
  <c r="F9" i="8"/>
  <c r="L9" i="8"/>
  <c r="B8" i="5"/>
  <c r="A7" i="5" s="1"/>
  <c r="B7" i="5" s="1"/>
  <c r="A6" i="5" s="1"/>
  <c r="B6" i="5" s="1"/>
  <c r="A5" i="5" s="1"/>
  <c r="I9" i="5"/>
  <c r="G9" i="5"/>
  <c r="K9" i="5"/>
  <c r="H9" i="5"/>
  <c r="F9" i="5"/>
  <c r="L9" i="5"/>
  <c r="J9" i="5"/>
  <c r="H8" i="8" l="1"/>
  <c r="G8" i="8"/>
  <c r="F8" i="8"/>
  <c r="L8" i="8"/>
  <c r="J8" i="8"/>
  <c r="I8" i="8"/>
  <c r="L8" i="5"/>
  <c r="I8" i="5"/>
  <c r="K8" i="5"/>
  <c r="J8" i="5"/>
  <c r="H8" i="5"/>
  <c r="F8" i="5"/>
  <c r="G8" i="5"/>
  <c r="F7" i="8" l="1"/>
  <c r="L7" i="8"/>
  <c r="J7" i="8"/>
  <c r="I7" i="8"/>
  <c r="H7" i="8"/>
  <c r="G7" i="8"/>
  <c r="G7" i="5"/>
  <c r="J7" i="5"/>
  <c r="F7" i="5"/>
  <c r="L7" i="5"/>
  <c r="I7" i="5"/>
  <c r="H7" i="5"/>
  <c r="K7" i="5"/>
  <c r="J6" i="8" l="1"/>
  <c r="I6" i="8"/>
  <c r="H6" i="8"/>
  <c r="G6" i="8"/>
  <c r="F6" i="8"/>
  <c r="L6" i="8"/>
  <c r="J6" i="5"/>
  <c r="H6" i="5"/>
  <c r="L6" i="5"/>
  <c r="K6" i="5"/>
  <c r="I6" i="5"/>
  <c r="G6" i="5"/>
  <c r="F6" i="5"/>
  <c r="H5" i="8" l="1"/>
  <c r="G5" i="8"/>
  <c r="F5" i="8"/>
  <c r="L5" i="8"/>
  <c r="J5" i="8"/>
  <c r="I5" i="8"/>
  <c r="K5" i="5"/>
  <c r="J5" i="5"/>
  <c r="H5" i="5"/>
  <c r="L5" i="5"/>
  <c r="I5" i="5"/>
  <c r="G5" i="5"/>
  <c r="F5" i="5"/>
  <c r="Q8" i="4" l="1"/>
  <c r="Q9" i="4"/>
  <c r="Q10" i="4"/>
  <c r="Q11" i="4"/>
  <c r="Q12" i="4"/>
  <c r="M14" i="4" l="1"/>
  <c r="M15" i="4"/>
  <c r="M16" i="4"/>
  <c r="M17" i="4"/>
  <c r="M18" i="4"/>
  <c r="K19" i="4" l="1"/>
  <c r="K20" i="4"/>
  <c r="K21" i="4"/>
  <c r="K22" i="4"/>
  <c r="K23" i="4"/>
  <c r="I26" i="4"/>
  <c r="I27" i="4"/>
  <c r="I28" i="4"/>
  <c r="I29" i="4"/>
  <c r="I30" i="4"/>
  <c r="G29" i="4"/>
  <c r="G30" i="4"/>
  <c r="G31" i="4"/>
  <c r="G32" i="4"/>
  <c r="G33" i="4"/>
  <c r="E31" i="4"/>
  <c r="E32" i="4"/>
  <c r="E33" i="4"/>
  <c r="E34" i="4"/>
  <c r="E35" i="4"/>
  <c r="C32" i="4"/>
  <c r="C33" i="4"/>
  <c r="C34" i="4"/>
  <c r="C35" i="4"/>
  <c r="C36" i="4"/>
</calcChain>
</file>

<file path=xl/sharedStrings.xml><?xml version="1.0" encoding="utf-8"?>
<sst xmlns="http://schemas.openxmlformats.org/spreadsheetml/2006/main" count="130" uniqueCount="105">
  <si>
    <t>TH MIN</t>
  </si>
  <si>
    <t>TH MAX</t>
  </si>
  <si>
    <t>CS-1</t>
  </si>
  <si>
    <t>CS-2</t>
  </si>
  <si>
    <t>CS-3</t>
  </si>
  <si>
    <t>CS-4</t>
  </si>
  <si>
    <t>CS-5</t>
  </si>
  <si>
    <t>CS-6</t>
  </si>
  <si>
    <t>PTS</t>
  </si>
  <si>
    <t>Centre Dentaire Viva</t>
  </si>
  <si>
    <t xml:space="preserve"> </t>
  </si>
  <si>
    <t>commis comptable</t>
  </si>
  <si>
    <t>technicien comptable</t>
  </si>
  <si>
    <t>Hygiéniste</t>
  </si>
  <si>
    <t>Dir finance / serv ctb</t>
  </si>
  <si>
    <t>ex: aide administratif</t>
  </si>
  <si>
    <t>ex: réceptionniste</t>
  </si>
  <si>
    <t>ex: commis</t>
  </si>
  <si>
    <t>ex: secrétaire</t>
  </si>
  <si>
    <t>ex: préposé</t>
  </si>
  <si>
    <t>technicien à la paie</t>
  </si>
  <si>
    <t>ex: technicien</t>
  </si>
  <si>
    <t>ex: adjoint administratif</t>
  </si>
  <si>
    <t>FONCTIONS</t>
  </si>
  <si>
    <t>ex: responsable</t>
  </si>
  <si>
    <t>ex: étudiant</t>
  </si>
  <si>
    <t>ex: conseiller</t>
  </si>
  <si>
    <t>ex: analyste</t>
  </si>
  <si>
    <t>CS1</t>
  </si>
  <si>
    <t>CS2</t>
  </si>
  <si>
    <t>CS3</t>
  </si>
  <si>
    <t>CS4</t>
  </si>
  <si>
    <t>CS5</t>
  </si>
  <si>
    <t>CS6</t>
  </si>
  <si>
    <t>ex: gestionnaire</t>
  </si>
  <si>
    <t>MATRICE - TITRES DE FONCTIONS</t>
  </si>
  <si>
    <t>coord. maintenance</t>
  </si>
  <si>
    <t>coord.  clinique</t>
  </si>
  <si>
    <t>Direction</t>
  </si>
  <si>
    <t xml:space="preserve">ex: directeur </t>
  </si>
  <si>
    <t xml:space="preserve">secrétaire dentaire </t>
  </si>
  <si>
    <t>assistante dentaire</t>
  </si>
  <si>
    <t>ex: assistant dentaire</t>
  </si>
  <si>
    <t>ex: Partenaire d'affaires</t>
  </si>
  <si>
    <t>ex: chargé de projet</t>
  </si>
  <si>
    <t>technicien graphisme/mark.</t>
  </si>
  <si>
    <t>assistante dentaire/ achat</t>
  </si>
  <si>
    <t>200 pts----------- 295 pts</t>
  </si>
  <si>
    <t>296pts----------- 391 pts</t>
  </si>
  <si>
    <t>392 pts----------- 487 pts</t>
  </si>
  <si>
    <t>488pts----------- 583 pts</t>
  </si>
  <si>
    <t>584pts----------- 679pts</t>
  </si>
  <si>
    <t>680pts----------- 775pts</t>
  </si>
  <si>
    <t>776 pts----------- 871 pts</t>
  </si>
  <si>
    <t xml:space="preserve">support </t>
  </si>
  <si>
    <t>aide/ clérical</t>
  </si>
  <si>
    <t>pointage milieu: 248pts</t>
  </si>
  <si>
    <t>pointage milieu: 344 pts</t>
  </si>
  <si>
    <t>pointage milieu: 440 pts</t>
  </si>
  <si>
    <t>pointage milieu: 536 pts</t>
  </si>
  <si>
    <t>pointage milieu: 632 pts</t>
  </si>
  <si>
    <t>pointage milieu:  728 pts</t>
  </si>
  <si>
    <t>pointage milieu: 823 pts</t>
  </si>
  <si>
    <t>technicien aux achats</t>
  </si>
  <si>
    <t>Dir ressources humaines</t>
  </si>
  <si>
    <t>Technique</t>
  </si>
  <si>
    <t>Spécialiste</t>
  </si>
  <si>
    <t>Responsable</t>
  </si>
  <si>
    <t>(HAUTE DIRECTION - CADRE supérieur)</t>
  </si>
  <si>
    <t>(taux rémunération globale)</t>
  </si>
  <si>
    <t>Dir dével org/communication</t>
  </si>
  <si>
    <t>en vigueur au: 1 novembre 2018</t>
  </si>
  <si>
    <t>maj: 5 nov 2018</t>
  </si>
  <si>
    <t xml:space="preserve">STRUCTURE SALARIALE </t>
  </si>
  <si>
    <t>Postes et pointages</t>
  </si>
  <si>
    <t>Zone d'apprentissage
Progression rapide</t>
  </si>
  <si>
    <t>Zone de développement</t>
  </si>
  <si>
    <t>Zone d'expertise</t>
  </si>
  <si>
    <t>MAXIMUM</t>
  </si>
  <si>
    <t>Taux minimal 100%</t>
  </si>
  <si>
    <t>130 %</t>
  </si>
  <si>
    <t>Taux maximal 
135%</t>
  </si>
  <si>
    <t>Taux maximal 
140%</t>
  </si>
  <si>
    <t>Tranches de points 95</t>
  </si>
  <si>
    <t>Point milieu
125%</t>
  </si>
  <si>
    <t>MAX 1000</t>
  </si>
  <si>
    <t>MIN 200</t>
  </si>
  <si>
    <t>ÉCHELLE SALARIALE - Août 2019
 En vertu de la Loi sur l'équité salariale le salaire comparatif doit comprendre toutes formes de réumération: Bonis, pourboires, commissions, etc.</t>
  </si>
  <si>
    <t xml:space="preserve">Classes 
ÉCART 1,15% </t>
  </si>
  <si>
    <t>Stratégie de départ = salaire minumim majoré de 15%</t>
  </si>
  <si>
    <t>Commis comptable 333</t>
  </si>
  <si>
    <t>Technicien comptable 473
Assistante dentaire/achats 471
Technicien graphisme/marketing 453
Technicien à la paie 447
Coordonnatrice maintenance 433
Assistante dentaire 432
Technicien aux achat 404
Secrétaire dentaire 396</t>
  </si>
  <si>
    <r>
      <rPr>
        <b/>
        <sz val="8"/>
        <color rgb="FFFF0000"/>
        <rFont val="Calibri Light"/>
        <family val="2"/>
      </rPr>
      <t>Directeur finances/serv ctb 713</t>
    </r>
    <r>
      <rPr>
        <sz val="8"/>
        <rFont val="Calibri Light"/>
        <family val="2"/>
      </rPr>
      <t xml:space="preserve">
Directeur développement organisationnel/communication 698
Directeur ressources humaines 716</t>
    </r>
  </si>
  <si>
    <t>Coordonnatrice clinique 554</t>
  </si>
  <si>
    <r>
      <t xml:space="preserve">Hygiéniste 660
</t>
    </r>
    <r>
      <rPr>
        <b/>
        <sz val="8"/>
        <color rgb="FFFF0000"/>
        <rFont val="Calibri Light"/>
        <family val="2"/>
      </rPr>
      <t>Gestionnaire orthodontie 638</t>
    </r>
  </si>
  <si>
    <t>Cas particulier 
140%</t>
  </si>
  <si>
    <t>Commis comptable - 333 pts</t>
  </si>
  <si>
    <t xml:space="preserve">Classes 
ÉCART 1,16% </t>
  </si>
  <si>
    <t>Stratégie de départ = salaire minumim majoré de 3%
Salaire maximum = 135% du taux de base</t>
  </si>
  <si>
    <r>
      <t xml:space="preserve">Exception
</t>
    </r>
    <r>
      <rPr>
        <b/>
        <sz val="6"/>
        <rFont val="Calibri Light"/>
        <family val="2"/>
      </rPr>
      <t>(ne pas considérer dans l'échelle)</t>
    </r>
  </si>
  <si>
    <t>Coordonnateur clinique (Niveau B) - 559 pts</t>
  </si>
  <si>
    <t>Assistante dentaire - 432 pts
Technicien aux achats - 404 pts
Secrétaire dentaire - 396 pts
Technicien graphisme et marketing - 384 pts</t>
  </si>
  <si>
    <t>Coordonnateur clinique (Niveau C) - 469 pts
Coordonnateur maintenance - 459 pts
Technicien comptable - 447 pts
Technicien à la paie - 447 pts</t>
  </si>
  <si>
    <t>Directeur des finances et services comptables - 733 pts
Directeur des ressources humaines - 716 pts
Directeur D.O. et communication - 698 pts</t>
  </si>
  <si>
    <t>Coordonnateur clinique (Niveau A) - 655 pts
Gestionnaire orthodontie - 616 pts
Hygiéniste dentaire - 614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</si>
</sst>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$&quot;_);[Red]\(#,##0.00\ &quot;$&quot;\)"/>
    <numFmt numFmtId="44" formatCode="_ * #,##0.00_)\ &quot;$&quot;_ ;_ * \(#,##0.00\)\ &quot;$&quot;_ ;_ * &quot;-&quot;??_)\ &quot;$&quot;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sz val="8"/>
      <name val="Calibri Light"/>
      <family val="2"/>
    </font>
    <font>
      <b/>
      <sz val="8"/>
      <name val="Calibri Light"/>
      <family val="2"/>
    </font>
    <font>
      <shadow/>
      <sz val="8"/>
      <name val="Calibri Light"/>
      <family val="2"/>
    </font>
    <font>
      <b/>
      <sz val="8"/>
      <color indexed="8"/>
      <name val="Calibri Light"/>
      <family val="2"/>
    </font>
    <font>
      <b/>
      <sz val="8"/>
      <color rgb="FFFF0000"/>
      <name val="Calibri Light"/>
      <family val="2"/>
    </font>
    <font>
      <sz val="8"/>
      <color rgb="FFFF0000"/>
      <name val="Calibri Light"/>
      <family val="2"/>
    </font>
    <font>
      <sz val="8"/>
      <color theme="1"/>
      <name val="Calibri Light"/>
      <family val="2"/>
    </font>
    <font>
      <b/>
      <sz val="6"/>
      <name val="Calibri Light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213">
    <xf numFmtId="0" fontId="0" fillId="0" borderId="0" xfId="0"/>
    <xf numFmtId="2" fontId="2" fillId="0" borderId="9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7" fillId="0" borderId="2" xfId="0" applyFont="1" applyBorder="1"/>
    <xf numFmtId="0" fontId="7" fillId="0" borderId="2" xfId="0" applyFont="1" applyFill="1" applyBorder="1"/>
    <xf numFmtId="0" fontId="8" fillId="0" borderId="0" xfId="0" applyFont="1"/>
    <xf numFmtId="0" fontId="7" fillId="0" borderId="0" xfId="0" applyFont="1"/>
    <xf numFmtId="0" fontId="7" fillId="0" borderId="0" xfId="0" applyFont="1" applyFill="1"/>
    <xf numFmtId="0" fontId="9" fillId="0" borderId="0" xfId="0" applyFont="1"/>
    <xf numFmtId="0" fontId="9" fillId="0" borderId="0" xfId="0" applyFont="1" applyBorder="1"/>
    <xf numFmtId="0" fontId="7" fillId="0" borderId="4" xfId="0" applyFont="1" applyBorder="1"/>
    <xf numFmtId="0" fontId="7" fillId="0" borderId="7" xfId="0" applyFont="1" applyFill="1" applyBorder="1"/>
    <xf numFmtId="0" fontId="7" fillId="0" borderId="8" xfId="0" applyFont="1" applyBorder="1"/>
    <xf numFmtId="0" fontId="7" fillId="0" borderId="5" xfId="0" applyFont="1" applyBorder="1"/>
    <xf numFmtId="0" fontId="7" fillId="0" borderId="0" xfId="0" applyFont="1" applyFill="1" applyBorder="1"/>
    <xf numFmtId="0" fontId="7" fillId="0" borderId="9" xfId="0" applyFont="1" applyBorder="1"/>
    <xf numFmtId="0" fontId="7" fillId="0" borderId="0" xfId="0" applyFont="1" applyBorder="1"/>
    <xf numFmtId="0" fontId="7" fillId="0" borderId="0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8" fontId="6" fillId="5" borderId="0" xfId="1" applyNumberFormat="1" applyFont="1" applyFill="1" applyBorder="1" applyAlignment="1">
      <alignment horizontal="center"/>
    </xf>
    <xf numFmtId="8" fontId="5" fillId="5" borderId="0" xfId="1" applyNumberFormat="1" applyFont="1" applyFill="1" applyBorder="1" applyAlignment="1">
      <alignment horizontal="left" vertical="top"/>
    </xf>
    <xf numFmtId="8" fontId="10" fillId="5" borderId="0" xfId="1" applyNumberFormat="1" applyFont="1" applyFill="1" applyBorder="1" applyAlignment="1">
      <alignment horizontal="center" vertical="top"/>
    </xf>
    <xf numFmtId="44" fontId="7" fillId="0" borderId="0" xfId="1" applyFont="1" applyFill="1" applyBorder="1" applyAlignment="1">
      <alignment horizontal="center"/>
    </xf>
    <xf numFmtId="44" fontId="6" fillId="0" borderId="0" xfId="1" applyFont="1" applyFill="1" applyBorder="1" applyAlignment="1">
      <alignment horizontal="center"/>
    </xf>
    <xf numFmtId="8" fontId="6" fillId="0" borderId="0" xfId="1" applyNumberFormat="1" applyFont="1" applyFill="1" applyBorder="1" applyAlignment="1">
      <alignment horizontal="center"/>
    </xf>
    <xf numFmtId="8" fontId="10" fillId="0" borderId="0" xfId="1" applyNumberFormat="1" applyFont="1" applyFill="1" applyBorder="1" applyAlignment="1">
      <alignment horizontal="center" vertical="top"/>
    </xf>
    <xf numFmtId="0" fontId="7" fillId="0" borderId="0" xfId="0" applyFont="1" applyBorder="1" applyAlignment="1">
      <alignment horizontal="right"/>
    </xf>
    <xf numFmtId="2" fontId="7" fillId="0" borderId="5" xfId="0" applyNumberFormat="1" applyFont="1" applyBorder="1" applyAlignment="1">
      <alignment horizontal="right"/>
    </xf>
    <xf numFmtId="2" fontId="7" fillId="0" borderId="5" xfId="0" applyNumberFormat="1" applyFont="1" applyFill="1" applyBorder="1" applyAlignment="1">
      <alignment horizontal="right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1" fillId="4" borderId="11" xfId="0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0" fontId="11" fillId="0" borderId="9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7" fillId="0" borderId="6" xfId="0" applyFont="1" applyBorder="1"/>
    <xf numFmtId="0" fontId="7" fillId="0" borderId="10" xfId="0" applyFont="1" applyBorder="1"/>
    <xf numFmtId="0" fontId="7" fillId="2" borderId="0" xfId="0" applyFont="1" applyFill="1" applyBorder="1"/>
    <xf numFmtId="0" fontId="7" fillId="2" borderId="0" xfId="0" applyFont="1" applyFill="1"/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/>
    <xf numFmtId="0" fontId="2" fillId="0" borderId="2" xfId="0" applyFont="1" applyBorder="1"/>
    <xf numFmtId="0" fontId="2" fillId="0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/>
    <xf numFmtId="8" fontId="12" fillId="3" borderId="0" xfId="1" applyNumberFormat="1" applyFont="1" applyFill="1" applyBorder="1" applyAlignment="1">
      <alignment horizontal="center"/>
    </xf>
    <xf numFmtId="8" fontId="13" fillId="3" borderId="0" xfId="1" applyNumberFormat="1" applyFont="1" applyFill="1" applyBorder="1" applyAlignment="1">
      <alignment horizontal="left" vertical="top"/>
    </xf>
    <xf numFmtId="8" fontId="14" fillId="3" borderId="0" xfId="1" applyNumberFormat="1" applyFont="1" applyFill="1" applyBorder="1" applyAlignment="1">
      <alignment horizontal="center" vertical="top"/>
    </xf>
    <xf numFmtId="8" fontId="12" fillId="0" borderId="7" xfId="1" applyNumberFormat="1" applyFont="1" applyFill="1" applyBorder="1" applyAlignment="1"/>
    <xf numFmtId="44" fontId="2" fillId="0" borderId="0" xfId="1" applyFont="1" applyBorder="1"/>
    <xf numFmtId="44" fontId="2" fillId="0" borderId="0" xfId="1" applyFont="1" applyFill="1" applyBorder="1"/>
    <xf numFmtId="0" fontId="3" fillId="0" borderId="0" xfId="0" applyFont="1" applyBorder="1"/>
    <xf numFmtId="8" fontId="14" fillId="0" borderId="7" xfId="1" applyNumberFormat="1" applyFont="1" applyFill="1" applyBorder="1" applyAlignment="1"/>
    <xf numFmtId="0" fontId="2" fillId="0" borderId="0" xfId="0" applyFont="1" applyBorder="1" applyAlignment="1">
      <alignment vertical="center"/>
    </xf>
    <xf numFmtId="8" fontId="12" fillId="0" borderId="0" xfId="1" applyNumberFormat="1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vertical="center"/>
    </xf>
    <xf numFmtId="0" fontId="15" fillId="4" borderId="11" xfId="0" applyFont="1" applyFill="1" applyBorder="1" applyAlignment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3" fillId="0" borderId="3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13" fillId="2" borderId="0" xfId="0" applyFont="1" applyFill="1" applyBorder="1" applyAlignment="1">
      <alignment horizontal="left" vertical="center"/>
    </xf>
    <xf numFmtId="0" fontId="2" fillId="2" borderId="0" xfId="0" applyFont="1" applyFill="1"/>
    <xf numFmtId="0" fontId="13" fillId="0" borderId="4" xfId="0" applyFont="1" applyFill="1" applyBorder="1"/>
    <xf numFmtId="0" fontId="14" fillId="0" borderId="8" xfId="0" applyFont="1" applyFill="1" applyBorder="1" applyAlignment="1">
      <alignment horizontal="center" vertical="center"/>
    </xf>
    <xf numFmtId="0" fontId="13" fillId="0" borderId="4" xfId="0" applyFont="1" applyBorder="1"/>
    <xf numFmtId="0" fontId="14" fillId="0" borderId="8" xfId="0" applyFont="1" applyFill="1" applyBorder="1" applyAlignment="1">
      <alignment horizontal="center" vertical="center" wrapText="1"/>
    </xf>
    <xf numFmtId="0" fontId="13" fillId="0" borderId="7" xfId="0" applyFont="1" applyBorder="1"/>
    <xf numFmtId="0" fontId="14" fillId="0" borderId="7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4" fillId="0" borderId="9" xfId="0" applyFont="1" applyFill="1" applyBorder="1" applyAlignment="1">
      <alignment horizontal="center" vertical="center"/>
    </xf>
    <xf numFmtId="0" fontId="13" fillId="0" borderId="5" xfId="0" applyFont="1" applyBorder="1"/>
    <xf numFmtId="0" fontId="14" fillId="0" borderId="9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3" fillId="0" borderId="0" xfId="0" applyFont="1" applyBorder="1"/>
    <xf numFmtId="0" fontId="2" fillId="0" borderId="6" xfId="0" applyFont="1" applyBorder="1"/>
    <xf numFmtId="0" fontId="2" fillId="0" borderId="10" xfId="0" applyFont="1" applyBorder="1"/>
    <xf numFmtId="0" fontId="13" fillId="0" borderId="6" xfId="0" applyFont="1" applyBorder="1"/>
    <xf numFmtId="0" fontId="13" fillId="0" borderId="2" xfId="0" applyFont="1" applyBorder="1"/>
    <xf numFmtId="0" fontId="16" fillId="0" borderId="0" xfId="2" applyFont="1" applyAlignment="1">
      <alignment vertical="center"/>
    </xf>
    <xf numFmtId="0" fontId="16" fillId="0" borderId="0" xfId="2" applyFont="1" applyAlignment="1">
      <alignment horizontal="center" vertical="center"/>
    </xf>
    <xf numFmtId="0" fontId="17" fillId="10" borderId="16" xfId="2" applyFont="1" applyFill="1" applyBorder="1" applyAlignment="1">
      <alignment horizontal="center" vertical="center" wrapText="1"/>
    </xf>
    <xf numFmtId="0" fontId="17" fillId="6" borderId="17" xfId="2" applyFont="1" applyFill="1" applyBorder="1" applyAlignment="1">
      <alignment horizontal="center" vertical="center" wrapText="1"/>
    </xf>
    <xf numFmtId="0" fontId="17" fillId="6" borderId="18" xfId="2" applyFont="1" applyFill="1" applyBorder="1" applyAlignment="1">
      <alignment horizontal="center" vertical="center" wrapText="1"/>
    </xf>
    <xf numFmtId="9" fontId="17" fillId="7" borderId="18" xfId="2" applyNumberFormat="1" applyFont="1" applyFill="1" applyBorder="1" applyAlignment="1">
      <alignment horizontal="center" vertical="center" wrapText="1"/>
    </xf>
    <xf numFmtId="9" fontId="17" fillId="8" borderId="18" xfId="2" applyNumberFormat="1" applyFont="1" applyFill="1" applyBorder="1" applyAlignment="1">
      <alignment horizontal="center" vertical="center" wrapText="1"/>
    </xf>
    <xf numFmtId="0" fontId="17" fillId="8" borderId="18" xfId="2" applyFont="1" applyFill="1" applyBorder="1" applyAlignment="1">
      <alignment horizontal="center" vertical="center" wrapText="1"/>
    </xf>
    <xf numFmtId="9" fontId="17" fillId="9" borderId="18" xfId="2" applyNumberFormat="1" applyFont="1" applyFill="1" applyBorder="1" applyAlignment="1">
      <alignment horizontal="center" vertical="center" wrapText="1"/>
    </xf>
    <xf numFmtId="0" fontId="18" fillId="0" borderId="17" xfId="2" applyFont="1" applyBorder="1" applyAlignment="1">
      <alignment horizontal="center" vertical="center" wrapText="1"/>
    </xf>
    <xf numFmtId="0" fontId="18" fillId="0" borderId="19" xfId="2" applyFont="1" applyBorder="1" applyAlignment="1">
      <alignment horizontal="center" vertical="center" wrapText="1"/>
    </xf>
    <xf numFmtId="0" fontId="17" fillId="6" borderId="20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vertical="center" wrapText="1"/>
    </xf>
    <xf numFmtId="2" fontId="19" fillId="0" borderId="19" xfId="2" applyNumberFormat="1" applyFont="1" applyBorder="1" applyAlignment="1">
      <alignment horizontal="center" vertical="center" wrapText="1"/>
    </xf>
    <xf numFmtId="2" fontId="19" fillId="11" borderId="19" xfId="2" applyNumberFormat="1" applyFont="1" applyFill="1" applyBorder="1" applyAlignment="1">
      <alignment horizontal="center" vertical="center" wrapText="1"/>
    </xf>
    <xf numFmtId="0" fontId="16" fillId="0" borderId="18" xfId="2" applyFont="1" applyFill="1" applyBorder="1" applyAlignment="1">
      <alignment vertical="center" wrapText="1"/>
    </xf>
    <xf numFmtId="0" fontId="18" fillId="0" borderId="21" xfId="2" applyFont="1" applyBorder="1" applyAlignment="1">
      <alignment horizontal="center" vertical="center" wrapText="1"/>
    </xf>
    <xf numFmtId="2" fontId="17" fillId="12" borderId="19" xfId="2" applyNumberFormat="1" applyFont="1" applyFill="1" applyBorder="1" applyAlignment="1">
      <alignment horizontal="center" vertical="center" wrapText="1"/>
    </xf>
    <xf numFmtId="0" fontId="17" fillId="12" borderId="22" xfId="2" applyFont="1" applyFill="1" applyBorder="1" applyAlignment="1">
      <alignment vertical="center"/>
    </xf>
    <xf numFmtId="44" fontId="17" fillId="12" borderId="22" xfId="1" applyFont="1" applyFill="1" applyBorder="1" applyAlignment="1">
      <alignment horizontal="center" vertical="center"/>
    </xf>
    <xf numFmtId="0" fontId="16" fillId="12" borderId="22" xfId="2" applyFont="1" applyFill="1" applyBorder="1" applyAlignment="1">
      <alignment vertical="center"/>
    </xf>
    <xf numFmtId="0" fontId="16" fillId="12" borderId="22" xfId="2" applyFont="1" applyFill="1" applyBorder="1" applyAlignment="1">
      <alignment horizontal="center" vertical="center"/>
    </xf>
    <xf numFmtId="0" fontId="16" fillId="12" borderId="23" xfId="2" applyFont="1" applyFill="1" applyBorder="1" applyAlignment="1">
      <alignment vertical="center"/>
    </xf>
    <xf numFmtId="0" fontId="16" fillId="12" borderId="24" xfId="2" applyFont="1" applyFill="1" applyBorder="1" applyAlignment="1">
      <alignment horizontal="center" vertical="center"/>
    </xf>
    <xf numFmtId="9" fontId="17" fillId="10" borderId="25" xfId="2" applyNumberFormat="1" applyFont="1" applyFill="1" applyBorder="1" applyAlignment="1">
      <alignment horizontal="center" vertical="center"/>
    </xf>
    <xf numFmtId="0" fontId="17" fillId="6" borderId="18" xfId="2" applyFont="1" applyFill="1" applyBorder="1" applyAlignment="1">
      <alignment horizontal="center" vertical="center" wrapText="1"/>
    </xf>
    <xf numFmtId="0" fontId="21" fillId="0" borderId="18" xfId="2" applyFont="1" applyFill="1" applyBorder="1" applyAlignment="1">
      <alignment vertical="center" wrapText="1"/>
    </xf>
    <xf numFmtId="9" fontId="17" fillId="13" borderId="18" xfId="2" applyNumberFormat="1" applyFont="1" applyFill="1" applyBorder="1" applyAlignment="1">
      <alignment horizontal="center" vertical="center" wrapText="1"/>
    </xf>
    <xf numFmtId="0" fontId="17" fillId="9" borderId="18" xfId="2" applyFont="1" applyFill="1" applyBorder="1" applyAlignment="1">
      <alignment horizontal="center" vertical="center" wrapText="1"/>
    </xf>
    <xf numFmtId="0" fontId="17" fillId="0" borderId="0" xfId="2" applyFont="1" applyFill="1" applyBorder="1" applyAlignment="1">
      <alignment horizontal="center" vertical="center" wrapText="1"/>
    </xf>
    <xf numFmtId="9" fontId="17" fillId="0" borderId="0" xfId="2" applyNumberFormat="1" applyFont="1" applyFill="1" applyBorder="1" applyAlignment="1">
      <alignment horizontal="center" vertical="center" wrapText="1"/>
    </xf>
    <xf numFmtId="2" fontId="19" fillId="0" borderId="0" xfId="2" applyNumberFormat="1" applyFont="1" applyFill="1" applyBorder="1" applyAlignment="1">
      <alignment horizontal="center" vertical="center" wrapText="1"/>
    </xf>
    <xf numFmtId="0" fontId="17" fillId="6" borderId="32" xfId="2" applyFont="1" applyFill="1" applyBorder="1" applyAlignment="1">
      <alignment horizontal="center" vertical="center" wrapText="1"/>
    </xf>
    <xf numFmtId="9" fontId="17" fillId="9" borderId="33" xfId="2" applyNumberFormat="1" applyFont="1" applyFill="1" applyBorder="1" applyAlignment="1">
      <alignment horizontal="center" vertical="center" wrapText="1"/>
    </xf>
    <xf numFmtId="0" fontId="18" fillId="0" borderId="32" xfId="2" applyFont="1" applyBorder="1" applyAlignment="1">
      <alignment horizontal="center" vertical="center" wrapText="1"/>
    </xf>
    <xf numFmtId="2" fontId="19" fillId="0" borderId="34" xfId="2" applyNumberFormat="1" applyFont="1" applyBorder="1" applyAlignment="1">
      <alignment horizontal="center" vertical="center" wrapText="1"/>
    </xf>
    <xf numFmtId="0" fontId="18" fillId="0" borderId="35" xfId="2" applyFont="1" applyBorder="1" applyAlignment="1">
      <alignment horizontal="center" vertical="center" wrapText="1"/>
    </xf>
    <xf numFmtId="0" fontId="16" fillId="12" borderId="36" xfId="2" applyFont="1" applyFill="1" applyBorder="1" applyAlignment="1">
      <alignment vertical="center"/>
    </xf>
    <xf numFmtId="0" fontId="16" fillId="12" borderId="37" xfId="2" applyFont="1" applyFill="1" applyBorder="1" applyAlignment="1">
      <alignment vertical="center"/>
    </xf>
    <xf numFmtId="0" fontId="17" fillId="12" borderId="37" xfId="2" applyFont="1" applyFill="1" applyBorder="1" applyAlignment="1">
      <alignment vertical="center" wrapText="1"/>
    </xf>
    <xf numFmtId="44" fontId="17" fillId="12" borderId="37" xfId="1" applyFont="1" applyFill="1" applyBorder="1" applyAlignment="1">
      <alignment horizontal="center" vertical="center"/>
    </xf>
    <xf numFmtId="0" fontId="16" fillId="12" borderId="37" xfId="2" applyFont="1" applyFill="1" applyBorder="1" applyAlignment="1">
      <alignment horizontal="center" vertical="center"/>
    </xf>
    <xf numFmtId="0" fontId="16" fillId="12" borderId="38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9" fontId="17" fillId="10" borderId="39" xfId="2" applyNumberFormat="1" applyFont="1" applyFill="1" applyBorder="1" applyAlignment="1">
      <alignment horizontal="center" vertical="center" wrapText="1"/>
    </xf>
    <xf numFmtId="9" fontId="17" fillId="10" borderId="40" xfId="2" applyNumberFormat="1" applyFont="1" applyFill="1" applyBorder="1" applyAlignment="1">
      <alignment horizontal="center" vertical="center" wrapText="1"/>
    </xf>
    <xf numFmtId="2" fontId="19" fillId="11" borderId="41" xfId="2" applyNumberFormat="1" applyFont="1" applyFill="1" applyBorder="1" applyAlignment="1">
      <alignment horizontal="center" vertical="center" wrapText="1"/>
    </xf>
    <xf numFmtId="2" fontId="19" fillId="11" borderId="42" xfId="2" applyNumberFormat="1" applyFont="1" applyFill="1" applyBorder="1" applyAlignment="1">
      <alignment horizontal="center" vertical="center" wrapText="1"/>
    </xf>
    <xf numFmtId="0" fontId="22" fillId="0" borderId="18" xfId="2" applyFont="1" applyBorder="1" applyAlignment="1">
      <alignment vertical="center" wrapText="1"/>
    </xf>
    <xf numFmtId="0" fontId="17" fillId="0" borderId="0" xfId="2" applyFont="1" applyAlignment="1">
      <alignment horizontal="right" vertical="center" wrapText="1"/>
    </xf>
    <xf numFmtId="0" fontId="17" fillId="6" borderId="3" xfId="2" applyFont="1" applyFill="1" applyBorder="1" applyAlignment="1">
      <alignment horizontal="center" vertical="center" wrapText="1"/>
    </xf>
    <xf numFmtId="0" fontId="17" fillId="6" borderId="13" xfId="2" applyFont="1" applyFill="1" applyBorder="1" applyAlignment="1">
      <alignment horizontal="center" vertical="center" wrapText="1"/>
    </xf>
    <xf numFmtId="0" fontId="17" fillId="6" borderId="14" xfId="2" applyFont="1" applyFill="1" applyBorder="1" applyAlignment="1">
      <alignment horizontal="center" vertical="center" textRotation="90" wrapText="1"/>
    </xf>
    <xf numFmtId="0" fontId="17" fillId="6" borderId="18" xfId="2" applyFont="1" applyFill="1" applyBorder="1" applyAlignment="1">
      <alignment horizontal="center" vertical="center" textRotation="90" wrapText="1"/>
    </xf>
    <xf numFmtId="0" fontId="17" fillId="6" borderId="14" xfId="2" applyFont="1" applyFill="1" applyBorder="1" applyAlignment="1">
      <alignment horizontal="center" vertical="center" wrapText="1"/>
    </xf>
    <xf numFmtId="0" fontId="17" fillId="6" borderId="18" xfId="2" applyFont="1" applyFill="1" applyBorder="1" applyAlignment="1">
      <alignment horizontal="center" vertical="center" wrapText="1"/>
    </xf>
    <xf numFmtId="0" fontId="17" fillId="7" borderId="15" xfId="2" applyFont="1" applyFill="1" applyBorder="1" applyAlignment="1">
      <alignment horizontal="center" vertical="center" wrapText="1"/>
    </xf>
    <xf numFmtId="0" fontId="17" fillId="7" borderId="12" xfId="2" applyFont="1" applyFill="1" applyBorder="1" applyAlignment="1">
      <alignment horizontal="center" vertical="center" wrapText="1"/>
    </xf>
    <xf numFmtId="0" fontId="17" fillId="7" borderId="13" xfId="2" applyFont="1" applyFill="1" applyBorder="1" applyAlignment="1">
      <alignment horizontal="center" vertical="center" wrapText="1"/>
    </xf>
    <xf numFmtId="0" fontId="17" fillId="8" borderId="15" xfId="2" applyFont="1" applyFill="1" applyBorder="1" applyAlignment="1">
      <alignment horizontal="center" vertical="center" wrapText="1"/>
    </xf>
    <xf numFmtId="0" fontId="17" fillId="8" borderId="13" xfId="2" applyFont="1" applyFill="1" applyBorder="1" applyAlignment="1">
      <alignment horizontal="center" vertical="center" wrapText="1"/>
    </xf>
    <xf numFmtId="0" fontId="17" fillId="9" borderId="15" xfId="2" applyFont="1" applyFill="1" applyBorder="1" applyAlignment="1">
      <alignment horizontal="center" vertical="center" wrapText="1"/>
    </xf>
    <xf numFmtId="0" fontId="17" fillId="9" borderId="12" xfId="2" applyFont="1" applyFill="1" applyBorder="1" applyAlignment="1">
      <alignment horizontal="center" vertical="center" wrapText="1"/>
    </xf>
    <xf numFmtId="0" fontId="17" fillId="6" borderId="26" xfId="2" applyFont="1" applyFill="1" applyBorder="1" applyAlignment="1">
      <alignment horizontal="center" vertical="center" wrapText="1"/>
    </xf>
    <xf numFmtId="0" fontId="17" fillId="6" borderId="27" xfId="2" applyFont="1" applyFill="1" applyBorder="1" applyAlignment="1">
      <alignment horizontal="center" vertical="center" wrapText="1"/>
    </xf>
    <xf numFmtId="0" fontId="17" fillId="6" borderId="28" xfId="2" applyFont="1" applyFill="1" applyBorder="1" applyAlignment="1">
      <alignment horizontal="center" vertical="center" textRotation="90" wrapText="1"/>
    </xf>
    <xf numFmtId="0" fontId="17" fillId="6" borderId="28" xfId="2" applyFont="1" applyFill="1" applyBorder="1" applyAlignment="1">
      <alignment horizontal="center" vertical="center" wrapText="1"/>
    </xf>
    <xf numFmtId="0" fontId="17" fillId="7" borderId="29" xfId="2" applyFont="1" applyFill="1" applyBorder="1" applyAlignment="1">
      <alignment horizontal="center" vertical="center" wrapText="1"/>
    </xf>
    <xf numFmtId="0" fontId="17" fillId="7" borderId="30" xfId="2" applyFont="1" applyFill="1" applyBorder="1" applyAlignment="1">
      <alignment horizontal="center" vertical="center" wrapText="1"/>
    </xf>
    <xf numFmtId="0" fontId="17" fillId="8" borderId="29" xfId="2" applyFont="1" applyFill="1" applyBorder="1" applyAlignment="1">
      <alignment horizontal="center" vertical="center" wrapText="1"/>
    </xf>
    <xf numFmtId="0" fontId="17" fillId="8" borderId="30" xfId="2" applyFont="1" applyFill="1" applyBorder="1" applyAlignment="1">
      <alignment horizontal="center" vertical="center" wrapText="1"/>
    </xf>
    <xf numFmtId="0" fontId="17" fillId="9" borderId="29" xfId="2" applyFont="1" applyFill="1" applyBorder="1" applyAlignment="1">
      <alignment horizontal="center" vertical="center" wrapText="1"/>
    </xf>
    <xf numFmtId="0" fontId="17" fillId="9" borderId="31" xfId="2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44" fontId="5" fillId="2" borderId="1" xfId="1" applyFont="1" applyFill="1" applyBorder="1" applyAlignment="1">
      <alignment horizontal="center"/>
    </xf>
    <xf numFmtId="44" fontId="7" fillId="2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vertical="center"/>
    </xf>
    <xf numFmtId="8" fontId="12" fillId="0" borderId="1" xfId="1" applyNumberFormat="1" applyFont="1" applyFill="1" applyBorder="1" applyAlignment="1">
      <alignment vertical="center"/>
    </xf>
    <xf numFmtId="44" fontId="12" fillId="0" borderId="1" xfId="1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8" fontId="12" fillId="3" borderId="0" xfId="1" applyNumberFormat="1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4" fontId="6" fillId="0" borderId="1" xfId="1" applyFont="1" applyFill="1" applyBorder="1" applyAlignment="1">
      <alignment horizontal="center"/>
    </xf>
  </cellXfs>
  <cellStyles count="3">
    <cellStyle name="Monétaire" xfId="1" builtinId="4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99FF33"/>
      <color rgb="FF99FF66"/>
      <color rgb="FF800000"/>
      <color rgb="FF006600"/>
      <color rgb="FF33CC33"/>
      <color rgb="FF66FF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centresdentairesviva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centresdentairesviva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48492</xdr:colOff>
      <xdr:row>0</xdr:row>
      <xdr:rowOff>6929</xdr:rowOff>
    </xdr:from>
    <xdr:to>
      <xdr:col>3</xdr:col>
      <xdr:colOff>477983</xdr:colOff>
      <xdr:row>1</xdr:row>
      <xdr:rowOff>266223</xdr:rowOff>
    </xdr:to>
    <xdr:pic>
      <xdr:nvPicPr>
        <xdr:cNvPr id="2" name="Image 3" descr="logo-30o3i3t1ikmvdomrsxt5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2" y="6929"/>
          <a:ext cx="1427018" cy="377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48492</xdr:colOff>
      <xdr:row>0</xdr:row>
      <xdr:rowOff>6929</xdr:rowOff>
    </xdr:from>
    <xdr:to>
      <xdr:col>3</xdr:col>
      <xdr:colOff>477983</xdr:colOff>
      <xdr:row>1</xdr:row>
      <xdr:rowOff>266223</xdr:rowOff>
    </xdr:to>
    <xdr:pic>
      <xdr:nvPicPr>
        <xdr:cNvPr id="2" name="Image 3" descr="logo-30o3i3t1ikmvdomrsxt5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2" y="6929"/>
          <a:ext cx="1505816" cy="373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3"/>
  <sheetViews>
    <sheetView showGridLines="0" topLeftCell="A4" zoomScale="120" zoomScaleNormal="120" workbookViewId="0">
      <selection activeCell="O6" sqref="O6"/>
    </sheetView>
  </sheetViews>
  <sheetFormatPr baseColWidth="10" defaultColWidth="11.42578125" defaultRowHeight="11.25" x14ac:dyDescent="0.25"/>
  <cols>
    <col min="1" max="2" width="5.42578125" style="121" customWidth="1"/>
    <col min="3" max="3" width="5.28515625" style="121" customWidth="1"/>
    <col min="4" max="4" width="41.28515625" style="121" customWidth="1"/>
    <col min="5" max="11" width="9" style="122" customWidth="1"/>
    <col min="12" max="12" width="9" style="121" customWidth="1"/>
    <col min="13" max="253" width="11.42578125" style="121"/>
    <col min="254" max="254" width="4.42578125" style="121" customWidth="1"/>
    <col min="255" max="255" width="4.28515625" style="121" customWidth="1"/>
    <col min="256" max="256" width="3.7109375" style="121" customWidth="1"/>
    <col min="257" max="257" width="46.5703125" style="121" customWidth="1"/>
    <col min="258" max="258" width="7.7109375" style="121" customWidth="1"/>
    <col min="259" max="259" width="8.85546875" style="121" customWidth="1"/>
    <col min="260" max="260" width="6.7109375" style="121" customWidth="1"/>
    <col min="261" max="261" width="6.5703125" style="121" customWidth="1"/>
    <col min="262" max="262" width="6.7109375" style="121" customWidth="1"/>
    <col min="263" max="263" width="5.7109375" style="121" customWidth="1"/>
    <col min="264" max="264" width="7.140625" style="121" customWidth="1"/>
    <col min="265" max="265" width="8.85546875" style="121" customWidth="1"/>
    <col min="266" max="266" width="9.28515625" style="121" customWidth="1"/>
    <col min="267" max="267" width="8.85546875" style="121" customWidth="1"/>
    <col min="268" max="509" width="11.42578125" style="121"/>
    <col min="510" max="510" width="4.42578125" style="121" customWidth="1"/>
    <col min="511" max="511" width="4.28515625" style="121" customWidth="1"/>
    <col min="512" max="512" width="3.7109375" style="121" customWidth="1"/>
    <col min="513" max="513" width="46.5703125" style="121" customWidth="1"/>
    <col min="514" max="514" width="7.7109375" style="121" customWidth="1"/>
    <col min="515" max="515" width="8.85546875" style="121" customWidth="1"/>
    <col min="516" max="516" width="6.7109375" style="121" customWidth="1"/>
    <col min="517" max="517" width="6.5703125" style="121" customWidth="1"/>
    <col min="518" max="518" width="6.7109375" style="121" customWidth="1"/>
    <col min="519" max="519" width="5.7109375" style="121" customWidth="1"/>
    <col min="520" max="520" width="7.140625" style="121" customWidth="1"/>
    <col min="521" max="521" width="8.85546875" style="121" customWidth="1"/>
    <col min="522" max="522" width="9.28515625" style="121" customWidth="1"/>
    <col min="523" max="523" width="8.85546875" style="121" customWidth="1"/>
    <col min="524" max="765" width="11.42578125" style="121"/>
    <col min="766" max="766" width="4.42578125" style="121" customWidth="1"/>
    <col min="767" max="767" width="4.28515625" style="121" customWidth="1"/>
    <col min="768" max="768" width="3.7109375" style="121" customWidth="1"/>
    <col min="769" max="769" width="46.5703125" style="121" customWidth="1"/>
    <col min="770" max="770" width="7.7109375" style="121" customWidth="1"/>
    <col min="771" max="771" width="8.85546875" style="121" customWidth="1"/>
    <col min="772" max="772" width="6.7109375" style="121" customWidth="1"/>
    <col min="773" max="773" width="6.5703125" style="121" customWidth="1"/>
    <col min="774" max="774" width="6.7109375" style="121" customWidth="1"/>
    <col min="775" max="775" width="5.7109375" style="121" customWidth="1"/>
    <col min="776" max="776" width="7.140625" style="121" customWidth="1"/>
    <col min="777" max="777" width="8.85546875" style="121" customWidth="1"/>
    <col min="778" max="778" width="9.28515625" style="121" customWidth="1"/>
    <col min="779" max="779" width="8.85546875" style="121" customWidth="1"/>
    <col min="780" max="1021" width="11.42578125" style="121"/>
    <col min="1022" max="1022" width="4.42578125" style="121" customWidth="1"/>
    <col min="1023" max="1023" width="4.28515625" style="121" customWidth="1"/>
    <col min="1024" max="1024" width="3.7109375" style="121" customWidth="1"/>
    <col min="1025" max="1025" width="46.5703125" style="121" customWidth="1"/>
    <col min="1026" max="1026" width="7.7109375" style="121" customWidth="1"/>
    <col min="1027" max="1027" width="8.85546875" style="121" customWidth="1"/>
    <col min="1028" max="1028" width="6.7109375" style="121" customWidth="1"/>
    <col min="1029" max="1029" width="6.5703125" style="121" customWidth="1"/>
    <col min="1030" max="1030" width="6.7109375" style="121" customWidth="1"/>
    <col min="1031" max="1031" width="5.7109375" style="121" customWidth="1"/>
    <col min="1032" max="1032" width="7.140625" style="121" customWidth="1"/>
    <col min="1033" max="1033" width="8.85546875" style="121" customWidth="1"/>
    <col min="1034" max="1034" width="9.28515625" style="121" customWidth="1"/>
    <col min="1035" max="1035" width="8.85546875" style="121" customWidth="1"/>
    <col min="1036" max="1277" width="11.42578125" style="121"/>
    <col min="1278" max="1278" width="4.42578125" style="121" customWidth="1"/>
    <col min="1279" max="1279" width="4.28515625" style="121" customWidth="1"/>
    <col min="1280" max="1280" width="3.7109375" style="121" customWidth="1"/>
    <col min="1281" max="1281" width="46.5703125" style="121" customWidth="1"/>
    <col min="1282" max="1282" width="7.7109375" style="121" customWidth="1"/>
    <col min="1283" max="1283" width="8.85546875" style="121" customWidth="1"/>
    <col min="1284" max="1284" width="6.7109375" style="121" customWidth="1"/>
    <col min="1285" max="1285" width="6.5703125" style="121" customWidth="1"/>
    <col min="1286" max="1286" width="6.7109375" style="121" customWidth="1"/>
    <col min="1287" max="1287" width="5.7109375" style="121" customWidth="1"/>
    <col min="1288" max="1288" width="7.140625" style="121" customWidth="1"/>
    <col min="1289" max="1289" width="8.85546875" style="121" customWidth="1"/>
    <col min="1290" max="1290" width="9.28515625" style="121" customWidth="1"/>
    <col min="1291" max="1291" width="8.85546875" style="121" customWidth="1"/>
    <col min="1292" max="1533" width="11.42578125" style="121"/>
    <col min="1534" max="1534" width="4.42578125" style="121" customWidth="1"/>
    <col min="1535" max="1535" width="4.28515625" style="121" customWidth="1"/>
    <col min="1536" max="1536" width="3.7109375" style="121" customWidth="1"/>
    <col min="1537" max="1537" width="46.5703125" style="121" customWidth="1"/>
    <col min="1538" max="1538" width="7.7109375" style="121" customWidth="1"/>
    <col min="1539" max="1539" width="8.85546875" style="121" customWidth="1"/>
    <col min="1540" max="1540" width="6.7109375" style="121" customWidth="1"/>
    <col min="1541" max="1541" width="6.5703125" style="121" customWidth="1"/>
    <col min="1542" max="1542" width="6.7109375" style="121" customWidth="1"/>
    <col min="1543" max="1543" width="5.7109375" style="121" customWidth="1"/>
    <col min="1544" max="1544" width="7.140625" style="121" customWidth="1"/>
    <col min="1545" max="1545" width="8.85546875" style="121" customWidth="1"/>
    <col min="1546" max="1546" width="9.28515625" style="121" customWidth="1"/>
    <col min="1547" max="1547" width="8.85546875" style="121" customWidth="1"/>
    <col min="1548" max="1789" width="11.42578125" style="121"/>
    <col min="1790" max="1790" width="4.42578125" style="121" customWidth="1"/>
    <col min="1791" max="1791" width="4.28515625" style="121" customWidth="1"/>
    <col min="1792" max="1792" width="3.7109375" style="121" customWidth="1"/>
    <col min="1793" max="1793" width="46.5703125" style="121" customWidth="1"/>
    <col min="1794" max="1794" width="7.7109375" style="121" customWidth="1"/>
    <col min="1795" max="1795" width="8.85546875" style="121" customWidth="1"/>
    <col min="1796" max="1796" width="6.7109375" style="121" customWidth="1"/>
    <col min="1797" max="1797" width="6.5703125" style="121" customWidth="1"/>
    <col min="1798" max="1798" width="6.7109375" style="121" customWidth="1"/>
    <col min="1799" max="1799" width="5.7109375" style="121" customWidth="1"/>
    <col min="1800" max="1800" width="7.140625" style="121" customWidth="1"/>
    <col min="1801" max="1801" width="8.85546875" style="121" customWidth="1"/>
    <col min="1802" max="1802" width="9.28515625" style="121" customWidth="1"/>
    <col min="1803" max="1803" width="8.85546875" style="121" customWidth="1"/>
    <col min="1804" max="2045" width="11.42578125" style="121"/>
    <col min="2046" max="2046" width="4.42578125" style="121" customWidth="1"/>
    <col min="2047" max="2047" width="4.28515625" style="121" customWidth="1"/>
    <col min="2048" max="2048" width="3.7109375" style="121" customWidth="1"/>
    <col min="2049" max="2049" width="46.5703125" style="121" customWidth="1"/>
    <col min="2050" max="2050" width="7.7109375" style="121" customWidth="1"/>
    <col min="2051" max="2051" width="8.85546875" style="121" customWidth="1"/>
    <col min="2052" max="2052" width="6.7109375" style="121" customWidth="1"/>
    <col min="2053" max="2053" width="6.5703125" style="121" customWidth="1"/>
    <col min="2054" max="2054" width="6.7109375" style="121" customWidth="1"/>
    <col min="2055" max="2055" width="5.7109375" style="121" customWidth="1"/>
    <col min="2056" max="2056" width="7.140625" style="121" customWidth="1"/>
    <col min="2057" max="2057" width="8.85546875" style="121" customWidth="1"/>
    <col min="2058" max="2058" width="9.28515625" style="121" customWidth="1"/>
    <col min="2059" max="2059" width="8.85546875" style="121" customWidth="1"/>
    <col min="2060" max="2301" width="11.42578125" style="121"/>
    <col min="2302" max="2302" width="4.42578125" style="121" customWidth="1"/>
    <col min="2303" max="2303" width="4.28515625" style="121" customWidth="1"/>
    <col min="2304" max="2304" width="3.7109375" style="121" customWidth="1"/>
    <col min="2305" max="2305" width="46.5703125" style="121" customWidth="1"/>
    <col min="2306" max="2306" width="7.7109375" style="121" customWidth="1"/>
    <col min="2307" max="2307" width="8.85546875" style="121" customWidth="1"/>
    <col min="2308" max="2308" width="6.7109375" style="121" customWidth="1"/>
    <col min="2309" max="2309" width="6.5703125" style="121" customWidth="1"/>
    <col min="2310" max="2310" width="6.7109375" style="121" customWidth="1"/>
    <col min="2311" max="2311" width="5.7109375" style="121" customWidth="1"/>
    <col min="2312" max="2312" width="7.140625" style="121" customWidth="1"/>
    <col min="2313" max="2313" width="8.85546875" style="121" customWidth="1"/>
    <col min="2314" max="2314" width="9.28515625" style="121" customWidth="1"/>
    <col min="2315" max="2315" width="8.85546875" style="121" customWidth="1"/>
    <col min="2316" max="2557" width="11.42578125" style="121"/>
    <col min="2558" max="2558" width="4.42578125" style="121" customWidth="1"/>
    <col min="2559" max="2559" width="4.28515625" style="121" customWidth="1"/>
    <col min="2560" max="2560" width="3.7109375" style="121" customWidth="1"/>
    <col min="2561" max="2561" width="46.5703125" style="121" customWidth="1"/>
    <col min="2562" max="2562" width="7.7109375" style="121" customWidth="1"/>
    <col min="2563" max="2563" width="8.85546875" style="121" customWidth="1"/>
    <col min="2564" max="2564" width="6.7109375" style="121" customWidth="1"/>
    <col min="2565" max="2565" width="6.5703125" style="121" customWidth="1"/>
    <col min="2566" max="2566" width="6.7109375" style="121" customWidth="1"/>
    <col min="2567" max="2567" width="5.7109375" style="121" customWidth="1"/>
    <col min="2568" max="2568" width="7.140625" style="121" customWidth="1"/>
    <col min="2569" max="2569" width="8.85546875" style="121" customWidth="1"/>
    <col min="2570" max="2570" width="9.28515625" style="121" customWidth="1"/>
    <col min="2571" max="2571" width="8.85546875" style="121" customWidth="1"/>
    <col min="2572" max="2813" width="11.42578125" style="121"/>
    <col min="2814" max="2814" width="4.42578125" style="121" customWidth="1"/>
    <col min="2815" max="2815" width="4.28515625" style="121" customWidth="1"/>
    <col min="2816" max="2816" width="3.7109375" style="121" customWidth="1"/>
    <col min="2817" max="2817" width="46.5703125" style="121" customWidth="1"/>
    <col min="2818" max="2818" width="7.7109375" style="121" customWidth="1"/>
    <col min="2819" max="2819" width="8.85546875" style="121" customWidth="1"/>
    <col min="2820" max="2820" width="6.7109375" style="121" customWidth="1"/>
    <col min="2821" max="2821" width="6.5703125" style="121" customWidth="1"/>
    <col min="2822" max="2822" width="6.7109375" style="121" customWidth="1"/>
    <col min="2823" max="2823" width="5.7109375" style="121" customWidth="1"/>
    <col min="2824" max="2824" width="7.140625" style="121" customWidth="1"/>
    <col min="2825" max="2825" width="8.85546875" style="121" customWidth="1"/>
    <col min="2826" max="2826" width="9.28515625" style="121" customWidth="1"/>
    <col min="2827" max="2827" width="8.85546875" style="121" customWidth="1"/>
    <col min="2828" max="3069" width="11.42578125" style="121"/>
    <col min="3070" max="3070" width="4.42578125" style="121" customWidth="1"/>
    <col min="3071" max="3071" width="4.28515625" style="121" customWidth="1"/>
    <col min="3072" max="3072" width="3.7109375" style="121" customWidth="1"/>
    <col min="3073" max="3073" width="46.5703125" style="121" customWidth="1"/>
    <col min="3074" max="3074" width="7.7109375" style="121" customWidth="1"/>
    <col min="3075" max="3075" width="8.85546875" style="121" customWidth="1"/>
    <col min="3076" max="3076" width="6.7109375" style="121" customWidth="1"/>
    <col min="3077" max="3077" width="6.5703125" style="121" customWidth="1"/>
    <col min="3078" max="3078" width="6.7109375" style="121" customWidth="1"/>
    <col min="3079" max="3079" width="5.7109375" style="121" customWidth="1"/>
    <col min="3080" max="3080" width="7.140625" style="121" customWidth="1"/>
    <col min="3081" max="3081" width="8.85546875" style="121" customWidth="1"/>
    <col min="3082" max="3082" width="9.28515625" style="121" customWidth="1"/>
    <col min="3083" max="3083" width="8.85546875" style="121" customWidth="1"/>
    <col min="3084" max="3325" width="11.42578125" style="121"/>
    <col min="3326" max="3326" width="4.42578125" style="121" customWidth="1"/>
    <col min="3327" max="3327" width="4.28515625" style="121" customWidth="1"/>
    <col min="3328" max="3328" width="3.7109375" style="121" customWidth="1"/>
    <col min="3329" max="3329" width="46.5703125" style="121" customWidth="1"/>
    <col min="3330" max="3330" width="7.7109375" style="121" customWidth="1"/>
    <col min="3331" max="3331" width="8.85546875" style="121" customWidth="1"/>
    <col min="3332" max="3332" width="6.7109375" style="121" customWidth="1"/>
    <col min="3333" max="3333" width="6.5703125" style="121" customWidth="1"/>
    <col min="3334" max="3334" width="6.7109375" style="121" customWidth="1"/>
    <col min="3335" max="3335" width="5.7109375" style="121" customWidth="1"/>
    <col min="3336" max="3336" width="7.140625" style="121" customWidth="1"/>
    <col min="3337" max="3337" width="8.85546875" style="121" customWidth="1"/>
    <col min="3338" max="3338" width="9.28515625" style="121" customWidth="1"/>
    <col min="3339" max="3339" width="8.85546875" style="121" customWidth="1"/>
    <col min="3340" max="3581" width="11.42578125" style="121"/>
    <col min="3582" max="3582" width="4.42578125" style="121" customWidth="1"/>
    <col min="3583" max="3583" width="4.28515625" style="121" customWidth="1"/>
    <col min="3584" max="3584" width="3.7109375" style="121" customWidth="1"/>
    <col min="3585" max="3585" width="46.5703125" style="121" customWidth="1"/>
    <col min="3586" max="3586" width="7.7109375" style="121" customWidth="1"/>
    <col min="3587" max="3587" width="8.85546875" style="121" customWidth="1"/>
    <col min="3588" max="3588" width="6.7109375" style="121" customWidth="1"/>
    <col min="3589" max="3589" width="6.5703125" style="121" customWidth="1"/>
    <col min="3590" max="3590" width="6.7109375" style="121" customWidth="1"/>
    <col min="3591" max="3591" width="5.7109375" style="121" customWidth="1"/>
    <col min="3592" max="3592" width="7.140625" style="121" customWidth="1"/>
    <col min="3593" max="3593" width="8.85546875" style="121" customWidth="1"/>
    <col min="3594" max="3594" width="9.28515625" style="121" customWidth="1"/>
    <col min="3595" max="3595" width="8.85546875" style="121" customWidth="1"/>
    <col min="3596" max="3837" width="11.42578125" style="121"/>
    <col min="3838" max="3838" width="4.42578125" style="121" customWidth="1"/>
    <col min="3839" max="3839" width="4.28515625" style="121" customWidth="1"/>
    <col min="3840" max="3840" width="3.7109375" style="121" customWidth="1"/>
    <col min="3841" max="3841" width="46.5703125" style="121" customWidth="1"/>
    <col min="3842" max="3842" width="7.7109375" style="121" customWidth="1"/>
    <col min="3843" max="3843" width="8.85546875" style="121" customWidth="1"/>
    <col min="3844" max="3844" width="6.7109375" style="121" customWidth="1"/>
    <col min="3845" max="3845" width="6.5703125" style="121" customWidth="1"/>
    <col min="3846" max="3846" width="6.7109375" style="121" customWidth="1"/>
    <col min="3847" max="3847" width="5.7109375" style="121" customWidth="1"/>
    <col min="3848" max="3848" width="7.140625" style="121" customWidth="1"/>
    <col min="3849" max="3849" width="8.85546875" style="121" customWidth="1"/>
    <col min="3850" max="3850" width="9.28515625" style="121" customWidth="1"/>
    <col min="3851" max="3851" width="8.85546875" style="121" customWidth="1"/>
    <col min="3852" max="4093" width="11.42578125" style="121"/>
    <col min="4094" max="4094" width="4.42578125" style="121" customWidth="1"/>
    <col min="4095" max="4095" width="4.28515625" style="121" customWidth="1"/>
    <col min="4096" max="4096" width="3.7109375" style="121" customWidth="1"/>
    <col min="4097" max="4097" width="46.5703125" style="121" customWidth="1"/>
    <col min="4098" max="4098" width="7.7109375" style="121" customWidth="1"/>
    <col min="4099" max="4099" width="8.85546875" style="121" customWidth="1"/>
    <col min="4100" max="4100" width="6.7109375" style="121" customWidth="1"/>
    <col min="4101" max="4101" width="6.5703125" style="121" customWidth="1"/>
    <col min="4102" max="4102" width="6.7109375" style="121" customWidth="1"/>
    <col min="4103" max="4103" width="5.7109375" style="121" customWidth="1"/>
    <col min="4104" max="4104" width="7.140625" style="121" customWidth="1"/>
    <col min="4105" max="4105" width="8.85546875" style="121" customWidth="1"/>
    <col min="4106" max="4106" width="9.28515625" style="121" customWidth="1"/>
    <col min="4107" max="4107" width="8.85546875" style="121" customWidth="1"/>
    <col min="4108" max="4349" width="11.42578125" style="121"/>
    <col min="4350" max="4350" width="4.42578125" style="121" customWidth="1"/>
    <col min="4351" max="4351" width="4.28515625" style="121" customWidth="1"/>
    <col min="4352" max="4352" width="3.7109375" style="121" customWidth="1"/>
    <col min="4353" max="4353" width="46.5703125" style="121" customWidth="1"/>
    <col min="4354" max="4354" width="7.7109375" style="121" customWidth="1"/>
    <col min="4355" max="4355" width="8.85546875" style="121" customWidth="1"/>
    <col min="4356" max="4356" width="6.7109375" style="121" customWidth="1"/>
    <col min="4357" max="4357" width="6.5703125" style="121" customWidth="1"/>
    <col min="4358" max="4358" width="6.7109375" style="121" customWidth="1"/>
    <col min="4359" max="4359" width="5.7109375" style="121" customWidth="1"/>
    <col min="4360" max="4360" width="7.140625" style="121" customWidth="1"/>
    <col min="4361" max="4361" width="8.85546875" style="121" customWidth="1"/>
    <col min="4362" max="4362" width="9.28515625" style="121" customWidth="1"/>
    <col min="4363" max="4363" width="8.85546875" style="121" customWidth="1"/>
    <col min="4364" max="4605" width="11.42578125" style="121"/>
    <col min="4606" max="4606" width="4.42578125" style="121" customWidth="1"/>
    <col min="4607" max="4607" width="4.28515625" style="121" customWidth="1"/>
    <col min="4608" max="4608" width="3.7109375" style="121" customWidth="1"/>
    <col min="4609" max="4609" width="46.5703125" style="121" customWidth="1"/>
    <col min="4610" max="4610" width="7.7109375" style="121" customWidth="1"/>
    <col min="4611" max="4611" width="8.85546875" style="121" customWidth="1"/>
    <col min="4612" max="4612" width="6.7109375" style="121" customWidth="1"/>
    <col min="4613" max="4613" width="6.5703125" style="121" customWidth="1"/>
    <col min="4614" max="4614" width="6.7109375" style="121" customWidth="1"/>
    <col min="4615" max="4615" width="5.7109375" style="121" customWidth="1"/>
    <col min="4616" max="4616" width="7.140625" style="121" customWidth="1"/>
    <col min="4617" max="4617" width="8.85546875" style="121" customWidth="1"/>
    <col min="4618" max="4618" width="9.28515625" style="121" customWidth="1"/>
    <col min="4619" max="4619" width="8.85546875" style="121" customWidth="1"/>
    <col min="4620" max="4861" width="11.42578125" style="121"/>
    <col min="4862" max="4862" width="4.42578125" style="121" customWidth="1"/>
    <col min="4863" max="4863" width="4.28515625" style="121" customWidth="1"/>
    <col min="4864" max="4864" width="3.7109375" style="121" customWidth="1"/>
    <col min="4865" max="4865" width="46.5703125" style="121" customWidth="1"/>
    <col min="4866" max="4866" width="7.7109375" style="121" customWidth="1"/>
    <col min="4867" max="4867" width="8.85546875" style="121" customWidth="1"/>
    <col min="4868" max="4868" width="6.7109375" style="121" customWidth="1"/>
    <col min="4869" max="4869" width="6.5703125" style="121" customWidth="1"/>
    <col min="4870" max="4870" width="6.7109375" style="121" customWidth="1"/>
    <col min="4871" max="4871" width="5.7109375" style="121" customWidth="1"/>
    <col min="4872" max="4872" width="7.140625" style="121" customWidth="1"/>
    <col min="4873" max="4873" width="8.85546875" style="121" customWidth="1"/>
    <col min="4874" max="4874" width="9.28515625" style="121" customWidth="1"/>
    <col min="4875" max="4875" width="8.85546875" style="121" customWidth="1"/>
    <col min="4876" max="5117" width="11.42578125" style="121"/>
    <col min="5118" max="5118" width="4.42578125" style="121" customWidth="1"/>
    <col min="5119" max="5119" width="4.28515625" style="121" customWidth="1"/>
    <col min="5120" max="5120" width="3.7109375" style="121" customWidth="1"/>
    <col min="5121" max="5121" width="46.5703125" style="121" customWidth="1"/>
    <col min="5122" max="5122" width="7.7109375" style="121" customWidth="1"/>
    <col min="5123" max="5123" width="8.85546875" style="121" customWidth="1"/>
    <col min="5124" max="5124" width="6.7109375" style="121" customWidth="1"/>
    <col min="5125" max="5125" width="6.5703125" style="121" customWidth="1"/>
    <col min="5126" max="5126" width="6.7109375" style="121" customWidth="1"/>
    <col min="5127" max="5127" width="5.7109375" style="121" customWidth="1"/>
    <col min="5128" max="5128" width="7.140625" style="121" customWidth="1"/>
    <col min="5129" max="5129" width="8.85546875" style="121" customWidth="1"/>
    <col min="5130" max="5130" width="9.28515625" style="121" customWidth="1"/>
    <col min="5131" max="5131" width="8.85546875" style="121" customWidth="1"/>
    <col min="5132" max="5373" width="11.42578125" style="121"/>
    <col min="5374" max="5374" width="4.42578125" style="121" customWidth="1"/>
    <col min="5375" max="5375" width="4.28515625" style="121" customWidth="1"/>
    <col min="5376" max="5376" width="3.7109375" style="121" customWidth="1"/>
    <col min="5377" max="5377" width="46.5703125" style="121" customWidth="1"/>
    <col min="5378" max="5378" width="7.7109375" style="121" customWidth="1"/>
    <col min="5379" max="5379" width="8.85546875" style="121" customWidth="1"/>
    <col min="5380" max="5380" width="6.7109375" style="121" customWidth="1"/>
    <col min="5381" max="5381" width="6.5703125" style="121" customWidth="1"/>
    <col min="5382" max="5382" width="6.7109375" style="121" customWidth="1"/>
    <col min="5383" max="5383" width="5.7109375" style="121" customWidth="1"/>
    <col min="5384" max="5384" width="7.140625" style="121" customWidth="1"/>
    <col min="5385" max="5385" width="8.85546875" style="121" customWidth="1"/>
    <col min="5386" max="5386" width="9.28515625" style="121" customWidth="1"/>
    <col min="5387" max="5387" width="8.85546875" style="121" customWidth="1"/>
    <col min="5388" max="5629" width="11.42578125" style="121"/>
    <col min="5630" max="5630" width="4.42578125" style="121" customWidth="1"/>
    <col min="5631" max="5631" width="4.28515625" style="121" customWidth="1"/>
    <col min="5632" max="5632" width="3.7109375" style="121" customWidth="1"/>
    <col min="5633" max="5633" width="46.5703125" style="121" customWidth="1"/>
    <col min="5634" max="5634" width="7.7109375" style="121" customWidth="1"/>
    <col min="5635" max="5635" width="8.85546875" style="121" customWidth="1"/>
    <col min="5636" max="5636" width="6.7109375" style="121" customWidth="1"/>
    <col min="5637" max="5637" width="6.5703125" style="121" customWidth="1"/>
    <col min="5638" max="5638" width="6.7109375" style="121" customWidth="1"/>
    <col min="5639" max="5639" width="5.7109375" style="121" customWidth="1"/>
    <col min="5640" max="5640" width="7.140625" style="121" customWidth="1"/>
    <col min="5641" max="5641" width="8.85546875" style="121" customWidth="1"/>
    <col min="5642" max="5642" width="9.28515625" style="121" customWidth="1"/>
    <col min="5643" max="5643" width="8.85546875" style="121" customWidth="1"/>
    <col min="5644" max="5885" width="11.42578125" style="121"/>
    <col min="5886" max="5886" width="4.42578125" style="121" customWidth="1"/>
    <col min="5887" max="5887" width="4.28515625" style="121" customWidth="1"/>
    <col min="5888" max="5888" width="3.7109375" style="121" customWidth="1"/>
    <col min="5889" max="5889" width="46.5703125" style="121" customWidth="1"/>
    <col min="5890" max="5890" width="7.7109375" style="121" customWidth="1"/>
    <col min="5891" max="5891" width="8.85546875" style="121" customWidth="1"/>
    <col min="5892" max="5892" width="6.7109375" style="121" customWidth="1"/>
    <col min="5893" max="5893" width="6.5703125" style="121" customWidth="1"/>
    <col min="5894" max="5894" width="6.7109375" style="121" customWidth="1"/>
    <col min="5895" max="5895" width="5.7109375" style="121" customWidth="1"/>
    <col min="5896" max="5896" width="7.140625" style="121" customWidth="1"/>
    <col min="5897" max="5897" width="8.85546875" style="121" customWidth="1"/>
    <col min="5898" max="5898" width="9.28515625" style="121" customWidth="1"/>
    <col min="5899" max="5899" width="8.85546875" style="121" customWidth="1"/>
    <col min="5900" max="6141" width="11.42578125" style="121"/>
    <col min="6142" max="6142" width="4.42578125" style="121" customWidth="1"/>
    <col min="6143" max="6143" width="4.28515625" style="121" customWidth="1"/>
    <col min="6144" max="6144" width="3.7109375" style="121" customWidth="1"/>
    <col min="6145" max="6145" width="46.5703125" style="121" customWidth="1"/>
    <col min="6146" max="6146" width="7.7109375" style="121" customWidth="1"/>
    <col min="6147" max="6147" width="8.85546875" style="121" customWidth="1"/>
    <col min="6148" max="6148" width="6.7109375" style="121" customWidth="1"/>
    <col min="6149" max="6149" width="6.5703125" style="121" customWidth="1"/>
    <col min="6150" max="6150" width="6.7109375" style="121" customWidth="1"/>
    <col min="6151" max="6151" width="5.7109375" style="121" customWidth="1"/>
    <col min="6152" max="6152" width="7.140625" style="121" customWidth="1"/>
    <col min="6153" max="6153" width="8.85546875" style="121" customWidth="1"/>
    <col min="6154" max="6154" width="9.28515625" style="121" customWidth="1"/>
    <col min="6155" max="6155" width="8.85546875" style="121" customWidth="1"/>
    <col min="6156" max="6397" width="11.42578125" style="121"/>
    <col min="6398" max="6398" width="4.42578125" style="121" customWidth="1"/>
    <col min="6399" max="6399" width="4.28515625" style="121" customWidth="1"/>
    <col min="6400" max="6400" width="3.7109375" style="121" customWidth="1"/>
    <col min="6401" max="6401" width="46.5703125" style="121" customWidth="1"/>
    <col min="6402" max="6402" width="7.7109375" style="121" customWidth="1"/>
    <col min="6403" max="6403" width="8.85546875" style="121" customWidth="1"/>
    <col min="6404" max="6404" width="6.7109375" style="121" customWidth="1"/>
    <col min="6405" max="6405" width="6.5703125" style="121" customWidth="1"/>
    <col min="6406" max="6406" width="6.7109375" style="121" customWidth="1"/>
    <col min="6407" max="6407" width="5.7109375" style="121" customWidth="1"/>
    <col min="6408" max="6408" width="7.140625" style="121" customWidth="1"/>
    <col min="6409" max="6409" width="8.85546875" style="121" customWidth="1"/>
    <col min="6410" max="6410" width="9.28515625" style="121" customWidth="1"/>
    <col min="6411" max="6411" width="8.85546875" style="121" customWidth="1"/>
    <col min="6412" max="6653" width="11.42578125" style="121"/>
    <col min="6654" max="6654" width="4.42578125" style="121" customWidth="1"/>
    <col min="6655" max="6655" width="4.28515625" style="121" customWidth="1"/>
    <col min="6656" max="6656" width="3.7109375" style="121" customWidth="1"/>
    <col min="6657" max="6657" width="46.5703125" style="121" customWidth="1"/>
    <col min="6658" max="6658" width="7.7109375" style="121" customWidth="1"/>
    <col min="6659" max="6659" width="8.85546875" style="121" customWidth="1"/>
    <col min="6660" max="6660" width="6.7109375" style="121" customWidth="1"/>
    <col min="6661" max="6661" width="6.5703125" style="121" customWidth="1"/>
    <col min="6662" max="6662" width="6.7109375" style="121" customWidth="1"/>
    <col min="6663" max="6663" width="5.7109375" style="121" customWidth="1"/>
    <col min="6664" max="6664" width="7.140625" style="121" customWidth="1"/>
    <col min="6665" max="6665" width="8.85546875" style="121" customWidth="1"/>
    <col min="6666" max="6666" width="9.28515625" style="121" customWidth="1"/>
    <col min="6667" max="6667" width="8.85546875" style="121" customWidth="1"/>
    <col min="6668" max="6909" width="11.42578125" style="121"/>
    <col min="6910" max="6910" width="4.42578125" style="121" customWidth="1"/>
    <col min="6911" max="6911" width="4.28515625" style="121" customWidth="1"/>
    <col min="6912" max="6912" width="3.7109375" style="121" customWidth="1"/>
    <col min="6913" max="6913" width="46.5703125" style="121" customWidth="1"/>
    <col min="6914" max="6914" width="7.7109375" style="121" customWidth="1"/>
    <col min="6915" max="6915" width="8.85546875" style="121" customWidth="1"/>
    <col min="6916" max="6916" width="6.7109375" style="121" customWidth="1"/>
    <col min="6917" max="6917" width="6.5703125" style="121" customWidth="1"/>
    <col min="6918" max="6918" width="6.7109375" style="121" customWidth="1"/>
    <col min="6919" max="6919" width="5.7109375" style="121" customWidth="1"/>
    <col min="6920" max="6920" width="7.140625" style="121" customWidth="1"/>
    <col min="6921" max="6921" width="8.85546875" style="121" customWidth="1"/>
    <col min="6922" max="6922" width="9.28515625" style="121" customWidth="1"/>
    <col min="6923" max="6923" width="8.85546875" style="121" customWidth="1"/>
    <col min="6924" max="7165" width="11.42578125" style="121"/>
    <col min="7166" max="7166" width="4.42578125" style="121" customWidth="1"/>
    <col min="7167" max="7167" width="4.28515625" style="121" customWidth="1"/>
    <col min="7168" max="7168" width="3.7109375" style="121" customWidth="1"/>
    <col min="7169" max="7169" width="46.5703125" style="121" customWidth="1"/>
    <col min="7170" max="7170" width="7.7109375" style="121" customWidth="1"/>
    <col min="7171" max="7171" width="8.85546875" style="121" customWidth="1"/>
    <col min="7172" max="7172" width="6.7109375" style="121" customWidth="1"/>
    <col min="7173" max="7173" width="6.5703125" style="121" customWidth="1"/>
    <col min="7174" max="7174" width="6.7109375" style="121" customWidth="1"/>
    <col min="7175" max="7175" width="5.7109375" style="121" customWidth="1"/>
    <col min="7176" max="7176" width="7.140625" style="121" customWidth="1"/>
    <col min="7177" max="7177" width="8.85546875" style="121" customWidth="1"/>
    <col min="7178" max="7178" width="9.28515625" style="121" customWidth="1"/>
    <col min="7179" max="7179" width="8.85546875" style="121" customWidth="1"/>
    <col min="7180" max="7421" width="11.42578125" style="121"/>
    <col min="7422" max="7422" width="4.42578125" style="121" customWidth="1"/>
    <col min="7423" max="7423" width="4.28515625" style="121" customWidth="1"/>
    <col min="7424" max="7424" width="3.7109375" style="121" customWidth="1"/>
    <col min="7425" max="7425" width="46.5703125" style="121" customWidth="1"/>
    <col min="7426" max="7426" width="7.7109375" style="121" customWidth="1"/>
    <col min="7427" max="7427" width="8.85546875" style="121" customWidth="1"/>
    <col min="7428" max="7428" width="6.7109375" style="121" customWidth="1"/>
    <col min="7429" max="7429" width="6.5703125" style="121" customWidth="1"/>
    <col min="7430" max="7430" width="6.7109375" style="121" customWidth="1"/>
    <col min="7431" max="7431" width="5.7109375" style="121" customWidth="1"/>
    <col min="7432" max="7432" width="7.140625" style="121" customWidth="1"/>
    <col min="7433" max="7433" width="8.85546875" style="121" customWidth="1"/>
    <col min="7434" max="7434" width="9.28515625" style="121" customWidth="1"/>
    <col min="7435" max="7435" width="8.85546875" style="121" customWidth="1"/>
    <col min="7436" max="7677" width="11.42578125" style="121"/>
    <col min="7678" max="7678" width="4.42578125" style="121" customWidth="1"/>
    <col min="7679" max="7679" width="4.28515625" style="121" customWidth="1"/>
    <col min="7680" max="7680" width="3.7109375" style="121" customWidth="1"/>
    <col min="7681" max="7681" width="46.5703125" style="121" customWidth="1"/>
    <col min="7682" max="7682" width="7.7109375" style="121" customWidth="1"/>
    <col min="7683" max="7683" width="8.85546875" style="121" customWidth="1"/>
    <col min="7684" max="7684" width="6.7109375" style="121" customWidth="1"/>
    <col min="7685" max="7685" width="6.5703125" style="121" customWidth="1"/>
    <col min="7686" max="7686" width="6.7109375" style="121" customWidth="1"/>
    <col min="7687" max="7687" width="5.7109375" style="121" customWidth="1"/>
    <col min="7688" max="7688" width="7.140625" style="121" customWidth="1"/>
    <col min="7689" max="7689" width="8.85546875" style="121" customWidth="1"/>
    <col min="7690" max="7690" width="9.28515625" style="121" customWidth="1"/>
    <col min="7691" max="7691" width="8.85546875" style="121" customWidth="1"/>
    <col min="7692" max="7933" width="11.42578125" style="121"/>
    <col min="7934" max="7934" width="4.42578125" style="121" customWidth="1"/>
    <col min="7935" max="7935" width="4.28515625" style="121" customWidth="1"/>
    <col min="7936" max="7936" width="3.7109375" style="121" customWidth="1"/>
    <col min="7937" max="7937" width="46.5703125" style="121" customWidth="1"/>
    <col min="7938" max="7938" width="7.7109375" style="121" customWidth="1"/>
    <col min="7939" max="7939" width="8.85546875" style="121" customWidth="1"/>
    <col min="7940" max="7940" width="6.7109375" style="121" customWidth="1"/>
    <col min="7941" max="7941" width="6.5703125" style="121" customWidth="1"/>
    <col min="7942" max="7942" width="6.7109375" style="121" customWidth="1"/>
    <col min="7943" max="7943" width="5.7109375" style="121" customWidth="1"/>
    <col min="7944" max="7944" width="7.140625" style="121" customWidth="1"/>
    <col min="7945" max="7945" width="8.85546875" style="121" customWidth="1"/>
    <col min="7946" max="7946" width="9.28515625" style="121" customWidth="1"/>
    <col min="7947" max="7947" width="8.85546875" style="121" customWidth="1"/>
    <col min="7948" max="8189" width="11.42578125" style="121"/>
    <col min="8190" max="8190" width="4.42578125" style="121" customWidth="1"/>
    <col min="8191" max="8191" width="4.28515625" style="121" customWidth="1"/>
    <col min="8192" max="8192" width="3.7109375" style="121" customWidth="1"/>
    <col min="8193" max="8193" width="46.5703125" style="121" customWidth="1"/>
    <col min="8194" max="8194" width="7.7109375" style="121" customWidth="1"/>
    <col min="8195" max="8195" width="8.85546875" style="121" customWidth="1"/>
    <col min="8196" max="8196" width="6.7109375" style="121" customWidth="1"/>
    <col min="8197" max="8197" width="6.5703125" style="121" customWidth="1"/>
    <col min="8198" max="8198" width="6.7109375" style="121" customWidth="1"/>
    <col min="8199" max="8199" width="5.7109375" style="121" customWidth="1"/>
    <col min="8200" max="8200" width="7.140625" style="121" customWidth="1"/>
    <col min="8201" max="8201" width="8.85546875" style="121" customWidth="1"/>
    <col min="8202" max="8202" width="9.28515625" style="121" customWidth="1"/>
    <col min="8203" max="8203" width="8.85546875" style="121" customWidth="1"/>
    <col min="8204" max="8445" width="11.42578125" style="121"/>
    <col min="8446" max="8446" width="4.42578125" style="121" customWidth="1"/>
    <col min="8447" max="8447" width="4.28515625" style="121" customWidth="1"/>
    <col min="8448" max="8448" width="3.7109375" style="121" customWidth="1"/>
    <col min="8449" max="8449" width="46.5703125" style="121" customWidth="1"/>
    <col min="8450" max="8450" width="7.7109375" style="121" customWidth="1"/>
    <col min="8451" max="8451" width="8.85546875" style="121" customWidth="1"/>
    <col min="8452" max="8452" width="6.7109375" style="121" customWidth="1"/>
    <col min="8453" max="8453" width="6.5703125" style="121" customWidth="1"/>
    <col min="8454" max="8454" width="6.7109375" style="121" customWidth="1"/>
    <col min="8455" max="8455" width="5.7109375" style="121" customWidth="1"/>
    <col min="8456" max="8456" width="7.140625" style="121" customWidth="1"/>
    <col min="8457" max="8457" width="8.85546875" style="121" customWidth="1"/>
    <col min="8458" max="8458" width="9.28515625" style="121" customWidth="1"/>
    <col min="8459" max="8459" width="8.85546875" style="121" customWidth="1"/>
    <col min="8460" max="8701" width="11.42578125" style="121"/>
    <col min="8702" max="8702" width="4.42578125" style="121" customWidth="1"/>
    <col min="8703" max="8703" width="4.28515625" style="121" customWidth="1"/>
    <col min="8704" max="8704" width="3.7109375" style="121" customWidth="1"/>
    <col min="8705" max="8705" width="46.5703125" style="121" customWidth="1"/>
    <col min="8706" max="8706" width="7.7109375" style="121" customWidth="1"/>
    <col min="8707" max="8707" width="8.85546875" style="121" customWidth="1"/>
    <col min="8708" max="8708" width="6.7109375" style="121" customWidth="1"/>
    <col min="8709" max="8709" width="6.5703125" style="121" customWidth="1"/>
    <col min="8710" max="8710" width="6.7109375" style="121" customWidth="1"/>
    <col min="8711" max="8711" width="5.7109375" style="121" customWidth="1"/>
    <col min="8712" max="8712" width="7.140625" style="121" customWidth="1"/>
    <col min="8713" max="8713" width="8.85546875" style="121" customWidth="1"/>
    <col min="8714" max="8714" width="9.28515625" style="121" customWidth="1"/>
    <col min="8715" max="8715" width="8.85546875" style="121" customWidth="1"/>
    <col min="8716" max="8957" width="11.42578125" style="121"/>
    <col min="8958" max="8958" width="4.42578125" style="121" customWidth="1"/>
    <col min="8959" max="8959" width="4.28515625" style="121" customWidth="1"/>
    <col min="8960" max="8960" width="3.7109375" style="121" customWidth="1"/>
    <col min="8961" max="8961" width="46.5703125" style="121" customWidth="1"/>
    <col min="8962" max="8962" width="7.7109375" style="121" customWidth="1"/>
    <col min="8963" max="8963" width="8.85546875" style="121" customWidth="1"/>
    <col min="8964" max="8964" width="6.7109375" style="121" customWidth="1"/>
    <col min="8965" max="8965" width="6.5703125" style="121" customWidth="1"/>
    <col min="8966" max="8966" width="6.7109375" style="121" customWidth="1"/>
    <col min="8967" max="8967" width="5.7109375" style="121" customWidth="1"/>
    <col min="8968" max="8968" width="7.140625" style="121" customWidth="1"/>
    <col min="8969" max="8969" width="8.85546875" style="121" customWidth="1"/>
    <col min="8970" max="8970" width="9.28515625" style="121" customWidth="1"/>
    <col min="8971" max="8971" width="8.85546875" style="121" customWidth="1"/>
    <col min="8972" max="9213" width="11.42578125" style="121"/>
    <col min="9214" max="9214" width="4.42578125" style="121" customWidth="1"/>
    <col min="9215" max="9215" width="4.28515625" style="121" customWidth="1"/>
    <col min="9216" max="9216" width="3.7109375" style="121" customWidth="1"/>
    <col min="9217" max="9217" width="46.5703125" style="121" customWidth="1"/>
    <col min="9218" max="9218" width="7.7109375" style="121" customWidth="1"/>
    <col min="9219" max="9219" width="8.85546875" style="121" customWidth="1"/>
    <col min="9220" max="9220" width="6.7109375" style="121" customWidth="1"/>
    <col min="9221" max="9221" width="6.5703125" style="121" customWidth="1"/>
    <col min="9222" max="9222" width="6.7109375" style="121" customWidth="1"/>
    <col min="9223" max="9223" width="5.7109375" style="121" customWidth="1"/>
    <col min="9224" max="9224" width="7.140625" style="121" customWidth="1"/>
    <col min="9225" max="9225" width="8.85546875" style="121" customWidth="1"/>
    <col min="9226" max="9226" width="9.28515625" style="121" customWidth="1"/>
    <col min="9227" max="9227" width="8.85546875" style="121" customWidth="1"/>
    <col min="9228" max="9469" width="11.42578125" style="121"/>
    <col min="9470" max="9470" width="4.42578125" style="121" customWidth="1"/>
    <col min="9471" max="9471" width="4.28515625" style="121" customWidth="1"/>
    <col min="9472" max="9472" width="3.7109375" style="121" customWidth="1"/>
    <col min="9473" max="9473" width="46.5703125" style="121" customWidth="1"/>
    <col min="9474" max="9474" width="7.7109375" style="121" customWidth="1"/>
    <col min="9475" max="9475" width="8.85546875" style="121" customWidth="1"/>
    <col min="9476" max="9476" width="6.7109375" style="121" customWidth="1"/>
    <col min="9477" max="9477" width="6.5703125" style="121" customWidth="1"/>
    <col min="9478" max="9478" width="6.7109375" style="121" customWidth="1"/>
    <col min="9479" max="9479" width="5.7109375" style="121" customWidth="1"/>
    <col min="9480" max="9480" width="7.140625" style="121" customWidth="1"/>
    <col min="9481" max="9481" width="8.85546875" style="121" customWidth="1"/>
    <col min="9482" max="9482" width="9.28515625" style="121" customWidth="1"/>
    <col min="9483" max="9483" width="8.85546875" style="121" customWidth="1"/>
    <col min="9484" max="9725" width="11.42578125" style="121"/>
    <col min="9726" max="9726" width="4.42578125" style="121" customWidth="1"/>
    <col min="9727" max="9727" width="4.28515625" style="121" customWidth="1"/>
    <col min="9728" max="9728" width="3.7109375" style="121" customWidth="1"/>
    <col min="9729" max="9729" width="46.5703125" style="121" customWidth="1"/>
    <col min="9730" max="9730" width="7.7109375" style="121" customWidth="1"/>
    <col min="9731" max="9731" width="8.85546875" style="121" customWidth="1"/>
    <col min="9732" max="9732" width="6.7109375" style="121" customWidth="1"/>
    <col min="9733" max="9733" width="6.5703125" style="121" customWidth="1"/>
    <col min="9734" max="9734" width="6.7109375" style="121" customWidth="1"/>
    <col min="9735" max="9735" width="5.7109375" style="121" customWidth="1"/>
    <col min="9736" max="9736" width="7.140625" style="121" customWidth="1"/>
    <col min="9737" max="9737" width="8.85546875" style="121" customWidth="1"/>
    <col min="9738" max="9738" width="9.28515625" style="121" customWidth="1"/>
    <col min="9739" max="9739" width="8.85546875" style="121" customWidth="1"/>
    <col min="9740" max="9981" width="11.42578125" style="121"/>
    <col min="9982" max="9982" width="4.42578125" style="121" customWidth="1"/>
    <col min="9983" max="9983" width="4.28515625" style="121" customWidth="1"/>
    <col min="9984" max="9984" width="3.7109375" style="121" customWidth="1"/>
    <col min="9985" max="9985" width="46.5703125" style="121" customWidth="1"/>
    <col min="9986" max="9986" width="7.7109375" style="121" customWidth="1"/>
    <col min="9987" max="9987" width="8.85546875" style="121" customWidth="1"/>
    <col min="9988" max="9988" width="6.7109375" style="121" customWidth="1"/>
    <col min="9989" max="9989" width="6.5703125" style="121" customWidth="1"/>
    <col min="9990" max="9990" width="6.7109375" style="121" customWidth="1"/>
    <col min="9991" max="9991" width="5.7109375" style="121" customWidth="1"/>
    <col min="9992" max="9992" width="7.140625" style="121" customWidth="1"/>
    <col min="9993" max="9993" width="8.85546875" style="121" customWidth="1"/>
    <col min="9994" max="9994" width="9.28515625" style="121" customWidth="1"/>
    <col min="9995" max="9995" width="8.85546875" style="121" customWidth="1"/>
    <col min="9996" max="10237" width="11.42578125" style="121"/>
    <col min="10238" max="10238" width="4.42578125" style="121" customWidth="1"/>
    <col min="10239" max="10239" width="4.28515625" style="121" customWidth="1"/>
    <col min="10240" max="10240" width="3.7109375" style="121" customWidth="1"/>
    <col min="10241" max="10241" width="46.5703125" style="121" customWidth="1"/>
    <col min="10242" max="10242" width="7.7109375" style="121" customWidth="1"/>
    <col min="10243" max="10243" width="8.85546875" style="121" customWidth="1"/>
    <col min="10244" max="10244" width="6.7109375" style="121" customWidth="1"/>
    <col min="10245" max="10245" width="6.5703125" style="121" customWidth="1"/>
    <col min="10246" max="10246" width="6.7109375" style="121" customWidth="1"/>
    <col min="10247" max="10247" width="5.7109375" style="121" customWidth="1"/>
    <col min="10248" max="10248" width="7.140625" style="121" customWidth="1"/>
    <col min="10249" max="10249" width="8.85546875" style="121" customWidth="1"/>
    <col min="10250" max="10250" width="9.28515625" style="121" customWidth="1"/>
    <col min="10251" max="10251" width="8.85546875" style="121" customWidth="1"/>
    <col min="10252" max="10493" width="11.42578125" style="121"/>
    <col min="10494" max="10494" width="4.42578125" style="121" customWidth="1"/>
    <col min="10495" max="10495" width="4.28515625" style="121" customWidth="1"/>
    <col min="10496" max="10496" width="3.7109375" style="121" customWidth="1"/>
    <col min="10497" max="10497" width="46.5703125" style="121" customWidth="1"/>
    <col min="10498" max="10498" width="7.7109375" style="121" customWidth="1"/>
    <col min="10499" max="10499" width="8.85546875" style="121" customWidth="1"/>
    <col min="10500" max="10500" width="6.7109375" style="121" customWidth="1"/>
    <col min="10501" max="10501" width="6.5703125" style="121" customWidth="1"/>
    <col min="10502" max="10502" width="6.7109375" style="121" customWidth="1"/>
    <col min="10503" max="10503" width="5.7109375" style="121" customWidth="1"/>
    <col min="10504" max="10504" width="7.140625" style="121" customWidth="1"/>
    <col min="10505" max="10505" width="8.85546875" style="121" customWidth="1"/>
    <col min="10506" max="10506" width="9.28515625" style="121" customWidth="1"/>
    <col min="10507" max="10507" width="8.85546875" style="121" customWidth="1"/>
    <col min="10508" max="10749" width="11.42578125" style="121"/>
    <col min="10750" max="10750" width="4.42578125" style="121" customWidth="1"/>
    <col min="10751" max="10751" width="4.28515625" style="121" customWidth="1"/>
    <col min="10752" max="10752" width="3.7109375" style="121" customWidth="1"/>
    <col min="10753" max="10753" width="46.5703125" style="121" customWidth="1"/>
    <col min="10754" max="10754" width="7.7109375" style="121" customWidth="1"/>
    <col min="10755" max="10755" width="8.85546875" style="121" customWidth="1"/>
    <col min="10756" max="10756" width="6.7109375" style="121" customWidth="1"/>
    <col min="10757" max="10757" width="6.5703125" style="121" customWidth="1"/>
    <col min="10758" max="10758" width="6.7109375" style="121" customWidth="1"/>
    <col min="10759" max="10759" width="5.7109375" style="121" customWidth="1"/>
    <col min="10760" max="10760" width="7.140625" style="121" customWidth="1"/>
    <col min="10761" max="10761" width="8.85546875" style="121" customWidth="1"/>
    <col min="10762" max="10762" width="9.28515625" style="121" customWidth="1"/>
    <col min="10763" max="10763" width="8.85546875" style="121" customWidth="1"/>
    <col min="10764" max="11005" width="11.42578125" style="121"/>
    <col min="11006" max="11006" width="4.42578125" style="121" customWidth="1"/>
    <col min="11007" max="11007" width="4.28515625" style="121" customWidth="1"/>
    <col min="11008" max="11008" width="3.7109375" style="121" customWidth="1"/>
    <col min="11009" max="11009" width="46.5703125" style="121" customWidth="1"/>
    <col min="11010" max="11010" width="7.7109375" style="121" customWidth="1"/>
    <col min="11011" max="11011" width="8.85546875" style="121" customWidth="1"/>
    <col min="11012" max="11012" width="6.7109375" style="121" customWidth="1"/>
    <col min="11013" max="11013" width="6.5703125" style="121" customWidth="1"/>
    <col min="11014" max="11014" width="6.7109375" style="121" customWidth="1"/>
    <col min="11015" max="11015" width="5.7109375" style="121" customWidth="1"/>
    <col min="11016" max="11016" width="7.140625" style="121" customWidth="1"/>
    <col min="11017" max="11017" width="8.85546875" style="121" customWidth="1"/>
    <col min="11018" max="11018" width="9.28515625" style="121" customWidth="1"/>
    <col min="11019" max="11019" width="8.85546875" style="121" customWidth="1"/>
    <col min="11020" max="11261" width="11.42578125" style="121"/>
    <col min="11262" max="11262" width="4.42578125" style="121" customWidth="1"/>
    <col min="11263" max="11263" width="4.28515625" style="121" customWidth="1"/>
    <col min="11264" max="11264" width="3.7109375" style="121" customWidth="1"/>
    <col min="11265" max="11265" width="46.5703125" style="121" customWidth="1"/>
    <col min="11266" max="11266" width="7.7109375" style="121" customWidth="1"/>
    <col min="11267" max="11267" width="8.85546875" style="121" customWidth="1"/>
    <col min="11268" max="11268" width="6.7109375" style="121" customWidth="1"/>
    <col min="11269" max="11269" width="6.5703125" style="121" customWidth="1"/>
    <col min="11270" max="11270" width="6.7109375" style="121" customWidth="1"/>
    <col min="11271" max="11271" width="5.7109375" style="121" customWidth="1"/>
    <col min="11272" max="11272" width="7.140625" style="121" customWidth="1"/>
    <col min="11273" max="11273" width="8.85546875" style="121" customWidth="1"/>
    <col min="11274" max="11274" width="9.28515625" style="121" customWidth="1"/>
    <col min="11275" max="11275" width="8.85546875" style="121" customWidth="1"/>
    <col min="11276" max="11517" width="11.42578125" style="121"/>
    <col min="11518" max="11518" width="4.42578125" style="121" customWidth="1"/>
    <col min="11519" max="11519" width="4.28515625" style="121" customWidth="1"/>
    <col min="11520" max="11520" width="3.7109375" style="121" customWidth="1"/>
    <col min="11521" max="11521" width="46.5703125" style="121" customWidth="1"/>
    <col min="11522" max="11522" width="7.7109375" style="121" customWidth="1"/>
    <col min="11523" max="11523" width="8.85546875" style="121" customWidth="1"/>
    <col min="11524" max="11524" width="6.7109375" style="121" customWidth="1"/>
    <col min="11525" max="11525" width="6.5703125" style="121" customWidth="1"/>
    <col min="11526" max="11526" width="6.7109375" style="121" customWidth="1"/>
    <col min="11527" max="11527" width="5.7109375" style="121" customWidth="1"/>
    <col min="11528" max="11528" width="7.140625" style="121" customWidth="1"/>
    <col min="11529" max="11529" width="8.85546875" style="121" customWidth="1"/>
    <col min="11530" max="11530" width="9.28515625" style="121" customWidth="1"/>
    <col min="11531" max="11531" width="8.85546875" style="121" customWidth="1"/>
    <col min="11532" max="11773" width="11.42578125" style="121"/>
    <col min="11774" max="11774" width="4.42578125" style="121" customWidth="1"/>
    <col min="11775" max="11775" width="4.28515625" style="121" customWidth="1"/>
    <col min="11776" max="11776" width="3.7109375" style="121" customWidth="1"/>
    <col min="11777" max="11777" width="46.5703125" style="121" customWidth="1"/>
    <col min="11778" max="11778" width="7.7109375" style="121" customWidth="1"/>
    <col min="11779" max="11779" width="8.85546875" style="121" customWidth="1"/>
    <col min="11780" max="11780" width="6.7109375" style="121" customWidth="1"/>
    <col min="11781" max="11781" width="6.5703125" style="121" customWidth="1"/>
    <col min="11782" max="11782" width="6.7109375" style="121" customWidth="1"/>
    <col min="11783" max="11783" width="5.7109375" style="121" customWidth="1"/>
    <col min="11784" max="11784" width="7.140625" style="121" customWidth="1"/>
    <col min="11785" max="11785" width="8.85546875" style="121" customWidth="1"/>
    <col min="11786" max="11786" width="9.28515625" style="121" customWidth="1"/>
    <col min="11787" max="11787" width="8.85546875" style="121" customWidth="1"/>
    <col min="11788" max="12029" width="11.42578125" style="121"/>
    <col min="12030" max="12030" width="4.42578125" style="121" customWidth="1"/>
    <col min="12031" max="12031" width="4.28515625" style="121" customWidth="1"/>
    <col min="12032" max="12032" width="3.7109375" style="121" customWidth="1"/>
    <col min="12033" max="12033" width="46.5703125" style="121" customWidth="1"/>
    <col min="12034" max="12034" width="7.7109375" style="121" customWidth="1"/>
    <col min="12035" max="12035" width="8.85546875" style="121" customWidth="1"/>
    <col min="12036" max="12036" width="6.7109375" style="121" customWidth="1"/>
    <col min="12037" max="12037" width="6.5703125" style="121" customWidth="1"/>
    <col min="12038" max="12038" width="6.7109375" style="121" customWidth="1"/>
    <col min="12039" max="12039" width="5.7109375" style="121" customWidth="1"/>
    <col min="12040" max="12040" width="7.140625" style="121" customWidth="1"/>
    <col min="12041" max="12041" width="8.85546875" style="121" customWidth="1"/>
    <col min="12042" max="12042" width="9.28515625" style="121" customWidth="1"/>
    <col min="12043" max="12043" width="8.85546875" style="121" customWidth="1"/>
    <col min="12044" max="12285" width="11.42578125" style="121"/>
    <col min="12286" max="12286" width="4.42578125" style="121" customWidth="1"/>
    <col min="12287" max="12287" width="4.28515625" style="121" customWidth="1"/>
    <col min="12288" max="12288" width="3.7109375" style="121" customWidth="1"/>
    <col min="12289" max="12289" width="46.5703125" style="121" customWidth="1"/>
    <col min="12290" max="12290" width="7.7109375" style="121" customWidth="1"/>
    <col min="12291" max="12291" width="8.85546875" style="121" customWidth="1"/>
    <col min="12292" max="12292" width="6.7109375" style="121" customWidth="1"/>
    <col min="12293" max="12293" width="6.5703125" style="121" customWidth="1"/>
    <col min="12294" max="12294" width="6.7109375" style="121" customWidth="1"/>
    <col min="12295" max="12295" width="5.7109375" style="121" customWidth="1"/>
    <col min="12296" max="12296" width="7.140625" style="121" customWidth="1"/>
    <col min="12297" max="12297" width="8.85546875" style="121" customWidth="1"/>
    <col min="12298" max="12298" width="9.28515625" style="121" customWidth="1"/>
    <col min="12299" max="12299" width="8.85546875" style="121" customWidth="1"/>
    <col min="12300" max="12541" width="11.42578125" style="121"/>
    <col min="12542" max="12542" width="4.42578125" style="121" customWidth="1"/>
    <col min="12543" max="12543" width="4.28515625" style="121" customWidth="1"/>
    <col min="12544" max="12544" width="3.7109375" style="121" customWidth="1"/>
    <col min="12545" max="12545" width="46.5703125" style="121" customWidth="1"/>
    <col min="12546" max="12546" width="7.7109375" style="121" customWidth="1"/>
    <col min="12547" max="12547" width="8.85546875" style="121" customWidth="1"/>
    <col min="12548" max="12548" width="6.7109375" style="121" customWidth="1"/>
    <col min="12549" max="12549" width="6.5703125" style="121" customWidth="1"/>
    <col min="12550" max="12550" width="6.7109375" style="121" customWidth="1"/>
    <col min="12551" max="12551" width="5.7109375" style="121" customWidth="1"/>
    <col min="12552" max="12552" width="7.140625" style="121" customWidth="1"/>
    <col min="12553" max="12553" width="8.85546875" style="121" customWidth="1"/>
    <col min="12554" max="12554" width="9.28515625" style="121" customWidth="1"/>
    <col min="12555" max="12555" width="8.85546875" style="121" customWidth="1"/>
    <col min="12556" max="12797" width="11.42578125" style="121"/>
    <col min="12798" max="12798" width="4.42578125" style="121" customWidth="1"/>
    <col min="12799" max="12799" width="4.28515625" style="121" customWidth="1"/>
    <col min="12800" max="12800" width="3.7109375" style="121" customWidth="1"/>
    <col min="12801" max="12801" width="46.5703125" style="121" customWidth="1"/>
    <col min="12802" max="12802" width="7.7109375" style="121" customWidth="1"/>
    <col min="12803" max="12803" width="8.85546875" style="121" customWidth="1"/>
    <col min="12804" max="12804" width="6.7109375" style="121" customWidth="1"/>
    <col min="12805" max="12805" width="6.5703125" style="121" customWidth="1"/>
    <col min="12806" max="12806" width="6.7109375" style="121" customWidth="1"/>
    <col min="12807" max="12807" width="5.7109375" style="121" customWidth="1"/>
    <col min="12808" max="12808" width="7.140625" style="121" customWidth="1"/>
    <col min="12809" max="12809" width="8.85546875" style="121" customWidth="1"/>
    <col min="12810" max="12810" width="9.28515625" style="121" customWidth="1"/>
    <col min="12811" max="12811" width="8.85546875" style="121" customWidth="1"/>
    <col min="12812" max="13053" width="11.42578125" style="121"/>
    <col min="13054" max="13054" width="4.42578125" style="121" customWidth="1"/>
    <col min="13055" max="13055" width="4.28515625" style="121" customWidth="1"/>
    <col min="13056" max="13056" width="3.7109375" style="121" customWidth="1"/>
    <col min="13057" max="13057" width="46.5703125" style="121" customWidth="1"/>
    <col min="13058" max="13058" width="7.7109375" style="121" customWidth="1"/>
    <col min="13059" max="13059" width="8.85546875" style="121" customWidth="1"/>
    <col min="13060" max="13060" width="6.7109375" style="121" customWidth="1"/>
    <col min="13061" max="13061" width="6.5703125" style="121" customWidth="1"/>
    <col min="13062" max="13062" width="6.7109375" style="121" customWidth="1"/>
    <col min="13063" max="13063" width="5.7109375" style="121" customWidth="1"/>
    <col min="13064" max="13064" width="7.140625" style="121" customWidth="1"/>
    <col min="13065" max="13065" width="8.85546875" style="121" customWidth="1"/>
    <col min="13066" max="13066" width="9.28515625" style="121" customWidth="1"/>
    <col min="13067" max="13067" width="8.85546875" style="121" customWidth="1"/>
    <col min="13068" max="13309" width="11.42578125" style="121"/>
    <col min="13310" max="13310" width="4.42578125" style="121" customWidth="1"/>
    <col min="13311" max="13311" width="4.28515625" style="121" customWidth="1"/>
    <col min="13312" max="13312" width="3.7109375" style="121" customWidth="1"/>
    <col min="13313" max="13313" width="46.5703125" style="121" customWidth="1"/>
    <col min="13314" max="13314" width="7.7109375" style="121" customWidth="1"/>
    <col min="13315" max="13315" width="8.85546875" style="121" customWidth="1"/>
    <col min="13316" max="13316" width="6.7109375" style="121" customWidth="1"/>
    <col min="13317" max="13317" width="6.5703125" style="121" customWidth="1"/>
    <col min="13318" max="13318" width="6.7109375" style="121" customWidth="1"/>
    <col min="13319" max="13319" width="5.7109375" style="121" customWidth="1"/>
    <col min="13320" max="13320" width="7.140625" style="121" customWidth="1"/>
    <col min="13321" max="13321" width="8.85546875" style="121" customWidth="1"/>
    <col min="13322" max="13322" width="9.28515625" style="121" customWidth="1"/>
    <col min="13323" max="13323" width="8.85546875" style="121" customWidth="1"/>
    <col min="13324" max="13565" width="11.42578125" style="121"/>
    <col min="13566" max="13566" width="4.42578125" style="121" customWidth="1"/>
    <col min="13567" max="13567" width="4.28515625" style="121" customWidth="1"/>
    <col min="13568" max="13568" width="3.7109375" style="121" customWidth="1"/>
    <col min="13569" max="13569" width="46.5703125" style="121" customWidth="1"/>
    <col min="13570" max="13570" width="7.7109375" style="121" customWidth="1"/>
    <col min="13571" max="13571" width="8.85546875" style="121" customWidth="1"/>
    <col min="13572" max="13572" width="6.7109375" style="121" customWidth="1"/>
    <col min="13573" max="13573" width="6.5703125" style="121" customWidth="1"/>
    <col min="13574" max="13574" width="6.7109375" style="121" customWidth="1"/>
    <col min="13575" max="13575" width="5.7109375" style="121" customWidth="1"/>
    <col min="13576" max="13576" width="7.140625" style="121" customWidth="1"/>
    <col min="13577" max="13577" width="8.85546875" style="121" customWidth="1"/>
    <col min="13578" max="13578" width="9.28515625" style="121" customWidth="1"/>
    <col min="13579" max="13579" width="8.85546875" style="121" customWidth="1"/>
    <col min="13580" max="13821" width="11.42578125" style="121"/>
    <col min="13822" max="13822" width="4.42578125" style="121" customWidth="1"/>
    <col min="13823" max="13823" width="4.28515625" style="121" customWidth="1"/>
    <col min="13824" max="13824" width="3.7109375" style="121" customWidth="1"/>
    <col min="13825" max="13825" width="46.5703125" style="121" customWidth="1"/>
    <col min="13826" max="13826" width="7.7109375" style="121" customWidth="1"/>
    <col min="13827" max="13827" width="8.85546875" style="121" customWidth="1"/>
    <col min="13828" max="13828" width="6.7109375" style="121" customWidth="1"/>
    <col min="13829" max="13829" width="6.5703125" style="121" customWidth="1"/>
    <col min="13830" max="13830" width="6.7109375" style="121" customWidth="1"/>
    <col min="13831" max="13831" width="5.7109375" style="121" customWidth="1"/>
    <col min="13832" max="13832" width="7.140625" style="121" customWidth="1"/>
    <col min="13833" max="13833" width="8.85546875" style="121" customWidth="1"/>
    <col min="13834" max="13834" width="9.28515625" style="121" customWidth="1"/>
    <col min="13835" max="13835" width="8.85546875" style="121" customWidth="1"/>
    <col min="13836" max="14077" width="11.42578125" style="121"/>
    <col min="14078" max="14078" width="4.42578125" style="121" customWidth="1"/>
    <col min="14079" max="14079" width="4.28515625" style="121" customWidth="1"/>
    <col min="14080" max="14080" width="3.7109375" style="121" customWidth="1"/>
    <col min="14081" max="14081" width="46.5703125" style="121" customWidth="1"/>
    <col min="14082" max="14082" width="7.7109375" style="121" customWidth="1"/>
    <col min="14083" max="14083" width="8.85546875" style="121" customWidth="1"/>
    <col min="14084" max="14084" width="6.7109375" style="121" customWidth="1"/>
    <col min="14085" max="14085" width="6.5703125" style="121" customWidth="1"/>
    <col min="14086" max="14086" width="6.7109375" style="121" customWidth="1"/>
    <col min="14087" max="14087" width="5.7109375" style="121" customWidth="1"/>
    <col min="14088" max="14088" width="7.140625" style="121" customWidth="1"/>
    <col min="14089" max="14089" width="8.85546875" style="121" customWidth="1"/>
    <col min="14090" max="14090" width="9.28515625" style="121" customWidth="1"/>
    <col min="14091" max="14091" width="8.85546875" style="121" customWidth="1"/>
    <col min="14092" max="14333" width="11.42578125" style="121"/>
    <col min="14334" max="14334" width="4.42578125" style="121" customWidth="1"/>
    <col min="14335" max="14335" width="4.28515625" style="121" customWidth="1"/>
    <col min="14336" max="14336" width="3.7109375" style="121" customWidth="1"/>
    <col min="14337" max="14337" width="46.5703125" style="121" customWidth="1"/>
    <col min="14338" max="14338" width="7.7109375" style="121" customWidth="1"/>
    <col min="14339" max="14339" width="8.85546875" style="121" customWidth="1"/>
    <col min="14340" max="14340" width="6.7109375" style="121" customWidth="1"/>
    <col min="14341" max="14341" width="6.5703125" style="121" customWidth="1"/>
    <col min="14342" max="14342" width="6.7109375" style="121" customWidth="1"/>
    <col min="14343" max="14343" width="5.7109375" style="121" customWidth="1"/>
    <col min="14344" max="14344" width="7.140625" style="121" customWidth="1"/>
    <col min="14345" max="14345" width="8.85546875" style="121" customWidth="1"/>
    <col min="14346" max="14346" width="9.28515625" style="121" customWidth="1"/>
    <col min="14347" max="14347" width="8.85546875" style="121" customWidth="1"/>
    <col min="14348" max="14589" width="11.42578125" style="121"/>
    <col min="14590" max="14590" width="4.42578125" style="121" customWidth="1"/>
    <col min="14591" max="14591" width="4.28515625" style="121" customWidth="1"/>
    <col min="14592" max="14592" width="3.7109375" style="121" customWidth="1"/>
    <col min="14593" max="14593" width="46.5703125" style="121" customWidth="1"/>
    <col min="14594" max="14594" width="7.7109375" style="121" customWidth="1"/>
    <col min="14595" max="14595" width="8.85546875" style="121" customWidth="1"/>
    <col min="14596" max="14596" width="6.7109375" style="121" customWidth="1"/>
    <col min="14597" max="14597" width="6.5703125" style="121" customWidth="1"/>
    <col min="14598" max="14598" width="6.7109375" style="121" customWidth="1"/>
    <col min="14599" max="14599" width="5.7109375" style="121" customWidth="1"/>
    <col min="14600" max="14600" width="7.140625" style="121" customWidth="1"/>
    <col min="14601" max="14601" width="8.85546875" style="121" customWidth="1"/>
    <col min="14602" max="14602" width="9.28515625" style="121" customWidth="1"/>
    <col min="14603" max="14603" width="8.85546875" style="121" customWidth="1"/>
    <col min="14604" max="14845" width="11.42578125" style="121"/>
    <col min="14846" max="14846" width="4.42578125" style="121" customWidth="1"/>
    <col min="14847" max="14847" width="4.28515625" style="121" customWidth="1"/>
    <col min="14848" max="14848" width="3.7109375" style="121" customWidth="1"/>
    <col min="14849" max="14849" width="46.5703125" style="121" customWidth="1"/>
    <col min="14850" max="14850" width="7.7109375" style="121" customWidth="1"/>
    <col min="14851" max="14851" width="8.85546875" style="121" customWidth="1"/>
    <col min="14852" max="14852" width="6.7109375" style="121" customWidth="1"/>
    <col min="14853" max="14853" width="6.5703125" style="121" customWidth="1"/>
    <col min="14854" max="14854" width="6.7109375" style="121" customWidth="1"/>
    <col min="14855" max="14855" width="5.7109375" style="121" customWidth="1"/>
    <col min="14856" max="14856" width="7.140625" style="121" customWidth="1"/>
    <col min="14857" max="14857" width="8.85546875" style="121" customWidth="1"/>
    <col min="14858" max="14858" width="9.28515625" style="121" customWidth="1"/>
    <col min="14859" max="14859" width="8.85546875" style="121" customWidth="1"/>
    <col min="14860" max="15101" width="11.42578125" style="121"/>
    <col min="15102" max="15102" width="4.42578125" style="121" customWidth="1"/>
    <col min="15103" max="15103" width="4.28515625" style="121" customWidth="1"/>
    <col min="15104" max="15104" width="3.7109375" style="121" customWidth="1"/>
    <col min="15105" max="15105" width="46.5703125" style="121" customWidth="1"/>
    <col min="15106" max="15106" width="7.7109375" style="121" customWidth="1"/>
    <col min="15107" max="15107" width="8.85546875" style="121" customWidth="1"/>
    <col min="15108" max="15108" width="6.7109375" style="121" customWidth="1"/>
    <col min="15109" max="15109" width="6.5703125" style="121" customWidth="1"/>
    <col min="15110" max="15110" width="6.7109375" style="121" customWidth="1"/>
    <col min="15111" max="15111" width="5.7109375" style="121" customWidth="1"/>
    <col min="15112" max="15112" width="7.140625" style="121" customWidth="1"/>
    <col min="15113" max="15113" width="8.85546875" style="121" customWidth="1"/>
    <col min="15114" max="15114" width="9.28515625" style="121" customWidth="1"/>
    <col min="15115" max="15115" width="8.85546875" style="121" customWidth="1"/>
    <col min="15116" max="15357" width="11.42578125" style="121"/>
    <col min="15358" max="15358" width="4.42578125" style="121" customWidth="1"/>
    <col min="15359" max="15359" width="4.28515625" style="121" customWidth="1"/>
    <col min="15360" max="15360" width="3.7109375" style="121" customWidth="1"/>
    <col min="15361" max="15361" width="46.5703125" style="121" customWidth="1"/>
    <col min="15362" max="15362" width="7.7109375" style="121" customWidth="1"/>
    <col min="15363" max="15363" width="8.85546875" style="121" customWidth="1"/>
    <col min="15364" max="15364" width="6.7109375" style="121" customWidth="1"/>
    <col min="15365" max="15365" width="6.5703125" style="121" customWidth="1"/>
    <col min="15366" max="15366" width="6.7109375" style="121" customWidth="1"/>
    <col min="15367" max="15367" width="5.7109375" style="121" customWidth="1"/>
    <col min="15368" max="15368" width="7.140625" style="121" customWidth="1"/>
    <col min="15369" max="15369" width="8.85546875" style="121" customWidth="1"/>
    <col min="15370" max="15370" width="9.28515625" style="121" customWidth="1"/>
    <col min="15371" max="15371" width="8.85546875" style="121" customWidth="1"/>
    <col min="15372" max="15613" width="11.42578125" style="121"/>
    <col min="15614" max="15614" width="4.42578125" style="121" customWidth="1"/>
    <col min="15615" max="15615" width="4.28515625" style="121" customWidth="1"/>
    <col min="15616" max="15616" width="3.7109375" style="121" customWidth="1"/>
    <col min="15617" max="15617" width="46.5703125" style="121" customWidth="1"/>
    <col min="15618" max="15618" width="7.7109375" style="121" customWidth="1"/>
    <col min="15619" max="15619" width="8.85546875" style="121" customWidth="1"/>
    <col min="15620" max="15620" width="6.7109375" style="121" customWidth="1"/>
    <col min="15621" max="15621" width="6.5703125" style="121" customWidth="1"/>
    <col min="15622" max="15622" width="6.7109375" style="121" customWidth="1"/>
    <col min="15623" max="15623" width="5.7109375" style="121" customWidth="1"/>
    <col min="15624" max="15624" width="7.140625" style="121" customWidth="1"/>
    <col min="15625" max="15625" width="8.85546875" style="121" customWidth="1"/>
    <col min="15626" max="15626" width="9.28515625" style="121" customWidth="1"/>
    <col min="15627" max="15627" width="8.85546875" style="121" customWidth="1"/>
    <col min="15628" max="15869" width="11.42578125" style="121"/>
    <col min="15870" max="15870" width="4.42578125" style="121" customWidth="1"/>
    <col min="15871" max="15871" width="4.28515625" style="121" customWidth="1"/>
    <col min="15872" max="15872" width="3.7109375" style="121" customWidth="1"/>
    <col min="15873" max="15873" width="46.5703125" style="121" customWidth="1"/>
    <col min="15874" max="15874" width="7.7109375" style="121" customWidth="1"/>
    <col min="15875" max="15875" width="8.85546875" style="121" customWidth="1"/>
    <col min="15876" max="15876" width="6.7109375" style="121" customWidth="1"/>
    <col min="15877" max="15877" width="6.5703125" style="121" customWidth="1"/>
    <col min="15878" max="15878" width="6.7109375" style="121" customWidth="1"/>
    <col min="15879" max="15879" width="5.7109375" style="121" customWidth="1"/>
    <col min="15880" max="15880" width="7.140625" style="121" customWidth="1"/>
    <col min="15881" max="15881" width="8.85546875" style="121" customWidth="1"/>
    <col min="15882" max="15882" width="9.28515625" style="121" customWidth="1"/>
    <col min="15883" max="15883" width="8.85546875" style="121" customWidth="1"/>
    <col min="15884" max="16125" width="11.42578125" style="121"/>
    <col min="16126" max="16126" width="4.42578125" style="121" customWidth="1"/>
    <col min="16127" max="16127" width="4.28515625" style="121" customWidth="1"/>
    <col min="16128" max="16128" width="3.7109375" style="121" customWidth="1"/>
    <col min="16129" max="16129" width="46.5703125" style="121" customWidth="1"/>
    <col min="16130" max="16130" width="7.7109375" style="121" customWidth="1"/>
    <col min="16131" max="16131" width="8.85546875" style="121" customWidth="1"/>
    <col min="16132" max="16132" width="6.7109375" style="121" customWidth="1"/>
    <col min="16133" max="16133" width="6.5703125" style="121" customWidth="1"/>
    <col min="16134" max="16134" width="6.7109375" style="121" customWidth="1"/>
    <col min="16135" max="16135" width="5.7109375" style="121" customWidth="1"/>
    <col min="16136" max="16136" width="7.140625" style="121" customWidth="1"/>
    <col min="16137" max="16137" width="8.85546875" style="121" customWidth="1"/>
    <col min="16138" max="16138" width="9.28515625" style="121" customWidth="1"/>
    <col min="16139" max="16139" width="8.85546875" style="121" customWidth="1"/>
    <col min="16140" max="16384" width="11.42578125" style="121"/>
  </cols>
  <sheetData>
    <row r="1" spans="1:12" ht="9" customHeight="1" x14ac:dyDescent="0.25"/>
    <row r="2" spans="1:12" ht="48.6" customHeight="1" thickBot="1" x14ac:dyDescent="0.3">
      <c r="A2" s="170" t="s">
        <v>87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37.9" customHeight="1" x14ac:dyDescent="0.25">
      <c r="A3" s="171" t="s">
        <v>83</v>
      </c>
      <c r="B3" s="172"/>
      <c r="C3" s="173" t="s">
        <v>88</v>
      </c>
      <c r="D3" s="175" t="s">
        <v>74</v>
      </c>
      <c r="E3" s="177" t="s">
        <v>75</v>
      </c>
      <c r="F3" s="178"/>
      <c r="G3" s="179"/>
      <c r="H3" s="180" t="s">
        <v>76</v>
      </c>
      <c r="I3" s="181"/>
      <c r="J3" s="182" t="s">
        <v>77</v>
      </c>
      <c r="K3" s="183"/>
      <c r="L3" s="123" t="s">
        <v>78</v>
      </c>
    </row>
    <row r="4" spans="1:12" ht="36.75" customHeight="1" thickBot="1" x14ac:dyDescent="0.3">
      <c r="A4" s="124" t="s">
        <v>86</v>
      </c>
      <c r="B4" s="125" t="s">
        <v>85</v>
      </c>
      <c r="C4" s="174"/>
      <c r="D4" s="176"/>
      <c r="E4" s="126" t="s">
        <v>79</v>
      </c>
      <c r="F4" s="126">
        <v>1.1000000000000001</v>
      </c>
      <c r="G4" s="126">
        <v>1.2</v>
      </c>
      <c r="H4" s="127" t="s">
        <v>84</v>
      </c>
      <c r="I4" s="128" t="s">
        <v>80</v>
      </c>
      <c r="J4" s="129" t="s">
        <v>81</v>
      </c>
      <c r="K4" s="129" t="s">
        <v>82</v>
      </c>
      <c r="L4" s="145">
        <v>1.5</v>
      </c>
    </row>
    <row r="5" spans="1:12" ht="28.15" customHeight="1" thickTop="1" thickBot="1" x14ac:dyDescent="0.3">
      <c r="A5" s="130">
        <f t="shared" ref="A5:A11" si="0">B6+1</f>
        <v>872</v>
      </c>
      <c r="B5" s="131">
        <v>1000</v>
      </c>
      <c r="C5" s="132">
        <f t="shared" ref="C5:C11" si="1">C6+1</f>
        <v>8</v>
      </c>
      <c r="D5" s="133"/>
      <c r="E5" s="134">
        <f t="shared" ref="E5:E10" si="2">E6*1.15</f>
        <v>38.237785781738253</v>
      </c>
      <c r="F5" s="134">
        <f t="shared" ref="F5:F12" si="3">E5*1.1</f>
        <v>42.061564359912083</v>
      </c>
      <c r="G5" s="134">
        <f t="shared" ref="G5:G12" si="4">E5*1.2</f>
        <v>45.885342938085905</v>
      </c>
      <c r="H5" s="134">
        <f t="shared" ref="H5:H12" si="5">E5*1.25</f>
        <v>47.797232227172813</v>
      </c>
      <c r="I5" s="134">
        <f t="shared" ref="I5:I12" si="6">E5*1.3</f>
        <v>49.709121516259728</v>
      </c>
      <c r="J5" s="134">
        <f t="shared" ref="J5:J12" si="7">E5*1.35</f>
        <v>51.621010805346643</v>
      </c>
      <c r="K5" s="135">
        <f t="shared" ref="K5:K11" si="8">E5*1.4</f>
        <v>53.53290009443355</v>
      </c>
      <c r="L5" s="135">
        <f t="shared" ref="L5:L11" si="9">E5*1.5</f>
        <v>57.35667867260738</v>
      </c>
    </row>
    <row r="6" spans="1:12" ht="28.15" customHeight="1" thickTop="1" thickBot="1" x14ac:dyDescent="0.3">
      <c r="A6" s="130">
        <f t="shared" si="0"/>
        <v>776</v>
      </c>
      <c r="B6" s="131">
        <f t="shared" ref="B6:B10" si="10">A6+95</f>
        <v>871</v>
      </c>
      <c r="C6" s="132">
        <f t="shared" si="1"/>
        <v>7</v>
      </c>
      <c r="D6" s="136"/>
      <c r="E6" s="134">
        <f t="shared" si="2"/>
        <v>33.250248505859354</v>
      </c>
      <c r="F6" s="134">
        <f t="shared" si="3"/>
        <v>36.575273356445294</v>
      </c>
      <c r="G6" s="134">
        <f t="shared" si="4"/>
        <v>39.90029820703122</v>
      </c>
      <c r="H6" s="134">
        <f t="shared" si="5"/>
        <v>41.562810632324194</v>
      </c>
      <c r="I6" s="134">
        <f t="shared" si="6"/>
        <v>43.22532305761716</v>
      </c>
      <c r="J6" s="134">
        <f t="shared" si="7"/>
        <v>44.887835482910127</v>
      </c>
      <c r="K6" s="135">
        <f t="shared" si="8"/>
        <v>46.550347908203094</v>
      </c>
      <c r="L6" s="135">
        <f t="shared" si="9"/>
        <v>49.875372758789027</v>
      </c>
    </row>
    <row r="7" spans="1:12" ht="37.15" customHeight="1" thickTop="1" thickBot="1" x14ac:dyDescent="0.3">
      <c r="A7" s="130">
        <f t="shared" si="0"/>
        <v>680</v>
      </c>
      <c r="B7" s="131">
        <f t="shared" si="10"/>
        <v>775</v>
      </c>
      <c r="C7" s="132">
        <f t="shared" si="1"/>
        <v>6</v>
      </c>
      <c r="D7" s="133" t="s">
        <v>92</v>
      </c>
      <c r="E7" s="134">
        <f t="shared" si="2"/>
        <v>28.913259570312484</v>
      </c>
      <c r="F7" s="134">
        <f t="shared" si="3"/>
        <v>31.804585527343736</v>
      </c>
      <c r="G7" s="134">
        <f t="shared" si="4"/>
        <v>34.695911484374982</v>
      </c>
      <c r="H7" s="134">
        <f t="shared" si="5"/>
        <v>36.141574462890603</v>
      </c>
      <c r="I7" s="134">
        <f t="shared" si="6"/>
        <v>37.587237441406231</v>
      </c>
      <c r="J7" s="134">
        <f t="shared" si="7"/>
        <v>39.032900419921859</v>
      </c>
      <c r="K7" s="135">
        <f t="shared" si="8"/>
        <v>40.478563398437473</v>
      </c>
      <c r="L7" s="135">
        <f t="shared" si="9"/>
        <v>43.369889355468729</v>
      </c>
    </row>
    <row r="8" spans="1:12" ht="42.6" customHeight="1" thickTop="1" thickBot="1" x14ac:dyDescent="0.3">
      <c r="A8" s="130">
        <f t="shared" si="0"/>
        <v>584</v>
      </c>
      <c r="B8" s="131">
        <f t="shared" si="10"/>
        <v>679</v>
      </c>
      <c r="C8" s="132">
        <f t="shared" si="1"/>
        <v>5</v>
      </c>
      <c r="D8" s="133" t="s">
        <v>94</v>
      </c>
      <c r="E8" s="134">
        <f t="shared" si="2"/>
        <v>25.141964843749989</v>
      </c>
      <c r="F8" s="134">
        <f t="shared" si="3"/>
        <v>27.656161328124991</v>
      </c>
      <c r="G8" s="134">
        <f t="shared" si="4"/>
        <v>30.170357812499986</v>
      </c>
      <c r="H8" s="134">
        <f t="shared" si="5"/>
        <v>31.427456054687486</v>
      </c>
      <c r="I8" s="134">
        <f t="shared" si="6"/>
        <v>32.684554296874985</v>
      </c>
      <c r="J8" s="134">
        <f t="shared" si="7"/>
        <v>33.941652539062488</v>
      </c>
      <c r="K8" s="135">
        <f t="shared" si="8"/>
        <v>35.198750781249984</v>
      </c>
      <c r="L8" s="135">
        <f t="shared" si="9"/>
        <v>37.712947265624983</v>
      </c>
    </row>
    <row r="9" spans="1:12" ht="40.15" customHeight="1" thickTop="1" thickBot="1" x14ac:dyDescent="0.3">
      <c r="A9" s="130">
        <f t="shared" si="0"/>
        <v>488</v>
      </c>
      <c r="B9" s="131">
        <f t="shared" si="10"/>
        <v>583</v>
      </c>
      <c r="C9" s="132">
        <f t="shared" si="1"/>
        <v>4</v>
      </c>
      <c r="D9" s="133" t="s">
        <v>93</v>
      </c>
      <c r="E9" s="134">
        <f t="shared" si="2"/>
        <v>21.862578124999992</v>
      </c>
      <c r="F9" s="134">
        <f t="shared" si="3"/>
        <v>24.048835937499994</v>
      </c>
      <c r="G9" s="134">
        <f t="shared" si="4"/>
        <v>26.23509374999999</v>
      </c>
      <c r="H9" s="134">
        <f t="shared" si="5"/>
        <v>27.328222656249991</v>
      </c>
      <c r="I9" s="134">
        <f t="shared" si="6"/>
        <v>28.421351562499989</v>
      </c>
      <c r="J9" s="134">
        <f t="shared" si="7"/>
        <v>29.514480468749991</v>
      </c>
      <c r="K9" s="135">
        <f t="shared" si="8"/>
        <v>30.607609374999985</v>
      </c>
      <c r="L9" s="135">
        <f t="shared" si="9"/>
        <v>32.793867187499984</v>
      </c>
    </row>
    <row r="10" spans="1:12" ht="96" customHeight="1" thickTop="1" thickBot="1" x14ac:dyDescent="0.3">
      <c r="A10" s="130">
        <f t="shared" si="0"/>
        <v>392</v>
      </c>
      <c r="B10" s="131">
        <f t="shared" si="10"/>
        <v>487</v>
      </c>
      <c r="C10" s="132">
        <f t="shared" si="1"/>
        <v>3</v>
      </c>
      <c r="D10" s="133" t="s">
        <v>91</v>
      </c>
      <c r="E10" s="134">
        <f t="shared" si="2"/>
        <v>19.010937499999994</v>
      </c>
      <c r="F10" s="134">
        <f t="shared" si="3"/>
        <v>20.912031249999995</v>
      </c>
      <c r="G10" s="134">
        <f t="shared" si="4"/>
        <v>22.813124999999992</v>
      </c>
      <c r="H10" s="134">
        <f t="shared" si="5"/>
        <v>23.763671874999993</v>
      </c>
      <c r="I10" s="134">
        <f t="shared" si="6"/>
        <v>24.714218749999993</v>
      </c>
      <c r="J10" s="134">
        <f t="shared" si="7"/>
        <v>25.664765624999994</v>
      </c>
      <c r="K10" s="135">
        <f t="shared" si="8"/>
        <v>26.615312499999991</v>
      </c>
      <c r="L10" s="135">
        <f t="shared" si="9"/>
        <v>28.516406249999989</v>
      </c>
    </row>
    <row r="11" spans="1:12" ht="28.15" customHeight="1" thickTop="1" thickBot="1" x14ac:dyDescent="0.3">
      <c r="A11" s="130">
        <f t="shared" si="0"/>
        <v>296</v>
      </c>
      <c r="B11" s="131">
        <f>A11+95</f>
        <v>391</v>
      </c>
      <c r="C11" s="132">
        <f t="shared" si="1"/>
        <v>2</v>
      </c>
      <c r="D11" s="133" t="s">
        <v>90</v>
      </c>
      <c r="E11" s="134">
        <f>E12*1.15</f>
        <v>16.531249999999996</v>
      </c>
      <c r="F11" s="134">
        <f t="shared" si="3"/>
        <v>18.184374999999999</v>
      </c>
      <c r="G11" s="134">
        <f t="shared" si="4"/>
        <v>19.837499999999995</v>
      </c>
      <c r="H11" s="134">
        <f t="shared" si="5"/>
        <v>20.664062499999996</v>
      </c>
      <c r="I11" s="134">
        <f t="shared" si="6"/>
        <v>21.490624999999998</v>
      </c>
      <c r="J11" s="134">
        <f t="shared" si="7"/>
        <v>22.317187499999996</v>
      </c>
      <c r="K11" s="135">
        <f t="shared" si="8"/>
        <v>23.143749999999994</v>
      </c>
      <c r="L11" s="135">
        <f t="shared" si="9"/>
        <v>24.796874999999993</v>
      </c>
    </row>
    <row r="12" spans="1:12" ht="28.15" customHeight="1" thickTop="1" thickBot="1" x14ac:dyDescent="0.3">
      <c r="A12" s="137">
        <v>200</v>
      </c>
      <c r="B12" s="131">
        <f>A12+95</f>
        <v>295</v>
      </c>
      <c r="C12" s="132">
        <v>1</v>
      </c>
      <c r="D12" s="133"/>
      <c r="E12" s="138">
        <f>E13*1.15</f>
        <v>14.374999999999998</v>
      </c>
      <c r="F12" s="134">
        <f t="shared" si="3"/>
        <v>15.8125</v>
      </c>
      <c r="G12" s="134">
        <f t="shared" si="4"/>
        <v>17.249999999999996</v>
      </c>
      <c r="H12" s="134">
        <f t="shared" si="5"/>
        <v>17.968749999999996</v>
      </c>
      <c r="I12" s="134">
        <f t="shared" si="6"/>
        <v>18.6875</v>
      </c>
      <c r="J12" s="134">
        <f t="shared" si="7"/>
        <v>19.40625</v>
      </c>
      <c r="K12" s="135">
        <f>E12*1.4</f>
        <v>20.124999999999996</v>
      </c>
      <c r="L12" s="135">
        <f>E12*1.5</f>
        <v>21.562499999999996</v>
      </c>
    </row>
    <row r="13" spans="1:12" ht="30" customHeight="1" thickTop="1" x14ac:dyDescent="0.25">
      <c r="A13" s="143"/>
      <c r="B13" s="141"/>
      <c r="C13" s="141"/>
      <c r="D13" s="139" t="s">
        <v>89</v>
      </c>
      <c r="E13" s="140">
        <v>12.5</v>
      </c>
      <c r="F13" s="142"/>
      <c r="G13" s="142"/>
      <c r="H13" s="142"/>
      <c r="I13" s="142"/>
      <c r="J13" s="142"/>
      <c r="K13" s="142"/>
      <c r="L13" s="144"/>
    </row>
  </sheetData>
  <mergeCells count="7">
    <mergeCell ref="A2:L2"/>
    <mergeCell ref="A3:B3"/>
    <mergeCell ref="C3:C4"/>
    <mergeCell ref="D3:D4"/>
    <mergeCell ref="E3:G3"/>
    <mergeCell ref="H3:I3"/>
    <mergeCell ref="J3:K3"/>
  </mergeCells>
  <pageMargins left="0.2" right="0.17" top="0.22" bottom="0.2" header="0.17" footer="0.16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33"/>
  <sheetViews>
    <sheetView showGridLines="0" tabSelected="1" zoomScale="120" zoomScaleNormal="120" workbookViewId="0">
      <selection activeCell="D5" sqref="D5"/>
    </sheetView>
  </sheetViews>
  <sheetFormatPr baseColWidth="10" defaultColWidth="11.42578125" defaultRowHeight="11.25" x14ac:dyDescent="0.25"/>
  <cols>
    <col min="1" max="2" width="5.42578125" style="121" customWidth="1"/>
    <col min="3" max="3" width="5.28515625" style="121" customWidth="1"/>
    <col min="4" max="4" width="43.7109375" style="121" customWidth="1"/>
    <col min="5" max="12" width="9" style="122" customWidth="1"/>
    <col min="13" max="253" width="11.42578125" style="121"/>
    <col min="254" max="254" width="4.42578125" style="121" customWidth="1"/>
    <col min="255" max="255" width="4.28515625" style="121" customWidth="1"/>
    <col min="256" max="256" width="3.7109375" style="121" customWidth="1"/>
    <col min="257" max="257" width="46.5703125" style="121" customWidth="1"/>
    <col min="258" max="258" width="7.7109375" style="121" customWidth="1"/>
    <col min="259" max="259" width="8.85546875" style="121" customWidth="1"/>
    <col min="260" max="260" width="6.7109375" style="121" customWidth="1"/>
    <col min="261" max="261" width="6.5703125" style="121" customWidth="1"/>
    <col min="262" max="262" width="6.7109375" style="121" customWidth="1"/>
    <col min="263" max="263" width="5.7109375" style="121" customWidth="1"/>
    <col min="264" max="264" width="7.140625" style="121" customWidth="1"/>
    <col min="265" max="265" width="8.85546875" style="121" customWidth="1"/>
    <col min="266" max="266" width="9.28515625" style="121" customWidth="1"/>
    <col min="267" max="267" width="8.85546875" style="121" customWidth="1"/>
    <col min="268" max="509" width="11.42578125" style="121"/>
    <col min="510" max="510" width="4.42578125" style="121" customWidth="1"/>
    <col min="511" max="511" width="4.28515625" style="121" customWidth="1"/>
    <col min="512" max="512" width="3.7109375" style="121" customWidth="1"/>
    <col min="513" max="513" width="46.5703125" style="121" customWidth="1"/>
    <col min="514" max="514" width="7.7109375" style="121" customWidth="1"/>
    <col min="515" max="515" width="8.85546875" style="121" customWidth="1"/>
    <col min="516" max="516" width="6.7109375" style="121" customWidth="1"/>
    <col min="517" max="517" width="6.5703125" style="121" customWidth="1"/>
    <col min="518" max="518" width="6.7109375" style="121" customWidth="1"/>
    <col min="519" max="519" width="5.7109375" style="121" customWidth="1"/>
    <col min="520" max="520" width="7.140625" style="121" customWidth="1"/>
    <col min="521" max="521" width="8.85546875" style="121" customWidth="1"/>
    <col min="522" max="522" width="9.28515625" style="121" customWidth="1"/>
    <col min="523" max="523" width="8.85546875" style="121" customWidth="1"/>
    <col min="524" max="765" width="11.42578125" style="121"/>
    <col min="766" max="766" width="4.42578125" style="121" customWidth="1"/>
    <col min="767" max="767" width="4.28515625" style="121" customWidth="1"/>
    <col min="768" max="768" width="3.7109375" style="121" customWidth="1"/>
    <col min="769" max="769" width="46.5703125" style="121" customWidth="1"/>
    <col min="770" max="770" width="7.7109375" style="121" customWidth="1"/>
    <col min="771" max="771" width="8.85546875" style="121" customWidth="1"/>
    <col min="772" max="772" width="6.7109375" style="121" customWidth="1"/>
    <col min="773" max="773" width="6.5703125" style="121" customWidth="1"/>
    <col min="774" max="774" width="6.7109375" style="121" customWidth="1"/>
    <col min="775" max="775" width="5.7109375" style="121" customWidth="1"/>
    <col min="776" max="776" width="7.140625" style="121" customWidth="1"/>
    <col min="777" max="777" width="8.85546875" style="121" customWidth="1"/>
    <col min="778" max="778" width="9.28515625" style="121" customWidth="1"/>
    <col min="779" max="779" width="8.85546875" style="121" customWidth="1"/>
    <col min="780" max="1021" width="11.42578125" style="121"/>
    <col min="1022" max="1022" width="4.42578125" style="121" customWidth="1"/>
    <col min="1023" max="1023" width="4.28515625" style="121" customWidth="1"/>
    <col min="1024" max="1024" width="3.7109375" style="121" customWidth="1"/>
    <col min="1025" max="1025" width="46.5703125" style="121" customWidth="1"/>
    <col min="1026" max="1026" width="7.7109375" style="121" customWidth="1"/>
    <col min="1027" max="1027" width="8.85546875" style="121" customWidth="1"/>
    <col min="1028" max="1028" width="6.7109375" style="121" customWidth="1"/>
    <col min="1029" max="1029" width="6.5703125" style="121" customWidth="1"/>
    <col min="1030" max="1030" width="6.7109375" style="121" customWidth="1"/>
    <col min="1031" max="1031" width="5.7109375" style="121" customWidth="1"/>
    <col min="1032" max="1032" width="7.140625" style="121" customWidth="1"/>
    <col min="1033" max="1033" width="8.85546875" style="121" customWidth="1"/>
    <col min="1034" max="1034" width="9.28515625" style="121" customWidth="1"/>
    <col min="1035" max="1035" width="8.85546875" style="121" customWidth="1"/>
    <col min="1036" max="1277" width="11.42578125" style="121"/>
    <col min="1278" max="1278" width="4.42578125" style="121" customWidth="1"/>
    <col min="1279" max="1279" width="4.28515625" style="121" customWidth="1"/>
    <col min="1280" max="1280" width="3.7109375" style="121" customWidth="1"/>
    <col min="1281" max="1281" width="46.5703125" style="121" customWidth="1"/>
    <col min="1282" max="1282" width="7.7109375" style="121" customWidth="1"/>
    <col min="1283" max="1283" width="8.85546875" style="121" customWidth="1"/>
    <col min="1284" max="1284" width="6.7109375" style="121" customWidth="1"/>
    <col min="1285" max="1285" width="6.5703125" style="121" customWidth="1"/>
    <col min="1286" max="1286" width="6.7109375" style="121" customWidth="1"/>
    <col min="1287" max="1287" width="5.7109375" style="121" customWidth="1"/>
    <col min="1288" max="1288" width="7.140625" style="121" customWidth="1"/>
    <col min="1289" max="1289" width="8.85546875" style="121" customWidth="1"/>
    <col min="1290" max="1290" width="9.28515625" style="121" customWidth="1"/>
    <col min="1291" max="1291" width="8.85546875" style="121" customWidth="1"/>
    <col min="1292" max="1533" width="11.42578125" style="121"/>
    <col min="1534" max="1534" width="4.42578125" style="121" customWidth="1"/>
    <col min="1535" max="1535" width="4.28515625" style="121" customWidth="1"/>
    <col min="1536" max="1536" width="3.7109375" style="121" customWidth="1"/>
    <col min="1537" max="1537" width="46.5703125" style="121" customWidth="1"/>
    <col min="1538" max="1538" width="7.7109375" style="121" customWidth="1"/>
    <col min="1539" max="1539" width="8.85546875" style="121" customWidth="1"/>
    <col min="1540" max="1540" width="6.7109375" style="121" customWidth="1"/>
    <col min="1541" max="1541" width="6.5703125" style="121" customWidth="1"/>
    <col min="1542" max="1542" width="6.7109375" style="121" customWidth="1"/>
    <col min="1543" max="1543" width="5.7109375" style="121" customWidth="1"/>
    <col min="1544" max="1544" width="7.140625" style="121" customWidth="1"/>
    <col min="1545" max="1545" width="8.85546875" style="121" customWidth="1"/>
    <col min="1546" max="1546" width="9.28515625" style="121" customWidth="1"/>
    <col min="1547" max="1547" width="8.85546875" style="121" customWidth="1"/>
    <col min="1548" max="1789" width="11.42578125" style="121"/>
    <col min="1790" max="1790" width="4.42578125" style="121" customWidth="1"/>
    <col min="1791" max="1791" width="4.28515625" style="121" customWidth="1"/>
    <col min="1792" max="1792" width="3.7109375" style="121" customWidth="1"/>
    <col min="1793" max="1793" width="46.5703125" style="121" customWidth="1"/>
    <col min="1794" max="1794" width="7.7109375" style="121" customWidth="1"/>
    <col min="1795" max="1795" width="8.85546875" style="121" customWidth="1"/>
    <col min="1796" max="1796" width="6.7109375" style="121" customWidth="1"/>
    <col min="1797" max="1797" width="6.5703125" style="121" customWidth="1"/>
    <col min="1798" max="1798" width="6.7109375" style="121" customWidth="1"/>
    <col min="1799" max="1799" width="5.7109375" style="121" customWidth="1"/>
    <col min="1800" max="1800" width="7.140625" style="121" customWidth="1"/>
    <col min="1801" max="1801" width="8.85546875" style="121" customWidth="1"/>
    <col min="1802" max="1802" width="9.28515625" style="121" customWidth="1"/>
    <col min="1803" max="1803" width="8.85546875" style="121" customWidth="1"/>
    <col min="1804" max="2045" width="11.42578125" style="121"/>
    <col min="2046" max="2046" width="4.42578125" style="121" customWidth="1"/>
    <col min="2047" max="2047" width="4.28515625" style="121" customWidth="1"/>
    <col min="2048" max="2048" width="3.7109375" style="121" customWidth="1"/>
    <col min="2049" max="2049" width="46.5703125" style="121" customWidth="1"/>
    <col min="2050" max="2050" width="7.7109375" style="121" customWidth="1"/>
    <col min="2051" max="2051" width="8.85546875" style="121" customWidth="1"/>
    <col min="2052" max="2052" width="6.7109375" style="121" customWidth="1"/>
    <col min="2053" max="2053" width="6.5703125" style="121" customWidth="1"/>
    <col min="2054" max="2054" width="6.7109375" style="121" customWidth="1"/>
    <col min="2055" max="2055" width="5.7109375" style="121" customWidth="1"/>
    <col min="2056" max="2056" width="7.140625" style="121" customWidth="1"/>
    <col min="2057" max="2057" width="8.85546875" style="121" customWidth="1"/>
    <col min="2058" max="2058" width="9.28515625" style="121" customWidth="1"/>
    <col min="2059" max="2059" width="8.85546875" style="121" customWidth="1"/>
    <col min="2060" max="2301" width="11.42578125" style="121"/>
    <col min="2302" max="2302" width="4.42578125" style="121" customWidth="1"/>
    <col min="2303" max="2303" width="4.28515625" style="121" customWidth="1"/>
    <col min="2304" max="2304" width="3.7109375" style="121" customWidth="1"/>
    <col min="2305" max="2305" width="46.5703125" style="121" customWidth="1"/>
    <col min="2306" max="2306" width="7.7109375" style="121" customWidth="1"/>
    <col min="2307" max="2307" width="8.85546875" style="121" customWidth="1"/>
    <col min="2308" max="2308" width="6.7109375" style="121" customWidth="1"/>
    <col min="2309" max="2309" width="6.5703125" style="121" customWidth="1"/>
    <col min="2310" max="2310" width="6.7109375" style="121" customWidth="1"/>
    <col min="2311" max="2311" width="5.7109375" style="121" customWidth="1"/>
    <col min="2312" max="2312" width="7.140625" style="121" customWidth="1"/>
    <col min="2313" max="2313" width="8.85546875" style="121" customWidth="1"/>
    <col min="2314" max="2314" width="9.28515625" style="121" customWidth="1"/>
    <col min="2315" max="2315" width="8.85546875" style="121" customWidth="1"/>
    <col min="2316" max="2557" width="11.42578125" style="121"/>
    <col min="2558" max="2558" width="4.42578125" style="121" customWidth="1"/>
    <col min="2559" max="2559" width="4.28515625" style="121" customWidth="1"/>
    <col min="2560" max="2560" width="3.7109375" style="121" customWidth="1"/>
    <col min="2561" max="2561" width="46.5703125" style="121" customWidth="1"/>
    <col min="2562" max="2562" width="7.7109375" style="121" customWidth="1"/>
    <col min="2563" max="2563" width="8.85546875" style="121" customWidth="1"/>
    <col min="2564" max="2564" width="6.7109375" style="121" customWidth="1"/>
    <col min="2565" max="2565" width="6.5703125" style="121" customWidth="1"/>
    <col min="2566" max="2566" width="6.7109375" style="121" customWidth="1"/>
    <col min="2567" max="2567" width="5.7109375" style="121" customWidth="1"/>
    <col min="2568" max="2568" width="7.140625" style="121" customWidth="1"/>
    <col min="2569" max="2569" width="8.85546875" style="121" customWidth="1"/>
    <col min="2570" max="2570" width="9.28515625" style="121" customWidth="1"/>
    <col min="2571" max="2571" width="8.85546875" style="121" customWidth="1"/>
    <col min="2572" max="2813" width="11.42578125" style="121"/>
    <col min="2814" max="2814" width="4.42578125" style="121" customWidth="1"/>
    <col min="2815" max="2815" width="4.28515625" style="121" customWidth="1"/>
    <col min="2816" max="2816" width="3.7109375" style="121" customWidth="1"/>
    <col min="2817" max="2817" width="46.5703125" style="121" customWidth="1"/>
    <col min="2818" max="2818" width="7.7109375" style="121" customWidth="1"/>
    <col min="2819" max="2819" width="8.85546875" style="121" customWidth="1"/>
    <col min="2820" max="2820" width="6.7109375" style="121" customWidth="1"/>
    <col min="2821" max="2821" width="6.5703125" style="121" customWidth="1"/>
    <col min="2822" max="2822" width="6.7109375" style="121" customWidth="1"/>
    <col min="2823" max="2823" width="5.7109375" style="121" customWidth="1"/>
    <col min="2824" max="2824" width="7.140625" style="121" customWidth="1"/>
    <col min="2825" max="2825" width="8.85546875" style="121" customWidth="1"/>
    <col min="2826" max="2826" width="9.28515625" style="121" customWidth="1"/>
    <col min="2827" max="2827" width="8.85546875" style="121" customWidth="1"/>
    <col min="2828" max="3069" width="11.42578125" style="121"/>
    <col min="3070" max="3070" width="4.42578125" style="121" customWidth="1"/>
    <col min="3071" max="3071" width="4.28515625" style="121" customWidth="1"/>
    <col min="3072" max="3072" width="3.7109375" style="121" customWidth="1"/>
    <col min="3073" max="3073" width="46.5703125" style="121" customWidth="1"/>
    <col min="3074" max="3074" width="7.7109375" style="121" customWidth="1"/>
    <col min="3075" max="3075" width="8.85546875" style="121" customWidth="1"/>
    <col min="3076" max="3076" width="6.7109375" style="121" customWidth="1"/>
    <col min="3077" max="3077" width="6.5703125" style="121" customWidth="1"/>
    <col min="3078" max="3078" width="6.7109375" style="121" customWidth="1"/>
    <col min="3079" max="3079" width="5.7109375" style="121" customWidth="1"/>
    <col min="3080" max="3080" width="7.140625" style="121" customWidth="1"/>
    <col min="3081" max="3081" width="8.85546875" style="121" customWidth="1"/>
    <col min="3082" max="3082" width="9.28515625" style="121" customWidth="1"/>
    <col min="3083" max="3083" width="8.85546875" style="121" customWidth="1"/>
    <col min="3084" max="3325" width="11.42578125" style="121"/>
    <col min="3326" max="3326" width="4.42578125" style="121" customWidth="1"/>
    <col min="3327" max="3327" width="4.28515625" style="121" customWidth="1"/>
    <col min="3328" max="3328" width="3.7109375" style="121" customWidth="1"/>
    <col min="3329" max="3329" width="46.5703125" style="121" customWidth="1"/>
    <col min="3330" max="3330" width="7.7109375" style="121" customWidth="1"/>
    <col min="3331" max="3331" width="8.85546875" style="121" customWidth="1"/>
    <col min="3332" max="3332" width="6.7109375" style="121" customWidth="1"/>
    <col min="3333" max="3333" width="6.5703125" style="121" customWidth="1"/>
    <col min="3334" max="3334" width="6.7109375" style="121" customWidth="1"/>
    <col min="3335" max="3335" width="5.7109375" style="121" customWidth="1"/>
    <col min="3336" max="3336" width="7.140625" style="121" customWidth="1"/>
    <col min="3337" max="3337" width="8.85546875" style="121" customWidth="1"/>
    <col min="3338" max="3338" width="9.28515625" style="121" customWidth="1"/>
    <col min="3339" max="3339" width="8.85546875" style="121" customWidth="1"/>
    <col min="3340" max="3581" width="11.42578125" style="121"/>
    <col min="3582" max="3582" width="4.42578125" style="121" customWidth="1"/>
    <col min="3583" max="3583" width="4.28515625" style="121" customWidth="1"/>
    <col min="3584" max="3584" width="3.7109375" style="121" customWidth="1"/>
    <col min="3585" max="3585" width="46.5703125" style="121" customWidth="1"/>
    <col min="3586" max="3586" width="7.7109375" style="121" customWidth="1"/>
    <col min="3587" max="3587" width="8.85546875" style="121" customWidth="1"/>
    <col min="3588" max="3588" width="6.7109375" style="121" customWidth="1"/>
    <col min="3589" max="3589" width="6.5703125" style="121" customWidth="1"/>
    <col min="3590" max="3590" width="6.7109375" style="121" customWidth="1"/>
    <col min="3591" max="3591" width="5.7109375" style="121" customWidth="1"/>
    <col min="3592" max="3592" width="7.140625" style="121" customWidth="1"/>
    <col min="3593" max="3593" width="8.85546875" style="121" customWidth="1"/>
    <col min="3594" max="3594" width="9.28515625" style="121" customWidth="1"/>
    <col min="3595" max="3595" width="8.85546875" style="121" customWidth="1"/>
    <col min="3596" max="3837" width="11.42578125" style="121"/>
    <col min="3838" max="3838" width="4.42578125" style="121" customWidth="1"/>
    <col min="3839" max="3839" width="4.28515625" style="121" customWidth="1"/>
    <col min="3840" max="3840" width="3.7109375" style="121" customWidth="1"/>
    <col min="3841" max="3841" width="46.5703125" style="121" customWidth="1"/>
    <col min="3842" max="3842" width="7.7109375" style="121" customWidth="1"/>
    <col min="3843" max="3843" width="8.85546875" style="121" customWidth="1"/>
    <col min="3844" max="3844" width="6.7109375" style="121" customWidth="1"/>
    <col min="3845" max="3845" width="6.5703125" style="121" customWidth="1"/>
    <col min="3846" max="3846" width="6.7109375" style="121" customWidth="1"/>
    <col min="3847" max="3847" width="5.7109375" style="121" customWidth="1"/>
    <col min="3848" max="3848" width="7.140625" style="121" customWidth="1"/>
    <col min="3849" max="3849" width="8.85546875" style="121" customWidth="1"/>
    <col min="3850" max="3850" width="9.28515625" style="121" customWidth="1"/>
    <col min="3851" max="3851" width="8.85546875" style="121" customWidth="1"/>
    <col min="3852" max="4093" width="11.42578125" style="121"/>
    <col min="4094" max="4094" width="4.42578125" style="121" customWidth="1"/>
    <col min="4095" max="4095" width="4.28515625" style="121" customWidth="1"/>
    <col min="4096" max="4096" width="3.7109375" style="121" customWidth="1"/>
    <col min="4097" max="4097" width="46.5703125" style="121" customWidth="1"/>
    <col min="4098" max="4098" width="7.7109375" style="121" customWidth="1"/>
    <col min="4099" max="4099" width="8.85546875" style="121" customWidth="1"/>
    <col min="4100" max="4100" width="6.7109375" style="121" customWidth="1"/>
    <col min="4101" max="4101" width="6.5703125" style="121" customWidth="1"/>
    <col min="4102" max="4102" width="6.7109375" style="121" customWidth="1"/>
    <col min="4103" max="4103" width="5.7109375" style="121" customWidth="1"/>
    <col min="4104" max="4104" width="7.140625" style="121" customWidth="1"/>
    <col min="4105" max="4105" width="8.85546875" style="121" customWidth="1"/>
    <col min="4106" max="4106" width="9.28515625" style="121" customWidth="1"/>
    <col min="4107" max="4107" width="8.85546875" style="121" customWidth="1"/>
    <col min="4108" max="4349" width="11.42578125" style="121"/>
    <col min="4350" max="4350" width="4.42578125" style="121" customWidth="1"/>
    <col min="4351" max="4351" width="4.28515625" style="121" customWidth="1"/>
    <col min="4352" max="4352" width="3.7109375" style="121" customWidth="1"/>
    <col min="4353" max="4353" width="46.5703125" style="121" customWidth="1"/>
    <col min="4354" max="4354" width="7.7109375" style="121" customWidth="1"/>
    <col min="4355" max="4355" width="8.85546875" style="121" customWidth="1"/>
    <col min="4356" max="4356" width="6.7109375" style="121" customWidth="1"/>
    <col min="4357" max="4357" width="6.5703125" style="121" customWidth="1"/>
    <col min="4358" max="4358" width="6.7109375" style="121" customWidth="1"/>
    <col min="4359" max="4359" width="5.7109375" style="121" customWidth="1"/>
    <col min="4360" max="4360" width="7.140625" style="121" customWidth="1"/>
    <col min="4361" max="4361" width="8.85546875" style="121" customWidth="1"/>
    <col min="4362" max="4362" width="9.28515625" style="121" customWidth="1"/>
    <col min="4363" max="4363" width="8.85546875" style="121" customWidth="1"/>
    <col min="4364" max="4605" width="11.42578125" style="121"/>
    <col min="4606" max="4606" width="4.42578125" style="121" customWidth="1"/>
    <col min="4607" max="4607" width="4.28515625" style="121" customWidth="1"/>
    <col min="4608" max="4608" width="3.7109375" style="121" customWidth="1"/>
    <col min="4609" max="4609" width="46.5703125" style="121" customWidth="1"/>
    <col min="4610" max="4610" width="7.7109375" style="121" customWidth="1"/>
    <col min="4611" max="4611" width="8.85546875" style="121" customWidth="1"/>
    <col min="4612" max="4612" width="6.7109375" style="121" customWidth="1"/>
    <col min="4613" max="4613" width="6.5703125" style="121" customWidth="1"/>
    <col min="4614" max="4614" width="6.7109375" style="121" customWidth="1"/>
    <col min="4615" max="4615" width="5.7109375" style="121" customWidth="1"/>
    <col min="4616" max="4616" width="7.140625" style="121" customWidth="1"/>
    <col min="4617" max="4617" width="8.85546875" style="121" customWidth="1"/>
    <col min="4618" max="4618" width="9.28515625" style="121" customWidth="1"/>
    <col min="4619" max="4619" width="8.85546875" style="121" customWidth="1"/>
    <col min="4620" max="4861" width="11.42578125" style="121"/>
    <col min="4862" max="4862" width="4.42578125" style="121" customWidth="1"/>
    <col min="4863" max="4863" width="4.28515625" style="121" customWidth="1"/>
    <col min="4864" max="4864" width="3.7109375" style="121" customWidth="1"/>
    <col min="4865" max="4865" width="46.5703125" style="121" customWidth="1"/>
    <col min="4866" max="4866" width="7.7109375" style="121" customWidth="1"/>
    <col min="4867" max="4867" width="8.85546875" style="121" customWidth="1"/>
    <col min="4868" max="4868" width="6.7109375" style="121" customWidth="1"/>
    <col min="4869" max="4869" width="6.5703125" style="121" customWidth="1"/>
    <col min="4870" max="4870" width="6.7109375" style="121" customWidth="1"/>
    <col min="4871" max="4871" width="5.7109375" style="121" customWidth="1"/>
    <col min="4872" max="4872" width="7.140625" style="121" customWidth="1"/>
    <col min="4873" max="4873" width="8.85546875" style="121" customWidth="1"/>
    <col min="4874" max="4874" width="9.28515625" style="121" customWidth="1"/>
    <col min="4875" max="4875" width="8.85546875" style="121" customWidth="1"/>
    <col min="4876" max="5117" width="11.42578125" style="121"/>
    <col min="5118" max="5118" width="4.42578125" style="121" customWidth="1"/>
    <col min="5119" max="5119" width="4.28515625" style="121" customWidth="1"/>
    <col min="5120" max="5120" width="3.7109375" style="121" customWidth="1"/>
    <col min="5121" max="5121" width="46.5703125" style="121" customWidth="1"/>
    <col min="5122" max="5122" width="7.7109375" style="121" customWidth="1"/>
    <col min="5123" max="5123" width="8.85546875" style="121" customWidth="1"/>
    <col min="5124" max="5124" width="6.7109375" style="121" customWidth="1"/>
    <col min="5125" max="5125" width="6.5703125" style="121" customWidth="1"/>
    <col min="5126" max="5126" width="6.7109375" style="121" customWidth="1"/>
    <col min="5127" max="5127" width="5.7109375" style="121" customWidth="1"/>
    <col min="5128" max="5128" width="7.140625" style="121" customWidth="1"/>
    <col min="5129" max="5129" width="8.85546875" style="121" customWidth="1"/>
    <col min="5130" max="5130" width="9.28515625" style="121" customWidth="1"/>
    <col min="5131" max="5131" width="8.85546875" style="121" customWidth="1"/>
    <col min="5132" max="5373" width="11.42578125" style="121"/>
    <col min="5374" max="5374" width="4.42578125" style="121" customWidth="1"/>
    <col min="5375" max="5375" width="4.28515625" style="121" customWidth="1"/>
    <col min="5376" max="5376" width="3.7109375" style="121" customWidth="1"/>
    <col min="5377" max="5377" width="46.5703125" style="121" customWidth="1"/>
    <col min="5378" max="5378" width="7.7109375" style="121" customWidth="1"/>
    <col min="5379" max="5379" width="8.85546875" style="121" customWidth="1"/>
    <col min="5380" max="5380" width="6.7109375" style="121" customWidth="1"/>
    <col min="5381" max="5381" width="6.5703125" style="121" customWidth="1"/>
    <col min="5382" max="5382" width="6.7109375" style="121" customWidth="1"/>
    <col min="5383" max="5383" width="5.7109375" style="121" customWidth="1"/>
    <col min="5384" max="5384" width="7.140625" style="121" customWidth="1"/>
    <col min="5385" max="5385" width="8.85546875" style="121" customWidth="1"/>
    <col min="5386" max="5386" width="9.28515625" style="121" customWidth="1"/>
    <col min="5387" max="5387" width="8.85546875" style="121" customWidth="1"/>
    <col min="5388" max="5629" width="11.42578125" style="121"/>
    <col min="5630" max="5630" width="4.42578125" style="121" customWidth="1"/>
    <col min="5631" max="5631" width="4.28515625" style="121" customWidth="1"/>
    <col min="5632" max="5632" width="3.7109375" style="121" customWidth="1"/>
    <col min="5633" max="5633" width="46.5703125" style="121" customWidth="1"/>
    <col min="5634" max="5634" width="7.7109375" style="121" customWidth="1"/>
    <col min="5635" max="5635" width="8.85546875" style="121" customWidth="1"/>
    <col min="5636" max="5636" width="6.7109375" style="121" customWidth="1"/>
    <col min="5637" max="5637" width="6.5703125" style="121" customWidth="1"/>
    <col min="5638" max="5638" width="6.7109375" style="121" customWidth="1"/>
    <col min="5639" max="5639" width="5.7109375" style="121" customWidth="1"/>
    <col min="5640" max="5640" width="7.140625" style="121" customWidth="1"/>
    <col min="5641" max="5641" width="8.85546875" style="121" customWidth="1"/>
    <col min="5642" max="5642" width="9.28515625" style="121" customWidth="1"/>
    <col min="5643" max="5643" width="8.85546875" style="121" customWidth="1"/>
    <col min="5644" max="5885" width="11.42578125" style="121"/>
    <col min="5886" max="5886" width="4.42578125" style="121" customWidth="1"/>
    <col min="5887" max="5887" width="4.28515625" style="121" customWidth="1"/>
    <col min="5888" max="5888" width="3.7109375" style="121" customWidth="1"/>
    <col min="5889" max="5889" width="46.5703125" style="121" customWidth="1"/>
    <col min="5890" max="5890" width="7.7109375" style="121" customWidth="1"/>
    <col min="5891" max="5891" width="8.85546875" style="121" customWidth="1"/>
    <col min="5892" max="5892" width="6.7109375" style="121" customWidth="1"/>
    <col min="5893" max="5893" width="6.5703125" style="121" customWidth="1"/>
    <col min="5894" max="5894" width="6.7109375" style="121" customWidth="1"/>
    <col min="5895" max="5895" width="5.7109375" style="121" customWidth="1"/>
    <col min="5896" max="5896" width="7.140625" style="121" customWidth="1"/>
    <col min="5897" max="5897" width="8.85546875" style="121" customWidth="1"/>
    <col min="5898" max="5898" width="9.28515625" style="121" customWidth="1"/>
    <col min="5899" max="5899" width="8.85546875" style="121" customWidth="1"/>
    <col min="5900" max="6141" width="11.42578125" style="121"/>
    <col min="6142" max="6142" width="4.42578125" style="121" customWidth="1"/>
    <col min="6143" max="6143" width="4.28515625" style="121" customWidth="1"/>
    <col min="6144" max="6144" width="3.7109375" style="121" customWidth="1"/>
    <col min="6145" max="6145" width="46.5703125" style="121" customWidth="1"/>
    <col min="6146" max="6146" width="7.7109375" style="121" customWidth="1"/>
    <col min="6147" max="6147" width="8.85546875" style="121" customWidth="1"/>
    <col min="6148" max="6148" width="6.7109375" style="121" customWidth="1"/>
    <col min="6149" max="6149" width="6.5703125" style="121" customWidth="1"/>
    <col min="6150" max="6150" width="6.7109375" style="121" customWidth="1"/>
    <col min="6151" max="6151" width="5.7109375" style="121" customWidth="1"/>
    <col min="6152" max="6152" width="7.140625" style="121" customWidth="1"/>
    <col min="6153" max="6153" width="8.85546875" style="121" customWidth="1"/>
    <col min="6154" max="6154" width="9.28515625" style="121" customWidth="1"/>
    <col min="6155" max="6155" width="8.85546875" style="121" customWidth="1"/>
    <col min="6156" max="6397" width="11.42578125" style="121"/>
    <col min="6398" max="6398" width="4.42578125" style="121" customWidth="1"/>
    <col min="6399" max="6399" width="4.28515625" style="121" customWidth="1"/>
    <col min="6400" max="6400" width="3.7109375" style="121" customWidth="1"/>
    <col min="6401" max="6401" width="46.5703125" style="121" customWidth="1"/>
    <col min="6402" max="6402" width="7.7109375" style="121" customWidth="1"/>
    <col min="6403" max="6403" width="8.85546875" style="121" customWidth="1"/>
    <col min="6404" max="6404" width="6.7109375" style="121" customWidth="1"/>
    <col min="6405" max="6405" width="6.5703125" style="121" customWidth="1"/>
    <col min="6406" max="6406" width="6.7109375" style="121" customWidth="1"/>
    <col min="6407" max="6407" width="5.7109375" style="121" customWidth="1"/>
    <col min="6408" max="6408" width="7.140625" style="121" customWidth="1"/>
    <col min="6409" max="6409" width="8.85546875" style="121" customWidth="1"/>
    <col min="6410" max="6410" width="9.28515625" style="121" customWidth="1"/>
    <col min="6411" max="6411" width="8.85546875" style="121" customWidth="1"/>
    <col min="6412" max="6653" width="11.42578125" style="121"/>
    <col min="6654" max="6654" width="4.42578125" style="121" customWidth="1"/>
    <col min="6655" max="6655" width="4.28515625" style="121" customWidth="1"/>
    <col min="6656" max="6656" width="3.7109375" style="121" customWidth="1"/>
    <col min="6657" max="6657" width="46.5703125" style="121" customWidth="1"/>
    <col min="6658" max="6658" width="7.7109375" style="121" customWidth="1"/>
    <col min="6659" max="6659" width="8.85546875" style="121" customWidth="1"/>
    <col min="6660" max="6660" width="6.7109375" style="121" customWidth="1"/>
    <col min="6661" max="6661" width="6.5703125" style="121" customWidth="1"/>
    <col min="6662" max="6662" width="6.7109375" style="121" customWidth="1"/>
    <col min="6663" max="6663" width="5.7109375" style="121" customWidth="1"/>
    <col min="6664" max="6664" width="7.140625" style="121" customWidth="1"/>
    <col min="6665" max="6665" width="8.85546875" style="121" customWidth="1"/>
    <col min="6666" max="6666" width="9.28515625" style="121" customWidth="1"/>
    <col min="6667" max="6667" width="8.85546875" style="121" customWidth="1"/>
    <col min="6668" max="6909" width="11.42578125" style="121"/>
    <col min="6910" max="6910" width="4.42578125" style="121" customWidth="1"/>
    <col min="6911" max="6911" width="4.28515625" style="121" customWidth="1"/>
    <col min="6912" max="6912" width="3.7109375" style="121" customWidth="1"/>
    <col min="6913" max="6913" width="46.5703125" style="121" customWidth="1"/>
    <col min="6914" max="6914" width="7.7109375" style="121" customWidth="1"/>
    <col min="6915" max="6915" width="8.85546875" style="121" customWidth="1"/>
    <col min="6916" max="6916" width="6.7109375" style="121" customWidth="1"/>
    <col min="6917" max="6917" width="6.5703125" style="121" customWidth="1"/>
    <col min="6918" max="6918" width="6.7109375" style="121" customWidth="1"/>
    <col min="6919" max="6919" width="5.7109375" style="121" customWidth="1"/>
    <col min="6920" max="6920" width="7.140625" style="121" customWidth="1"/>
    <col min="6921" max="6921" width="8.85546875" style="121" customWidth="1"/>
    <col min="6922" max="6922" width="9.28515625" style="121" customWidth="1"/>
    <col min="6923" max="6923" width="8.85546875" style="121" customWidth="1"/>
    <col min="6924" max="7165" width="11.42578125" style="121"/>
    <col min="7166" max="7166" width="4.42578125" style="121" customWidth="1"/>
    <col min="7167" max="7167" width="4.28515625" style="121" customWidth="1"/>
    <col min="7168" max="7168" width="3.7109375" style="121" customWidth="1"/>
    <col min="7169" max="7169" width="46.5703125" style="121" customWidth="1"/>
    <col min="7170" max="7170" width="7.7109375" style="121" customWidth="1"/>
    <col min="7171" max="7171" width="8.85546875" style="121" customWidth="1"/>
    <col min="7172" max="7172" width="6.7109375" style="121" customWidth="1"/>
    <col min="7173" max="7173" width="6.5703125" style="121" customWidth="1"/>
    <col min="7174" max="7174" width="6.7109375" style="121" customWidth="1"/>
    <col min="7175" max="7175" width="5.7109375" style="121" customWidth="1"/>
    <col min="7176" max="7176" width="7.140625" style="121" customWidth="1"/>
    <col min="7177" max="7177" width="8.85546875" style="121" customWidth="1"/>
    <col min="7178" max="7178" width="9.28515625" style="121" customWidth="1"/>
    <col min="7179" max="7179" width="8.85546875" style="121" customWidth="1"/>
    <col min="7180" max="7421" width="11.42578125" style="121"/>
    <col min="7422" max="7422" width="4.42578125" style="121" customWidth="1"/>
    <col min="7423" max="7423" width="4.28515625" style="121" customWidth="1"/>
    <col min="7424" max="7424" width="3.7109375" style="121" customWidth="1"/>
    <col min="7425" max="7425" width="46.5703125" style="121" customWidth="1"/>
    <col min="7426" max="7426" width="7.7109375" style="121" customWidth="1"/>
    <col min="7427" max="7427" width="8.85546875" style="121" customWidth="1"/>
    <col min="7428" max="7428" width="6.7109375" style="121" customWidth="1"/>
    <col min="7429" max="7429" width="6.5703125" style="121" customWidth="1"/>
    <col min="7430" max="7430" width="6.7109375" style="121" customWidth="1"/>
    <col min="7431" max="7431" width="5.7109375" style="121" customWidth="1"/>
    <col min="7432" max="7432" width="7.140625" style="121" customWidth="1"/>
    <col min="7433" max="7433" width="8.85546875" style="121" customWidth="1"/>
    <col min="7434" max="7434" width="9.28515625" style="121" customWidth="1"/>
    <col min="7435" max="7435" width="8.85546875" style="121" customWidth="1"/>
    <col min="7436" max="7677" width="11.42578125" style="121"/>
    <col min="7678" max="7678" width="4.42578125" style="121" customWidth="1"/>
    <col min="7679" max="7679" width="4.28515625" style="121" customWidth="1"/>
    <col min="7680" max="7680" width="3.7109375" style="121" customWidth="1"/>
    <col min="7681" max="7681" width="46.5703125" style="121" customWidth="1"/>
    <col min="7682" max="7682" width="7.7109375" style="121" customWidth="1"/>
    <col min="7683" max="7683" width="8.85546875" style="121" customWidth="1"/>
    <col min="7684" max="7684" width="6.7109375" style="121" customWidth="1"/>
    <col min="7685" max="7685" width="6.5703125" style="121" customWidth="1"/>
    <col min="7686" max="7686" width="6.7109375" style="121" customWidth="1"/>
    <col min="7687" max="7687" width="5.7109375" style="121" customWidth="1"/>
    <col min="7688" max="7688" width="7.140625" style="121" customWidth="1"/>
    <col min="7689" max="7689" width="8.85546875" style="121" customWidth="1"/>
    <col min="7690" max="7690" width="9.28515625" style="121" customWidth="1"/>
    <col min="7691" max="7691" width="8.85546875" style="121" customWidth="1"/>
    <col min="7692" max="7933" width="11.42578125" style="121"/>
    <col min="7934" max="7934" width="4.42578125" style="121" customWidth="1"/>
    <col min="7935" max="7935" width="4.28515625" style="121" customWidth="1"/>
    <col min="7936" max="7936" width="3.7109375" style="121" customWidth="1"/>
    <col min="7937" max="7937" width="46.5703125" style="121" customWidth="1"/>
    <col min="7938" max="7938" width="7.7109375" style="121" customWidth="1"/>
    <col min="7939" max="7939" width="8.85546875" style="121" customWidth="1"/>
    <col min="7940" max="7940" width="6.7109375" style="121" customWidth="1"/>
    <col min="7941" max="7941" width="6.5703125" style="121" customWidth="1"/>
    <col min="7942" max="7942" width="6.7109375" style="121" customWidth="1"/>
    <col min="7943" max="7943" width="5.7109375" style="121" customWidth="1"/>
    <col min="7944" max="7944" width="7.140625" style="121" customWidth="1"/>
    <col min="7945" max="7945" width="8.85546875" style="121" customWidth="1"/>
    <col min="7946" max="7946" width="9.28515625" style="121" customWidth="1"/>
    <col min="7947" max="7947" width="8.85546875" style="121" customWidth="1"/>
    <col min="7948" max="8189" width="11.42578125" style="121"/>
    <col min="8190" max="8190" width="4.42578125" style="121" customWidth="1"/>
    <col min="8191" max="8191" width="4.28515625" style="121" customWidth="1"/>
    <col min="8192" max="8192" width="3.7109375" style="121" customWidth="1"/>
    <col min="8193" max="8193" width="46.5703125" style="121" customWidth="1"/>
    <col min="8194" max="8194" width="7.7109375" style="121" customWidth="1"/>
    <col min="8195" max="8195" width="8.85546875" style="121" customWidth="1"/>
    <col min="8196" max="8196" width="6.7109375" style="121" customWidth="1"/>
    <col min="8197" max="8197" width="6.5703125" style="121" customWidth="1"/>
    <col min="8198" max="8198" width="6.7109375" style="121" customWidth="1"/>
    <col min="8199" max="8199" width="5.7109375" style="121" customWidth="1"/>
    <col min="8200" max="8200" width="7.140625" style="121" customWidth="1"/>
    <col min="8201" max="8201" width="8.85546875" style="121" customWidth="1"/>
    <col min="8202" max="8202" width="9.28515625" style="121" customWidth="1"/>
    <col min="8203" max="8203" width="8.85546875" style="121" customWidth="1"/>
    <col min="8204" max="8445" width="11.42578125" style="121"/>
    <col min="8446" max="8446" width="4.42578125" style="121" customWidth="1"/>
    <col min="8447" max="8447" width="4.28515625" style="121" customWidth="1"/>
    <col min="8448" max="8448" width="3.7109375" style="121" customWidth="1"/>
    <col min="8449" max="8449" width="46.5703125" style="121" customWidth="1"/>
    <col min="8450" max="8450" width="7.7109375" style="121" customWidth="1"/>
    <col min="8451" max="8451" width="8.85546875" style="121" customWidth="1"/>
    <col min="8452" max="8452" width="6.7109375" style="121" customWidth="1"/>
    <col min="8453" max="8453" width="6.5703125" style="121" customWidth="1"/>
    <col min="8454" max="8454" width="6.7109375" style="121" customWidth="1"/>
    <col min="8455" max="8455" width="5.7109375" style="121" customWidth="1"/>
    <col min="8456" max="8456" width="7.140625" style="121" customWidth="1"/>
    <col min="8457" max="8457" width="8.85546875" style="121" customWidth="1"/>
    <col min="8458" max="8458" width="9.28515625" style="121" customWidth="1"/>
    <col min="8459" max="8459" width="8.85546875" style="121" customWidth="1"/>
    <col min="8460" max="8701" width="11.42578125" style="121"/>
    <col min="8702" max="8702" width="4.42578125" style="121" customWidth="1"/>
    <col min="8703" max="8703" width="4.28515625" style="121" customWidth="1"/>
    <col min="8704" max="8704" width="3.7109375" style="121" customWidth="1"/>
    <col min="8705" max="8705" width="46.5703125" style="121" customWidth="1"/>
    <col min="8706" max="8706" width="7.7109375" style="121" customWidth="1"/>
    <col min="8707" max="8707" width="8.85546875" style="121" customWidth="1"/>
    <col min="8708" max="8708" width="6.7109375" style="121" customWidth="1"/>
    <col min="8709" max="8709" width="6.5703125" style="121" customWidth="1"/>
    <col min="8710" max="8710" width="6.7109375" style="121" customWidth="1"/>
    <col min="8711" max="8711" width="5.7109375" style="121" customWidth="1"/>
    <col min="8712" max="8712" width="7.140625" style="121" customWidth="1"/>
    <col min="8713" max="8713" width="8.85546875" style="121" customWidth="1"/>
    <col min="8714" max="8714" width="9.28515625" style="121" customWidth="1"/>
    <col min="8715" max="8715" width="8.85546875" style="121" customWidth="1"/>
    <col min="8716" max="8957" width="11.42578125" style="121"/>
    <col min="8958" max="8958" width="4.42578125" style="121" customWidth="1"/>
    <col min="8959" max="8959" width="4.28515625" style="121" customWidth="1"/>
    <col min="8960" max="8960" width="3.7109375" style="121" customWidth="1"/>
    <col min="8961" max="8961" width="46.5703125" style="121" customWidth="1"/>
    <col min="8962" max="8962" width="7.7109375" style="121" customWidth="1"/>
    <col min="8963" max="8963" width="8.85546875" style="121" customWidth="1"/>
    <col min="8964" max="8964" width="6.7109375" style="121" customWidth="1"/>
    <col min="8965" max="8965" width="6.5703125" style="121" customWidth="1"/>
    <col min="8966" max="8966" width="6.7109375" style="121" customWidth="1"/>
    <col min="8967" max="8967" width="5.7109375" style="121" customWidth="1"/>
    <col min="8968" max="8968" width="7.140625" style="121" customWidth="1"/>
    <col min="8969" max="8969" width="8.85546875" style="121" customWidth="1"/>
    <col min="8970" max="8970" width="9.28515625" style="121" customWidth="1"/>
    <col min="8971" max="8971" width="8.85546875" style="121" customWidth="1"/>
    <col min="8972" max="9213" width="11.42578125" style="121"/>
    <col min="9214" max="9214" width="4.42578125" style="121" customWidth="1"/>
    <col min="9215" max="9215" width="4.28515625" style="121" customWidth="1"/>
    <col min="9216" max="9216" width="3.7109375" style="121" customWidth="1"/>
    <col min="9217" max="9217" width="46.5703125" style="121" customWidth="1"/>
    <col min="9218" max="9218" width="7.7109375" style="121" customWidth="1"/>
    <col min="9219" max="9219" width="8.85546875" style="121" customWidth="1"/>
    <col min="9220" max="9220" width="6.7109375" style="121" customWidth="1"/>
    <col min="9221" max="9221" width="6.5703125" style="121" customWidth="1"/>
    <col min="9222" max="9222" width="6.7109375" style="121" customWidth="1"/>
    <col min="9223" max="9223" width="5.7109375" style="121" customWidth="1"/>
    <col min="9224" max="9224" width="7.140625" style="121" customWidth="1"/>
    <col min="9225" max="9225" width="8.85546875" style="121" customWidth="1"/>
    <col min="9226" max="9226" width="9.28515625" style="121" customWidth="1"/>
    <col min="9227" max="9227" width="8.85546875" style="121" customWidth="1"/>
    <col min="9228" max="9469" width="11.42578125" style="121"/>
    <col min="9470" max="9470" width="4.42578125" style="121" customWidth="1"/>
    <col min="9471" max="9471" width="4.28515625" style="121" customWidth="1"/>
    <col min="9472" max="9472" width="3.7109375" style="121" customWidth="1"/>
    <col min="9473" max="9473" width="46.5703125" style="121" customWidth="1"/>
    <col min="9474" max="9474" width="7.7109375" style="121" customWidth="1"/>
    <col min="9475" max="9475" width="8.85546875" style="121" customWidth="1"/>
    <col min="9476" max="9476" width="6.7109375" style="121" customWidth="1"/>
    <col min="9477" max="9477" width="6.5703125" style="121" customWidth="1"/>
    <col min="9478" max="9478" width="6.7109375" style="121" customWidth="1"/>
    <col min="9479" max="9479" width="5.7109375" style="121" customWidth="1"/>
    <col min="9480" max="9480" width="7.140625" style="121" customWidth="1"/>
    <col min="9481" max="9481" width="8.85546875" style="121" customWidth="1"/>
    <col min="9482" max="9482" width="9.28515625" style="121" customWidth="1"/>
    <col min="9483" max="9483" width="8.85546875" style="121" customWidth="1"/>
    <col min="9484" max="9725" width="11.42578125" style="121"/>
    <col min="9726" max="9726" width="4.42578125" style="121" customWidth="1"/>
    <col min="9727" max="9727" width="4.28515625" style="121" customWidth="1"/>
    <col min="9728" max="9728" width="3.7109375" style="121" customWidth="1"/>
    <col min="9729" max="9729" width="46.5703125" style="121" customWidth="1"/>
    <col min="9730" max="9730" width="7.7109375" style="121" customWidth="1"/>
    <col min="9731" max="9731" width="8.85546875" style="121" customWidth="1"/>
    <col min="9732" max="9732" width="6.7109375" style="121" customWidth="1"/>
    <col min="9733" max="9733" width="6.5703125" style="121" customWidth="1"/>
    <col min="9734" max="9734" width="6.7109375" style="121" customWidth="1"/>
    <col min="9735" max="9735" width="5.7109375" style="121" customWidth="1"/>
    <col min="9736" max="9736" width="7.140625" style="121" customWidth="1"/>
    <col min="9737" max="9737" width="8.85546875" style="121" customWidth="1"/>
    <col min="9738" max="9738" width="9.28515625" style="121" customWidth="1"/>
    <col min="9739" max="9739" width="8.85546875" style="121" customWidth="1"/>
    <col min="9740" max="9981" width="11.42578125" style="121"/>
    <col min="9982" max="9982" width="4.42578125" style="121" customWidth="1"/>
    <col min="9983" max="9983" width="4.28515625" style="121" customWidth="1"/>
    <col min="9984" max="9984" width="3.7109375" style="121" customWidth="1"/>
    <col min="9985" max="9985" width="46.5703125" style="121" customWidth="1"/>
    <col min="9986" max="9986" width="7.7109375" style="121" customWidth="1"/>
    <col min="9987" max="9987" width="8.85546875" style="121" customWidth="1"/>
    <col min="9988" max="9988" width="6.7109375" style="121" customWidth="1"/>
    <col min="9989" max="9989" width="6.5703125" style="121" customWidth="1"/>
    <col min="9990" max="9990" width="6.7109375" style="121" customWidth="1"/>
    <col min="9991" max="9991" width="5.7109375" style="121" customWidth="1"/>
    <col min="9992" max="9992" width="7.140625" style="121" customWidth="1"/>
    <col min="9993" max="9993" width="8.85546875" style="121" customWidth="1"/>
    <col min="9994" max="9994" width="9.28515625" style="121" customWidth="1"/>
    <col min="9995" max="9995" width="8.85546875" style="121" customWidth="1"/>
    <col min="9996" max="10237" width="11.42578125" style="121"/>
    <col min="10238" max="10238" width="4.42578125" style="121" customWidth="1"/>
    <col min="10239" max="10239" width="4.28515625" style="121" customWidth="1"/>
    <col min="10240" max="10240" width="3.7109375" style="121" customWidth="1"/>
    <col min="10241" max="10241" width="46.5703125" style="121" customWidth="1"/>
    <col min="10242" max="10242" width="7.7109375" style="121" customWidth="1"/>
    <col min="10243" max="10243" width="8.85546875" style="121" customWidth="1"/>
    <col min="10244" max="10244" width="6.7109375" style="121" customWidth="1"/>
    <col min="10245" max="10245" width="6.5703125" style="121" customWidth="1"/>
    <col min="10246" max="10246" width="6.7109375" style="121" customWidth="1"/>
    <col min="10247" max="10247" width="5.7109375" style="121" customWidth="1"/>
    <col min="10248" max="10248" width="7.140625" style="121" customWidth="1"/>
    <col min="10249" max="10249" width="8.85546875" style="121" customWidth="1"/>
    <col min="10250" max="10250" width="9.28515625" style="121" customWidth="1"/>
    <col min="10251" max="10251" width="8.85546875" style="121" customWidth="1"/>
    <col min="10252" max="10493" width="11.42578125" style="121"/>
    <col min="10494" max="10494" width="4.42578125" style="121" customWidth="1"/>
    <col min="10495" max="10495" width="4.28515625" style="121" customWidth="1"/>
    <col min="10496" max="10496" width="3.7109375" style="121" customWidth="1"/>
    <col min="10497" max="10497" width="46.5703125" style="121" customWidth="1"/>
    <col min="10498" max="10498" width="7.7109375" style="121" customWidth="1"/>
    <col min="10499" max="10499" width="8.85546875" style="121" customWidth="1"/>
    <col min="10500" max="10500" width="6.7109375" style="121" customWidth="1"/>
    <col min="10501" max="10501" width="6.5703125" style="121" customWidth="1"/>
    <col min="10502" max="10502" width="6.7109375" style="121" customWidth="1"/>
    <col min="10503" max="10503" width="5.7109375" style="121" customWidth="1"/>
    <col min="10504" max="10504" width="7.140625" style="121" customWidth="1"/>
    <col min="10505" max="10505" width="8.85546875" style="121" customWidth="1"/>
    <col min="10506" max="10506" width="9.28515625" style="121" customWidth="1"/>
    <col min="10507" max="10507" width="8.85546875" style="121" customWidth="1"/>
    <col min="10508" max="10749" width="11.42578125" style="121"/>
    <col min="10750" max="10750" width="4.42578125" style="121" customWidth="1"/>
    <col min="10751" max="10751" width="4.28515625" style="121" customWidth="1"/>
    <col min="10752" max="10752" width="3.7109375" style="121" customWidth="1"/>
    <col min="10753" max="10753" width="46.5703125" style="121" customWidth="1"/>
    <col min="10754" max="10754" width="7.7109375" style="121" customWidth="1"/>
    <col min="10755" max="10755" width="8.85546875" style="121" customWidth="1"/>
    <col min="10756" max="10756" width="6.7109375" style="121" customWidth="1"/>
    <col min="10757" max="10757" width="6.5703125" style="121" customWidth="1"/>
    <col min="10758" max="10758" width="6.7109375" style="121" customWidth="1"/>
    <col min="10759" max="10759" width="5.7109375" style="121" customWidth="1"/>
    <col min="10760" max="10760" width="7.140625" style="121" customWidth="1"/>
    <col min="10761" max="10761" width="8.85546875" style="121" customWidth="1"/>
    <col min="10762" max="10762" width="9.28515625" style="121" customWidth="1"/>
    <col min="10763" max="10763" width="8.85546875" style="121" customWidth="1"/>
    <col min="10764" max="11005" width="11.42578125" style="121"/>
    <col min="11006" max="11006" width="4.42578125" style="121" customWidth="1"/>
    <col min="11007" max="11007" width="4.28515625" style="121" customWidth="1"/>
    <col min="11008" max="11008" width="3.7109375" style="121" customWidth="1"/>
    <col min="11009" max="11009" width="46.5703125" style="121" customWidth="1"/>
    <col min="11010" max="11010" width="7.7109375" style="121" customWidth="1"/>
    <col min="11011" max="11011" width="8.85546875" style="121" customWidth="1"/>
    <col min="11012" max="11012" width="6.7109375" style="121" customWidth="1"/>
    <col min="11013" max="11013" width="6.5703125" style="121" customWidth="1"/>
    <col min="11014" max="11014" width="6.7109375" style="121" customWidth="1"/>
    <col min="11015" max="11015" width="5.7109375" style="121" customWidth="1"/>
    <col min="11016" max="11016" width="7.140625" style="121" customWidth="1"/>
    <col min="11017" max="11017" width="8.85546875" style="121" customWidth="1"/>
    <col min="11018" max="11018" width="9.28515625" style="121" customWidth="1"/>
    <col min="11019" max="11019" width="8.85546875" style="121" customWidth="1"/>
    <col min="11020" max="11261" width="11.42578125" style="121"/>
    <col min="11262" max="11262" width="4.42578125" style="121" customWidth="1"/>
    <col min="11263" max="11263" width="4.28515625" style="121" customWidth="1"/>
    <col min="11264" max="11264" width="3.7109375" style="121" customWidth="1"/>
    <col min="11265" max="11265" width="46.5703125" style="121" customWidth="1"/>
    <col min="11266" max="11266" width="7.7109375" style="121" customWidth="1"/>
    <col min="11267" max="11267" width="8.85546875" style="121" customWidth="1"/>
    <col min="11268" max="11268" width="6.7109375" style="121" customWidth="1"/>
    <col min="11269" max="11269" width="6.5703125" style="121" customWidth="1"/>
    <col min="11270" max="11270" width="6.7109375" style="121" customWidth="1"/>
    <col min="11271" max="11271" width="5.7109375" style="121" customWidth="1"/>
    <col min="11272" max="11272" width="7.140625" style="121" customWidth="1"/>
    <col min="11273" max="11273" width="8.85546875" style="121" customWidth="1"/>
    <col min="11274" max="11274" width="9.28515625" style="121" customWidth="1"/>
    <col min="11275" max="11275" width="8.85546875" style="121" customWidth="1"/>
    <col min="11276" max="11517" width="11.42578125" style="121"/>
    <col min="11518" max="11518" width="4.42578125" style="121" customWidth="1"/>
    <col min="11519" max="11519" width="4.28515625" style="121" customWidth="1"/>
    <col min="11520" max="11520" width="3.7109375" style="121" customWidth="1"/>
    <col min="11521" max="11521" width="46.5703125" style="121" customWidth="1"/>
    <col min="11522" max="11522" width="7.7109375" style="121" customWidth="1"/>
    <col min="11523" max="11523" width="8.85546875" style="121" customWidth="1"/>
    <col min="11524" max="11524" width="6.7109375" style="121" customWidth="1"/>
    <col min="11525" max="11525" width="6.5703125" style="121" customWidth="1"/>
    <col min="11526" max="11526" width="6.7109375" style="121" customWidth="1"/>
    <col min="11527" max="11527" width="5.7109375" style="121" customWidth="1"/>
    <col min="11528" max="11528" width="7.140625" style="121" customWidth="1"/>
    <col min="11529" max="11529" width="8.85546875" style="121" customWidth="1"/>
    <col min="11530" max="11530" width="9.28515625" style="121" customWidth="1"/>
    <col min="11531" max="11531" width="8.85546875" style="121" customWidth="1"/>
    <col min="11532" max="11773" width="11.42578125" style="121"/>
    <col min="11774" max="11774" width="4.42578125" style="121" customWidth="1"/>
    <col min="11775" max="11775" width="4.28515625" style="121" customWidth="1"/>
    <col min="11776" max="11776" width="3.7109375" style="121" customWidth="1"/>
    <col min="11777" max="11777" width="46.5703125" style="121" customWidth="1"/>
    <col min="11778" max="11778" width="7.7109375" style="121" customWidth="1"/>
    <col min="11779" max="11779" width="8.85546875" style="121" customWidth="1"/>
    <col min="11780" max="11780" width="6.7109375" style="121" customWidth="1"/>
    <col min="11781" max="11781" width="6.5703125" style="121" customWidth="1"/>
    <col min="11782" max="11782" width="6.7109375" style="121" customWidth="1"/>
    <col min="11783" max="11783" width="5.7109375" style="121" customWidth="1"/>
    <col min="11784" max="11784" width="7.140625" style="121" customWidth="1"/>
    <col min="11785" max="11785" width="8.85546875" style="121" customWidth="1"/>
    <col min="11786" max="11786" width="9.28515625" style="121" customWidth="1"/>
    <col min="11787" max="11787" width="8.85546875" style="121" customWidth="1"/>
    <col min="11788" max="12029" width="11.42578125" style="121"/>
    <col min="12030" max="12030" width="4.42578125" style="121" customWidth="1"/>
    <col min="12031" max="12031" width="4.28515625" style="121" customWidth="1"/>
    <col min="12032" max="12032" width="3.7109375" style="121" customWidth="1"/>
    <col min="12033" max="12033" width="46.5703125" style="121" customWidth="1"/>
    <col min="12034" max="12034" width="7.7109375" style="121" customWidth="1"/>
    <col min="12035" max="12035" width="8.85546875" style="121" customWidth="1"/>
    <col min="12036" max="12036" width="6.7109375" style="121" customWidth="1"/>
    <col min="12037" max="12037" width="6.5703125" style="121" customWidth="1"/>
    <col min="12038" max="12038" width="6.7109375" style="121" customWidth="1"/>
    <col min="12039" max="12039" width="5.7109375" style="121" customWidth="1"/>
    <col min="12040" max="12040" width="7.140625" style="121" customWidth="1"/>
    <col min="12041" max="12041" width="8.85546875" style="121" customWidth="1"/>
    <col min="12042" max="12042" width="9.28515625" style="121" customWidth="1"/>
    <col min="12043" max="12043" width="8.85546875" style="121" customWidth="1"/>
    <col min="12044" max="12285" width="11.42578125" style="121"/>
    <col min="12286" max="12286" width="4.42578125" style="121" customWidth="1"/>
    <col min="12287" max="12287" width="4.28515625" style="121" customWidth="1"/>
    <col min="12288" max="12288" width="3.7109375" style="121" customWidth="1"/>
    <col min="12289" max="12289" width="46.5703125" style="121" customWidth="1"/>
    <col min="12290" max="12290" width="7.7109375" style="121" customWidth="1"/>
    <col min="12291" max="12291" width="8.85546875" style="121" customWidth="1"/>
    <col min="12292" max="12292" width="6.7109375" style="121" customWidth="1"/>
    <col min="12293" max="12293" width="6.5703125" style="121" customWidth="1"/>
    <col min="12294" max="12294" width="6.7109375" style="121" customWidth="1"/>
    <col min="12295" max="12295" width="5.7109375" style="121" customWidth="1"/>
    <col min="12296" max="12296" width="7.140625" style="121" customWidth="1"/>
    <col min="12297" max="12297" width="8.85546875" style="121" customWidth="1"/>
    <col min="12298" max="12298" width="9.28515625" style="121" customWidth="1"/>
    <col min="12299" max="12299" width="8.85546875" style="121" customWidth="1"/>
    <col min="12300" max="12541" width="11.42578125" style="121"/>
    <col min="12542" max="12542" width="4.42578125" style="121" customWidth="1"/>
    <col min="12543" max="12543" width="4.28515625" style="121" customWidth="1"/>
    <col min="12544" max="12544" width="3.7109375" style="121" customWidth="1"/>
    <col min="12545" max="12545" width="46.5703125" style="121" customWidth="1"/>
    <col min="12546" max="12546" width="7.7109375" style="121" customWidth="1"/>
    <col min="12547" max="12547" width="8.85546875" style="121" customWidth="1"/>
    <col min="12548" max="12548" width="6.7109375" style="121" customWidth="1"/>
    <col min="12549" max="12549" width="6.5703125" style="121" customWidth="1"/>
    <col min="12550" max="12550" width="6.7109375" style="121" customWidth="1"/>
    <col min="12551" max="12551" width="5.7109375" style="121" customWidth="1"/>
    <col min="12552" max="12552" width="7.140625" style="121" customWidth="1"/>
    <col min="12553" max="12553" width="8.85546875" style="121" customWidth="1"/>
    <col min="12554" max="12554" width="9.28515625" style="121" customWidth="1"/>
    <col min="12555" max="12555" width="8.85546875" style="121" customWidth="1"/>
    <col min="12556" max="12797" width="11.42578125" style="121"/>
    <col min="12798" max="12798" width="4.42578125" style="121" customWidth="1"/>
    <col min="12799" max="12799" width="4.28515625" style="121" customWidth="1"/>
    <col min="12800" max="12800" width="3.7109375" style="121" customWidth="1"/>
    <col min="12801" max="12801" width="46.5703125" style="121" customWidth="1"/>
    <col min="12802" max="12802" width="7.7109375" style="121" customWidth="1"/>
    <col min="12803" max="12803" width="8.85546875" style="121" customWidth="1"/>
    <col min="12804" max="12804" width="6.7109375" style="121" customWidth="1"/>
    <col min="12805" max="12805" width="6.5703125" style="121" customWidth="1"/>
    <col min="12806" max="12806" width="6.7109375" style="121" customWidth="1"/>
    <col min="12807" max="12807" width="5.7109375" style="121" customWidth="1"/>
    <col min="12808" max="12808" width="7.140625" style="121" customWidth="1"/>
    <col min="12809" max="12809" width="8.85546875" style="121" customWidth="1"/>
    <col min="12810" max="12810" width="9.28515625" style="121" customWidth="1"/>
    <col min="12811" max="12811" width="8.85546875" style="121" customWidth="1"/>
    <col min="12812" max="13053" width="11.42578125" style="121"/>
    <col min="13054" max="13054" width="4.42578125" style="121" customWidth="1"/>
    <col min="13055" max="13055" width="4.28515625" style="121" customWidth="1"/>
    <col min="13056" max="13056" width="3.7109375" style="121" customWidth="1"/>
    <col min="13057" max="13057" width="46.5703125" style="121" customWidth="1"/>
    <col min="13058" max="13058" width="7.7109375" style="121" customWidth="1"/>
    <col min="13059" max="13059" width="8.85546875" style="121" customWidth="1"/>
    <col min="13060" max="13060" width="6.7109375" style="121" customWidth="1"/>
    <col min="13061" max="13061" width="6.5703125" style="121" customWidth="1"/>
    <col min="13062" max="13062" width="6.7109375" style="121" customWidth="1"/>
    <col min="13063" max="13063" width="5.7109375" style="121" customWidth="1"/>
    <col min="13064" max="13064" width="7.140625" style="121" customWidth="1"/>
    <col min="13065" max="13065" width="8.85546875" style="121" customWidth="1"/>
    <col min="13066" max="13066" width="9.28515625" style="121" customWidth="1"/>
    <col min="13067" max="13067" width="8.85546875" style="121" customWidth="1"/>
    <col min="13068" max="13309" width="11.42578125" style="121"/>
    <col min="13310" max="13310" width="4.42578125" style="121" customWidth="1"/>
    <col min="13311" max="13311" width="4.28515625" style="121" customWidth="1"/>
    <col min="13312" max="13312" width="3.7109375" style="121" customWidth="1"/>
    <col min="13313" max="13313" width="46.5703125" style="121" customWidth="1"/>
    <col min="13314" max="13314" width="7.7109375" style="121" customWidth="1"/>
    <col min="13315" max="13315" width="8.85546875" style="121" customWidth="1"/>
    <col min="13316" max="13316" width="6.7109375" style="121" customWidth="1"/>
    <col min="13317" max="13317" width="6.5703125" style="121" customWidth="1"/>
    <col min="13318" max="13318" width="6.7109375" style="121" customWidth="1"/>
    <col min="13319" max="13319" width="5.7109375" style="121" customWidth="1"/>
    <col min="13320" max="13320" width="7.140625" style="121" customWidth="1"/>
    <col min="13321" max="13321" width="8.85546875" style="121" customWidth="1"/>
    <col min="13322" max="13322" width="9.28515625" style="121" customWidth="1"/>
    <col min="13323" max="13323" width="8.85546875" style="121" customWidth="1"/>
    <col min="13324" max="13565" width="11.42578125" style="121"/>
    <col min="13566" max="13566" width="4.42578125" style="121" customWidth="1"/>
    <col min="13567" max="13567" width="4.28515625" style="121" customWidth="1"/>
    <col min="13568" max="13568" width="3.7109375" style="121" customWidth="1"/>
    <col min="13569" max="13569" width="46.5703125" style="121" customWidth="1"/>
    <col min="13570" max="13570" width="7.7109375" style="121" customWidth="1"/>
    <col min="13571" max="13571" width="8.85546875" style="121" customWidth="1"/>
    <col min="13572" max="13572" width="6.7109375" style="121" customWidth="1"/>
    <col min="13573" max="13573" width="6.5703125" style="121" customWidth="1"/>
    <col min="13574" max="13574" width="6.7109375" style="121" customWidth="1"/>
    <col min="13575" max="13575" width="5.7109375" style="121" customWidth="1"/>
    <col min="13576" max="13576" width="7.140625" style="121" customWidth="1"/>
    <col min="13577" max="13577" width="8.85546875" style="121" customWidth="1"/>
    <col min="13578" max="13578" width="9.28515625" style="121" customWidth="1"/>
    <col min="13579" max="13579" width="8.85546875" style="121" customWidth="1"/>
    <col min="13580" max="13821" width="11.42578125" style="121"/>
    <col min="13822" max="13822" width="4.42578125" style="121" customWidth="1"/>
    <col min="13823" max="13823" width="4.28515625" style="121" customWidth="1"/>
    <col min="13824" max="13824" width="3.7109375" style="121" customWidth="1"/>
    <col min="13825" max="13825" width="46.5703125" style="121" customWidth="1"/>
    <col min="13826" max="13826" width="7.7109375" style="121" customWidth="1"/>
    <col min="13827" max="13827" width="8.85546875" style="121" customWidth="1"/>
    <col min="13828" max="13828" width="6.7109375" style="121" customWidth="1"/>
    <col min="13829" max="13829" width="6.5703125" style="121" customWidth="1"/>
    <col min="13830" max="13830" width="6.7109375" style="121" customWidth="1"/>
    <col min="13831" max="13831" width="5.7109375" style="121" customWidth="1"/>
    <col min="13832" max="13832" width="7.140625" style="121" customWidth="1"/>
    <col min="13833" max="13833" width="8.85546875" style="121" customWidth="1"/>
    <col min="13834" max="13834" width="9.28515625" style="121" customWidth="1"/>
    <col min="13835" max="13835" width="8.85546875" style="121" customWidth="1"/>
    <col min="13836" max="14077" width="11.42578125" style="121"/>
    <col min="14078" max="14078" width="4.42578125" style="121" customWidth="1"/>
    <col min="14079" max="14079" width="4.28515625" style="121" customWidth="1"/>
    <col min="14080" max="14080" width="3.7109375" style="121" customWidth="1"/>
    <col min="14081" max="14081" width="46.5703125" style="121" customWidth="1"/>
    <col min="14082" max="14082" width="7.7109375" style="121" customWidth="1"/>
    <col min="14083" max="14083" width="8.85546875" style="121" customWidth="1"/>
    <col min="14084" max="14084" width="6.7109375" style="121" customWidth="1"/>
    <col min="14085" max="14085" width="6.5703125" style="121" customWidth="1"/>
    <col min="14086" max="14086" width="6.7109375" style="121" customWidth="1"/>
    <col min="14087" max="14087" width="5.7109375" style="121" customWidth="1"/>
    <col min="14088" max="14088" width="7.140625" style="121" customWidth="1"/>
    <col min="14089" max="14089" width="8.85546875" style="121" customWidth="1"/>
    <col min="14090" max="14090" width="9.28515625" style="121" customWidth="1"/>
    <col min="14091" max="14091" width="8.85546875" style="121" customWidth="1"/>
    <col min="14092" max="14333" width="11.42578125" style="121"/>
    <col min="14334" max="14334" width="4.42578125" style="121" customWidth="1"/>
    <col min="14335" max="14335" width="4.28515625" style="121" customWidth="1"/>
    <col min="14336" max="14336" width="3.7109375" style="121" customWidth="1"/>
    <col min="14337" max="14337" width="46.5703125" style="121" customWidth="1"/>
    <col min="14338" max="14338" width="7.7109375" style="121" customWidth="1"/>
    <col min="14339" max="14339" width="8.85546875" style="121" customWidth="1"/>
    <col min="14340" max="14340" width="6.7109375" style="121" customWidth="1"/>
    <col min="14341" max="14341" width="6.5703125" style="121" customWidth="1"/>
    <col min="14342" max="14342" width="6.7109375" style="121" customWidth="1"/>
    <col min="14343" max="14343" width="5.7109375" style="121" customWidth="1"/>
    <col min="14344" max="14344" width="7.140625" style="121" customWidth="1"/>
    <col min="14345" max="14345" width="8.85546875" style="121" customWidth="1"/>
    <col min="14346" max="14346" width="9.28515625" style="121" customWidth="1"/>
    <col min="14347" max="14347" width="8.85546875" style="121" customWidth="1"/>
    <col min="14348" max="14589" width="11.42578125" style="121"/>
    <col min="14590" max="14590" width="4.42578125" style="121" customWidth="1"/>
    <col min="14591" max="14591" width="4.28515625" style="121" customWidth="1"/>
    <col min="14592" max="14592" width="3.7109375" style="121" customWidth="1"/>
    <col min="14593" max="14593" width="46.5703125" style="121" customWidth="1"/>
    <col min="14594" max="14594" width="7.7109375" style="121" customWidth="1"/>
    <col min="14595" max="14595" width="8.85546875" style="121" customWidth="1"/>
    <col min="14596" max="14596" width="6.7109375" style="121" customWidth="1"/>
    <col min="14597" max="14597" width="6.5703125" style="121" customWidth="1"/>
    <col min="14598" max="14598" width="6.7109375" style="121" customWidth="1"/>
    <col min="14599" max="14599" width="5.7109375" style="121" customWidth="1"/>
    <col min="14600" max="14600" width="7.140625" style="121" customWidth="1"/>
    <col min="14601" max="14601" width="8.85546875" style="121" customWidth="1"/>
    <col min="14602" max="14602" width="9.28515625" style="121" customWidth="1"/>
    <col min="14603" max="14603" width="8.85546875" style="121" customWidth="1"/>
    <col min="14604" max="14845" width="11.42578125" style="121"/>
    <col min="14846" max="14846" width="4.42578125" style="121" customWidth="1"/>
    <col min="14847" max="14847" width="4.28515625" style="121" customWidth="1"/>
    <col min="14848" max="14848" width="3.7109375" style="121" customWidth="1"/>
    <col min="14849" max="14849" width="46.5703125" style="121" customWidth="1"/>
    <col min="14850" max="14850" width="7.7109375" style="121" customWidth="1"/>
    <col min="14851" max="14851" width="8.85546875" style="121" customWidth="1"/>
    <col min="14852" max="14852" width="6.7109375" style="121" customWidth="1"/>
    <col min="14853" max="14853" width="6.5703125" style="121" customWidth="1"/>
    <col min="14854" max="14854" width="6.7109375" style="121" customWidth="1"/>
    <col min="14855" max="14855" width="5.7109375" style="121" customWidth="1"/>
    <col min="14856" max="14856" width="7.140625" style="121" customWidth="1"/>
    <col min="14857" max="14857" width="8.85546875" style="121" customWidth="1"/>
    <col min="14858" max="14858" width="9.28515625" style="121" customWidth="1"/>
    <col min="14859" max="14859" width="8.85546875" style="121" customWidth="1"/>
    <col min="14860" max="15101" width="11.42578125" style="121"/>
    <col min="15102" max="15102" width="4.42578125" style="121" customWidth="1"/>
    <col min="15103" max="15103" width="4.28515625" style="121" customWidth="1"/>
    <col min="15104" max="15104" width="3.7109375" style="121" customWidth="1"/>
    <col min="15105" max="15105" width="46.5703125" style="121" customWidth="1"/>
    <col min="15106" max="15106" width="7.7109375" style="121" customWidth="1"/>
    <col min="15107" max="15107" width="8.85546875" style="121" customWidth="1"/>
    <col min="15108" max="15108" width="6.7109375" style="121" customWidth="1"/>
    <col min="15109" max="15109" width="6.5703125" style="121" customWidth="1"/>
    <col min="15110" max="15110" width="6.7109375" style="121" customWidth="1"/>
    <col min="15111" max="15111" width="5.7109375" style="121" customWidth="1"/>
    <col min="15112" max="15112" width="7.140625" style="121" customWidth="1"/>
    <col min="15113" max="15113" width="8.85546875" style="121" customWidth="1"/>
    <col min="15114" max="15114" width="9.28515625" style="121" customWidth="1"/>
    <col min="15115" max="15115" width="8.85546875" style="121" customWidth="1"/>
    <col min="15116" max="15357" width="11.42578125" style="121"/>
    <col min="15358" max="15358" width="4.42578125" style="121" customWidth="1"/>
    <col min="15359" max="15359" width="4.28515625" style="121" customWidth="1"/>
    <col min="15360" max="15360" width="3.7109375" style="121" customWidth="1"/>
    <col min="15361" max="15361" width="46.5703125" style="121" customWidth="1"/>
    <col min="15362" max="15362" width="7.7109375" style="121" customWidth="1"/>
    <col min="15363" max="15363" width="8.85546875" style="121" customWidth="1"/>
    <col min="15364" max="15364" width="6.7109375" style="121" customWidth="1"/>
    <col min="15365" max="15365" width="6.5703125" style="121" customWidth="1"/>
    <col min="15366" max="15366" width="6.7109375" style="121" customWidth="1"/>
    <col min="15367" max="15367" width="5.7109375" style="121" customWidth="1"/>
    <col min="15368" max="15368" width="7.140625" style="121" customWidth="1"/>
    <col min="15369" max="15369" width="8.85546875" style="121" customWidth="1"/>
    <col min="15370" max="15370" width="9.28515625" style="121" customWidth="1"/>
    <col min="15371" max="15371" width="8.85546875" style="121" customWidth="1"/>
    <col min="15372" max="15613" width="11.42578125" style="121"/>
    <col min="15614" max="15614" width="4.42578125" style="121" customWidth="1"/>
    <col min="15615" max="15615" width="4.28515625" style="121" customWidth="1"/>
    <col min="15616" max="15616" width="3.7109375" style="121" customWidth="1"/>
    <col min="15617" max="15617" width="46.5703125" style="121" customWidth="1"/>
    <col min="15618" max="15618" width="7.7109375" style="121" customWidth="1"/>
    <col min="15619" max="15619" width="8.85546875" style="121" customWidth="1"/>
    <col min="15620" max="15620" width="6.7109375" style="121" customWidth="1"/>
    <col min="15621" max="15621" width="6.5703125" style="121" customWidth="1"/>
    <col min="15622" max="15622" width="6.7109375" style="121" customWidth="1"/>
    <col min="15623" max="15623" width="5.7109375" style="121" customWidth="1"/>
    <col min="15624" max="15624" width="7.140625" style="121" customWidth="1"/>
    <col min="15625" max="15625" width="8.85546875" style="121" customWidth="1"/>
    <col min="15626" max="15626" width="9.28515625" style="121" customWidth="1"/>
    <col min="15627" max="15627" width="8.85546875" style="121" customWidth="1"/>
    <col min="15628" max="15869" width="11.42578125" style="121"/>
    <col min="15870" max="15870" width="4.42578125" style="121" customWidth="1"/>
    <col min="15871" max="15871" width="4.28515625" style="121" customWidth="1"/>
    <col min="15872" max="15872" width="3.7109375" style="121" customWidth="1"/>
    <col min="15873" max="15873" width="46.5703125" style="121" customWidth="1"/>
    <col min="15874" max="15874" width="7.7109375" style="121" customWidth="1"/>
    <col min="15875" max="15875" width="8.85546875" style="121" customWidth="1"/>
    <col min="15876" max="15876" width="6.7109375" style="121" customWidth="1"/>
    <col min="15877" max="15877" width="6.5703125" style="121" customWidth="1"/>
    <col min="15878" max="15878" width="6.7109375" style="121" customWidth="1"/>
    <col min="15879" max="15879" width="5.7109375" style="121" customWidth="1"/>
    <col min="15880" max="15880" width="7.140625" style="121" customWidth="1"/>
    <col min="15881" max="15881" width="8.85546875" style="121" customWidth="1"/>
    <col min="15882" max="15882" width="9.28515625" style="121" customWidth="1"/>
    <col min="15883" max="15883" width="8.85546875" style="121" customWidth="1"/>
    <col min="15884" max="16125" width="11.42578125" style="121"/>
    <col min="16126" max="16126" width="4.42578125" style="121" customWidth="1"/>
    <col min="16127" max="16127" width="4.28515625" style="121" customWidth="1"/>
    <col min="16128" max="16128" width="3.7109375" style="121" customWidth="1"/>
    <col min="16129" max="16129" width="46.5703125" style="121" customWidth="1"/>
    <col min="16130" max="16130" width="7.7109375" style="121" customWidth="1"/>
    <col min="16131" max="16131" width="8.85546875" style="121" customWidth="1"/>
    <col min="16132" max="16132" width="6.7109375" style="121" customWidth="1"/>
    <col min="16133" max="16133" width="6.5703125" style="121" customWidth="1"/>
    <col min="16134" max="16134" width="6.7109375" style="121" customWidth="1"/>
    <col min="16135" max="16135" width="5.7109375" style="121" customWidth="1"/>
    <col min="16136" max="16136" width="7.140625" style="121" customWidth="1"/>
    <col min="16137" max="16137" width="8.85546875" style="121" customWidth="1"/>
    <col min="16138" max="16138" width="9.28515625" style="121" customWidth="1"/>
    <col min="16139" max="16139" width="8.85546875" style="121" customWidth="1"/>
    <col min="16140" max="16384" width="11.42578125" style="121"/>
  </cols>
  <sheetData>
    <row r="1" spans="1:12" ht="9" customHeight="1" x14ac:dyDescent="0.25"/>
    <row r="2" spans="1:12" ht="48.6" customHeight="1" thickBot="1" x14ac:dyDescent="0.3">
      <c r="A2" s="170" t="s">
        <v>87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</row>
    <row r="3" spans="1:12" ht="53.25" customHeight="1" x14ac:dyDescent="0.25">
      <c r="A3" s="184" t="s">
        <v>83</v>
      </c>
      <c r="B3" s="185"/>
      <c r="C3" s="186" t="s">
        <v>97</v>
      </c>
      <c r="D3" s="187" t="s">
        <v>74</v>
      </c>
      <c r="E3" s="188" t="s">
        <v>75</v>
      </c>
      <c r="F3" s="189"/>
      <c r="G3" s="190" t="s">
        <v>76</v>
      </c>
      <c r="H3" s="191"/>
      <c r="I3" s="192" t="s">
        <v>77</v>
      </c>
      <c r="J3" s="193"/>
      <c r="K3" s="150"/>
      <c r="L3" s="165" t="s">
        <v>99</v>
      </c>
    </row>
    <row r="4" spans="1:12" ht="36.75" customHeight="1" thickBot="1" x14ac:dyDescent="0.3">
      <c r="A4" s="153" t="s">
        <v>86</v>
      </c>
      <c r="B4" s="146" t="s">
        <v>85</v>
      </c>
      <c r="C4" s="174"/>
      <c r="D4" s="176"/>
      <c r="E4" s="126" t="s">
        <v>79</v>
      </c>
      <c r="F4" s="126">
        <v>1.1000000000000001</v>
      </c>
      <c r="G4" s="148">
        <v>1.2</v>
      </c>
      <c r="H4" s="148" t="s">
        <v>84</v>
      </c>
      <c r="I4" s="149" t="s">
        <v>80</v>
      </c>
      <c r="J4" s="154" t="s">
        <v>81</v>
      </c>
      <c r="K4" s="151"/>
      <c r="L4" s="166" t="s">
        <v>95</v>
      </c>
    </row>
    <row r="5" spans="1:12" ht="28.15" customHeight="1" thickTop="1" thickBot="1" x14ac:dyDescent="0.3">
      <c r="A5" s="155">
        <f t="shared" ref="A5:A13" si="0">B6+1</f>
        <v>920</v>
      </c>
      <c r="B5" s="131">
        <v>1000</v>
      </c>
      <c r="C5" s="132">
        <f t="shared" ref="C5:C13" si="1">C6+1</f>
        <v>10</v>
      </c>
      <c r="D5" s="133"/>
      <c r="E5" s="134">
        <f t="shared" ref="E5:E13" si="2">E6*1.16</f>
        <v>48.963126411739331</v>
      </c>
      <c r="F5" s="134">
        <f t="shared" ref="F5:F14" si="3">E5*1.1</f>
        <v>53.859439052913267</v>
      </c>
      <c r="G5" s="134">
        <f t="shared" ref="G5:G14" si="4">E5*1.2</f>
        <v>58.755751694087195</v>
      </c>
      <c r="H5" s="134">
        <f t="shared" ref="H5:H14" si="5">E5*1.25</f>
        <v>61.203908014674163</v>
      </c>
      <c r="I5" s="134">
        <f t="shared" ref="I5:I14" si="6">E5*1.3</f>
        <v>63.65206433526113</v>
      </c>
      <c r="J5" s="156">
        <f t="shared" ref="J5:J14" si="7">E5*1.35</f>
        <v>66.100220655848105</v>
      </c>
      <c r="K5" s="152"/>
      <c r="L5" s="167">
        <f t="shared" ref="L5:L13" si="8">E5*1.4</f>
        <v>68.548376976435065</v>
      </c>
    </row>
    <row r="6" spans="1:12" ht="28.15" customHeight="1" thickTop="1" thickBot="1" x14ac:dyDescent="0.3">
      <c r="A6" s="155">
        <f t="shared" si="0"/>
        <v>840</v>
      </c>
      <c r="B6" s="131">
        <f t="shared" ref="B6:B13" si="9">A6+79</f>
        <v>919</v>
      </c>
      <c r="C6" s="132">
        <f t="shared" si="1"/>
        <v>9</v>
      </c>
      <c r="D6" s="147"/>
      <c r="E6" s="134">
        <f t="shared" si="2"/>
        <v>42.209591734258048</v>
      </c>
      <c r="F6" s="134">
        <f t="shared" si="3"/>
        <v>46.430550907683859</v>
      </c>
      <c r="G6" s="134">
        <f t="shared" si="4"/>
        <v>50.651510081109656</v>
      </c>
      <c r="H6" s="134">
        <f t="shared" si="5"/>
        <v>52.761989667822562</v>
      </c>
      <c r="I6" s="134">
        <f t="shared" si="6"/>
        <v>54.872469254535467</v>
      </c>
      <c r="J6" s="156">
        <f t="shared" si="7"/>
        <v>56.982948841248366</v>
      </c>
      <c r="K6" s="152"/>
      <c r="L6" s="167">
        <f t="shared" si="8"/>
        <v>59.093428427961264</v>
      </c>
    </row>
    <row r="7" spans="1:12" ht="37.15" customHeight="1" thickTop="1" thickBot="1" x14ac:dyDescent="0.3">
      <c r="A7" s="155">
        <f t="shared" si="0"/>
        <v>760</v>
      </c>
      <c r="B7" s="131">
        <f t="shared" si="9"/>
        <v>839</v>
      </c>
      <c r="C7" s="132">
        <f t="shared" si="1"/>
        <v>8</v>
      </c>
      <c r="D7" s="133"/>
      <c r="E7" s="134">
        <f t="shared" si="2"/>
        <v>36.387579081256938</v>
      </c>
      <c r="F7" s="134">
        <f t="shared" si="3"/>
        <v>40.026336989382635</v>
      </c>
      <c r="G7" s="134">
        <f t="shared" si="4"/>
        <v>43.665094897508325</v>
      </c>
      <c r="H7" s="134">
        <f t="shared" si="5"/>
        <v>45.484473851571174</v>
      </c>
      <c r="I7" s="134">
        <f t="shared" si="6"/>
        <v>47.303852805634023</v>
      </c>
      <c r="J7" s="156">
        <f t="shared" si="7"/>
        <v>49.123231759696871</v>
      </c>
      <c r="K7" s="152"/>
      <c r="L7" s="167">
        <f t="shared" si="8"/>
        <v>50.942610713759713</v>
      </c>
    </row>
    <row r="8" spans="1:12" ht="42.75" customHeight="1" thickTop="1" thickBot="1" x14ac:dyDescent="0.3">
      <c r="A8" s="155">
        <f t="shared" si="0"/>
        <v>680</v>
      </c>
      <c r="B8" s="131">
        <f t="shared" si="9"/>
        <v>759</v>
      </c>
      <c r="C8" s="132">
        <f t="shared" si="1"/>
        <v>7</v>
      </c>
      <c r="D8" s="169" t="s">
        <v>103</v>
      </c>
      <c r="E8" s="134">
        <f t="shared" si="2"/>
        <v>31.368602656255984</v>
      </c>
      <c r="F8" s="134">
        <f t="shared" si="3"/>
        <v>34.505462921881588</v>
      </c>
      <c r="G8" s="134">
        <f t="shared" si="4"/>
        <v>37.642323187507181</v>
      </c>
      <c r="H8" s="134">
        <f t="shared" si="5"/>
        <v>39.210753320319981</v>
      </c>
      <c r="I8" s="134">
        <f t="shared" si="6"/>
        <v>40.779183453132781</v>
      </c>
      <c r="J8" s="156">
        <f t="shared" si="7"/>
        <v>42.347613585945581</v>
      </c>
      <c r="K8" s="152"/>
      <c r="L8" s="167">
        <f t="shared" si="8"/>
        <v>43.916043718758374</v>
      </c>
    </row>
    <row r="9" spans="1:12" ht="44.25" customHeight="1" thickTop="1" thickBot="1" x14ac:dyDescent="0.3">
      <c r="A9" s="155">
        <f t="shared" si="0"/>
        <v>600</v>
      </c>
      <c r="B9" s="131">
        <f t="shared" si="9"/>
        <v>679</v>
      </c>
      <c r="C9" s="132">
        <f t="shared" si="1"/>
        <v>6</v>
      </c>
      <c r="D9" s="169" t="s">
        <v>104</v>
      </c>
      <c r="E9" s="134">
        <f t="shared" si="2"/>
        <v>27.041898841599988</v>
      </c>
      <c r="F9" s="134">
        <f t="shared" si="3"/>
        <v>29.746088725759989</v>
      </c>
      <c r="G9" s="134">
        <f t="shared" si="4"/>
        <v>32.450278609919984</v>
      </c>
      <c r="H9" s="134">
        <f t="shared" si="5"/>
        <v>33.802373551999985</v>
      </c>
      <c r="I9" s="134">
        <f t="shared" si="6"/>
        <v>35.154468494079985</v>
      </c>
      <c r="J9" s="156">
        <f t="shared" si="7"/>
        <v>36.506563436159986</v>
      </c>
      <c r="K9" s="152"/>
      <c r="L9" s="167">
        <f t="shared" si="8"/>
        <v>37.85865837823998</v>
      </c>
    </row>
    <row r="10" spans="1:12" ht="40.15" customHeight="1" thickTop="1" thickBot="1" x14ac:dyDescent="0.3">
      <c r="A10" s="155">
        <f>B11+1</f>
        <v>520</v>
      </c>
      <c r="B10" s="131">
        <f t="shared" si="9"/>
        <v>599</v>
      </c>
      <c r="C10" s="132">
        <f t="shared" si="1"/>
        <v>5</v>
      </c>
      <c r="D10" s="169" t="s">
        <v>100</v>
      </c>
      <c r="E10" s="134">
        <f t="shared" si="2"/>
        <v>23.311981759999991</v>
      </c>
      <c r="F10" s="134">
        <f t="shared" si="3"/>
        <v>25.643179935999992</v>
      </c>
      <c r="G10" s="134">
        <f t="shared" si="4"/>
        <v>27.974378111999989</v>
      </c>
      <c r="H10" s="134">
        <f t="shared" si="5"/>
        <v>29.13997719999999</v>
      </c>
      <c r="I10" s="134">
        <f t="shared" si="6"/>
        <v>30.30557628799999</v>
      </c>
      <c r="J10" s="156">
        <f t="shared" si="7"/>
        <v>31.471175375999991</v>
      </c>
      <c r="K10" s="152"/>
      <c r="L10" s="167">
        <f t="shared" si="8"/>
        <v>32.636774463999984</v>
      </c>
    </row>
    <row r="11" spans="1:12" ht="54.75" customHeight="1" thickTop="1" thickBot="1" x14ac:dyDescent="0.3">
      <c r="A11" s="155">
        <f>B12+1</f>
        <v>440</v>
      </c>
      <c r="B11" s="131">
        <f t="shared" si="9"/>
        <v>519</v>
      </c>
      <c r="C11" s="132">
        <f t="shared" si="1"/>
        <v>4</v>
      </c>
      <c r="D11" s="133" t="s">
        <v>102</v>
      </c>
      <c r="E11" s="134">
        <f t="shared" si="2"/>
        <v>20.096535999999993</v>
      </c>
      <c r="F11" s="134">
        <f t="shared" si="3"/>
        <v>22.106189599999993</v>
      </c>
      <c r="G11" s="134">
        <f t="shared" si="4"/>
        <v>24.11584319999999</v>
      </c>
      <c r="H11" s="134">
        <f t="shared" si="5"/>
        <v>25.12066999999999</v>
      </c>
      <c r="I11" s="134">
        <f t="shared" si="6"/>
        <v>26.125496799999993</v>
      </c>
      <c r="J11" s="156">
        <f t="shared" si="7"/>
        <v>27.130323599999993</v>
      </c>
      <c r="K11" s="152"/>
      <c r="L11" s="167">
        <f t="shared" si="8"/>
        <v>28.13515039999999</v>
      </c>
    </row>
    <row r="12" spans="1:12" ht="55.5" customHeight="1" thickTop="1" thickBot="1" x14ac:dyDescent="0.3">
      <c r="A12" s="155">
        <f t="shared" si="0"/>
        <v>360</v>
      </c>
      <c r="B12" s="131">
        <f t="shared" si="9"/>
        <v>439</v>
      </c>
      <c r="C12" s="132">
        <f t="shared" si="1"/>
        <v>3</v>
      </c>
      <c r="D12" s="133" t="s">
        <v>101</v>
      </c>
      <c r="E12" s="134">
        <f t="shared" si="2"/>
        <v>17.324599999999997</v>
      </c>
      <c r="F12" s="134">
        <f t="shared" si="3"/>
        <v>19.057059999999996</v>
      </c>
      <c r="G12" s="134">
        <f t="shared" si="4"/>
        <v>20.789519999999996</v>
      </c>
      <c r="H12" s="134">
        <f t="shared" si="5"/>
        <v>21.655749999999998</v>
      </c>
      <c r="I12" s="134">
        <f t="shared" si="6"/>
        <v>22.521979999999996</v>
      </c>
      <c r="J12" s="156">
        <f t="shared" si="7"/>
        <v>23.388209999999997</v>
      </c>
      <c r="K12" s="152"/>
      <c r="L12" s="167">
        <f t="shared" si="8"/>
        <v>24.254439999999995</v>
      </c>
    </row>
    <row r="13" spans="1:12" ht="28.15" customHeight="1" thickTop="1" thickBot="1" x14ac:dyDescent="0.3">
      <c r="A13" s="155">
        <f t="shared" si="0"/>
        <v>280</v>
      </c>
      <c r="B13" s="131">
        <f t="shared" si="9"/>
        <v>359</v>
      </c>
      <c r="C13" s="132">
        <f t="shared" si="1"/>
        <v>2</v>
      </c>
      <c r="D13" s="133" t="s">
        <v>96</v>
      </c>
      <c r="E13" s="134">
        <f t="shared" si="2"/>
        <v>14.934999999999999</v>
      </c>
      <c r="F13" s="134">
        <f t="shared" si="3"/>
        <v>16.4285</v>
      </c>
      <c r="G13" s="134">
        <f t="shared" si="4"/>
        <v>17.921999999999997</v>
      </c>
      <c r="H13" s="134">
        <f t="shared" si="5"/>
        <v>18.668749999999999</v>
      </c>
      <c r="I13" s="134">
        <f t="shared" si="6"/>
        <v>19.415499999999998</v>
      </c>
      <c r="J13" s="156">
        <f t="shared" si="7"/>
        <v>20.16225</v>
      </c>
      <c r="K13" s="152"/>
      <c r="L13" s="167">
        <f t="shared" si="8"/>
        <v>20.908999999999995</v>
      </c>
    </row>
    <row r="14" spans="1:12" ht="28.15" customHeight="1" thickTop="1" thickBot="1" x14ac:dyDescent="0.3">
      <c r="A14" s="157">
        <v>200</v>
      </c>
      <c r="B14" s="131">
        <v>279</v>
      </c>
      <c r="C14" s="132">
        <v>1</v>
      </c>
      <c r="D14" s="133"/>
      <c r="E14" s="138">
        <f>E15*1.03</f>
        <v>12.875</v>
      </c>
      <c r="F14" s="134">
        <f t="shared" si="3"/>
        <v>14.162500000000001</v>
      </c>
      <c r="G14" s="134">
        <f t="shared" si="4"/>
        <v>15.45</v>
      </c>
      <c r="H14" s="134">
        <f t="shared" si="5"/>
        <v>16.09375</v>
      </c>
      <c r="I14" s="134">
        <f t="shared" si="6"/>
        <v>16.737500000000001</v>
      </c>
      <c r="J14" s="156">
        <f t="shared" si="7"/>
        <v>17.381250000000001</v>
      </c>
      <c r="K14" s="152"/>
      <c r="L14" s="168">
        <f>E14*1.4</f>
        <v>18.024999999999999</v>
      </c>
    </row>
    <row r="15" spans="1:12" ht="24" thickTop="1" thickBot="1" x14ac:dyDescent="0.3">
      <c r="A15" s="158"/>
      <c r="B15" s="159"/>
      <c r="C15" s="159"/>
      <c r="D15" s="160" t="s">
        <v>98</v>
      </c>
      <c r="E15" s="161">
        <v>12.5</v>
      </c>
      <c r="F15" s="162"/>
      <c r="G15" s="162"/>
      <c r="H15" s="162"/>
      <c r="I15" s="162"/>
      <c r="J15" s="163"/>
      <c r="K15" s="164"/>
      <c r="L15" s="164"/>
    </row>
    <row r="33" spans="3:3" x14ac:dyDescent="0.25">
      <c r="C33" s="121" t="s">
        <v>10</v>
      </c>
    </row>
  </sheetData>
  <mergeCells count="7">
    <mergeCell ref="A2:L2"/>
    <mergeCell ref="A3:B3"/>
    <mergeCell ref="C3:C4"/>
    <mergeCell ref="D3:D4"/>
    <mergeCell ref="E3:F3"/>
    <mergeCell ref="G3:H3"/>
    <mergeCell ref="I3:J3"/>
  </mergeCells>
  <pageMargins left="0.2" right="0.17" top="0.22" bottom="0.2" header="0.17" footer="0.16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S59"/>
  <sheetViews>
    <sheetView topLeftCell="A4" zoomScale="60" zoomScaleNormal="60" workbookViewId="0">
      <selection activeCell="R37" sqref="R37"/>
    </sheetView>
  </sheetViews>
  <sheetFormatPr baseColWidth="10" defaultColWidth="15.7109375" defaultRowHeight="12" x14ac:dyDescent="0.2"/>
  <cols>
    <col min="1" max="2" width="15.7109375" style="7"/>
    <col min="3" max="14" width="21" style="64" customWidth="1"/>
    <col min="15" max="16" width="15.7109375" style="8"/>
    <col min="17" max="16384" width="15.7109375" style="7"/>
  </cols>
  <sheetData>
    <row r="1" spans="1:19" s="4" customFormat="1" ht="36" customHeight="1" x14ac:dyDescent="0.2">
      <c r="A1" s="3" t="s">
        <v>9</v>
      </c>
      <c r="C1" s="61"/>
      <c r="D1" s="61"/>
      <c r="E1" s="61"/>
      <c r="F1" s="62"/>
      <c r="G1" s="61"/>
      <c r="H1" s="63" t="s">
        <v>73</v>
      </c>
      <c r="I1" s="61"/>
      <c r="J1" s="61"/>
      <c r="K1" s="61"/>
      <c r="L1" s="61"/>
      <c r="M1" s="61"/>
      <c r="N1" s="61"/>
      <c r="O1" s="5"/>
      <c r="P1" s="5"/>
    </row>
    <row r="2" spans="1:19" x14ac:dyDescent="0.2">
      <c r="A2" s="6" t="s">
        <v>72</v>
      </c>
      <c r="G2" s="65"/>
      <c r="H2" s="66" t="s">
        <v>71</v>
      </c>
      <c r="I2" s="65"/>
    </row>
    <row r="3" spans="1:19" ht="24" customHeight="1" x14ac:dyDescent="0.2">
      <c r="A3" s="9"/>
    </row>
    <row r="4" spans="1:19" ht="24" customHeight="1" x14ac:dyDescent="0.2">
      <c r="A4" s="9"/>
    </row>
    <row r="5" spans="1:19" ht="24" customHeight="1" x14ac:dyDescent="0.2">
      <c r="A5" s="9"/>
    </row>
    <row r="6" spans="1:19" ht="19.5" customHeight="1" x14ac:dyDescent="0.2">
      <c r="A6" s="10"/>
      <c r="B6" s="11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12"/>
      <c r="P6" s="12"/>
      <c r="Q6" s="211" t="s">
        <v>69</v>
      </c>
      <c r="R6" s="211"/>
      <c r="S6" s="13"/>
    </row>
    <row r="7" spans="1:19" ht="49.5" customHeight="1" x14ac:dyDescent="0.2">
      <c r="A7" s="10"/>
      <c r="B7" s="14"/>
      <c r="C7" s="199" t="s">
        <v>2</v>
      </c>
      <c r="D7" s="199"/>
      <c r="E7" s="199" t="s">
        <v>3</v>
      </c>
      <c r="F7" s="199"/>
      <c r="G7" s="199" t="s">
        <v>4</v>
      </c>
      <c r="H7" s="199"/>
      <c r="I7" s="199" t="s">
        <v>5</v>
      </c>
      <c r="J7" s="199"/>
      <c r="K7" s="199" t="s">
        <v>6</v>
      </c>
      <c r="L7" s="199"/>
      <c r="M7" s="199" t="s">
        <v>7</v>
      </c>
      <c r="N7" s="199"/>
      <c r="O7" s="15"/>
      <c r="P7" s="15"/>
      <c r="Q7" s="195" t="s">
        <v>68</v>
      </c>
      <c r="R7" s="196"/>
      <c r="S7" s="16"/>
    </row>
    <row r="8" spans="1:19" ht="21" customHeight="1" x14ac:dyDescent="0.2">
      <c r="A8" s="17"/>
      <c r="B8" s="14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8"/>
      <c r="P8" s="18"/>
      <c r="Q8" s="197">
        <f>($Q$13*$B$32)/$B$37</f>
        <v>51.737499999999997</v>
      </c>
      <c r="R8" s="197"/>
      <c r="S8" s="16"/>
    </row>
    <row r="9" spans="1:19" ht="18" customHeight="1" x14ac:dyDescent="0.2">
      <c r="A9" s="17"/>
      <c r="B9" s="14"/>
      <c r="C9" s="68"/>
      <c r="D9" s="68"/>
      <c r="E9" s="68"/>
      <c r="F9" s="68"/>
      <c r="G9" s="68"/>
      <c r="H9" s="68"/>
      <c r="I9" s="68"/>
      <c r="J9" s="68"/>
      <c r="O9" s="18"/>
      <c r="P9" s="19"/>
      <c r="Q9" s="198">
        <f>($Q$13*$B$33)/$B$37</f>
        <v>49.667999999999999</v>
      </c>
      <c r="R9" s="198"/>
      <c r="S9" s="16"/>
    </row>
    <row r="10" spans="1:19" ht="18" customHeight="1" x14ac:dyDescent="0.2">
      <c r="A10" s="17"/>
      <c r="B10" s="14"/>
      <c r="C10" s="68"/>
      <c r="D10" s="68"/>
      <c r="E10" s="68"/>
      <c r="F10" s="68"/>
      <c r="G10" s="68"/>
      <c r="H10" s="68"/>
      <c r="I10" s="68"/>
      <c r="J10" s="68"/>
      <c r="Q10" s="198">
        <f>($Q$13*$B$34)/$B$37</f>
        <v>47.598500000000001</v>
      </c>
      <c r="R10" s="198"/>
      <c r="S10" s="16"/>
    </row>
    <row r="11" spans="1:19" ht="18" customHeight="1" x14ac:dyDescent="0.2">
      <c r="A11" s="17"/>
      <c r="B11" s="14"/>
      <c r="C11" s="68"/>
      <c r="D11" s="68"/>
      <c r="E11" s="68"/>
      <c r="F11" s="68"/>
      <c r="G11" s="68"/>
      <c r="H11" s="68"/>
      <c r="I11" s="68"/>
      <c r="J11" s="68"/>
      <c r="Q11" s="198">
        <f>($Q$13*$B$35)/$B$37</f>
        <v>45.528999999999996</v>
      </c>
      <c r="R11" s="198"/>
      <c r="S11" s="16"/>
    </row>
    <row r="12" spans="1:19" ht="18" customHeight="1" x14ac:dyDescent="0.2">
      <c r="A12" s="17"/>
      <c r="B12" s="14"/>
      <c r="C12" s="68"/>
      <c r="D12" s="68"/>
      <c r="E12" s="68"/>
      <c r="F12" s="68"/>
      <c r="G12" s="68"/>
      <c r="H12" s="68"/>
      <c r="I12" s="68"/>
      <c r="J12" s="68"/>
      <c r="Q12" s="198">
        <f>($Q$13*$B$36)/$B$37</f>
        <v>43.459499999999998</v>
      </c>
      <c r="R12" s="198"/>
      <c r="S12" s="16"/>
    </row>
    <row r="13" spans="1:19" ht="18" customHeight="1" x14ac:dyDescent="0.2">
      <c r="A13" s="17"/>
      <c r="B13" s="14"/>
      <c r="C13" s="68"/>
      <c r="D13" s="68"/>
      <c r="E13" s="68"/>
      <c r="F13" s="68"/>
      <c r="G13" s="68"/>
      <c r="H13" s="68"/>
      <c r="I13" s="68"/>
      <c r="J13" s="68"/>
      <c r="Q13" s="212">
        <v>41.39</v>
      </c>
      <c r="R13" s="212"/>
      <c r="S13" s="16"/>
    </row>
    <row r="14" spans="1:19" ht="18" customHeight="1" x14ac:dyDescent="0.2">
      <c r="A14" s="17"/>
      <c r="B14" s="14"/>
      <c r="C14" s="68"/>
      <c r="D14" s="68"/>
      <c r="E14" s="68"/>
      <c r="F14" s="68"/>
      <c r="G14" s="68"/>
      <c r="H14" s="68"/>
      <c r="I14" s="68"/>
      <c r="J14" s="68"/>
      <c r="M14" s="194">
        <f>($M$19*$B$32)/$B$37</f>
        <v>40.112500000000004</v>
      </c>
      <c r="N14" s="194"/>
      <c r="Q14" s="20" t="s">
        <v>53</v>
      </c>
      <c r="R14" s="20"/>
      <c r="S14" s="16"/>
    </row>
    <row r="15" spans="1:19" ht="18" customHeight="1" x14ac:dyDescent="0.2">
      <c r="A15" s="17"/>
      <c r="B15" s="14"/>
      <c r="C15" s="68"/>
      <c r="D15" s="68"/>
      <c r="E15" s="68"/>
      <c r="F15" s="68"/>
      <c r="G15" s="68"/>
      <c r="H15" s="68"/>
      <c r="I15" s="68"/>
      <c r="J15" s="68"/>
      <c r="M15" s="194">
        <f>($M$19*$B$33)/$B$37</f>
        <v>38.508000000000003</v>
      </c>
      <c r="N15" s="194"/>
      <c r="Q15" s="21" t="s">
        <v>62</v>
      </c>
      <c r="R15" s="22"/>
      <c r="S15" s="16"/>
    </row>
    <row r="16" spans="1:19" x14ac:dyDescent="0.2">
      <c r="A16" s="17"/>
      <c r="B16" s="14"/>
      <c r="C16" s="69"/>
      <c r="D16" s="69"/>
      <c r="E16" s="69"/>
      <c r="F16" s="69"/>
      <c r="G16" s="69"/>
      <c r="H16" s="69"/>
      <c r="I16" s="69"/>
      <c r="J16" s="69"/>
      <c r="M16" s="194">
        <f>($M$19*$B$34)/$B$37</f>
        <v>36.903500000000001</v>
      </c>
      <c r="N16" s="194"/>
      <c r="O16" s="23"/>
      <c r="P16" s="23"/>
      <c r="S16" s="16"/>
    </row>
    <row r="17" spans="1:19" ht="18" customHeight="1" x14ac:dyDescent="0.2">
      <c r="A17" s="17"/>
      <c r="B17" s="14"/>
      <c r="C17" s="69"/>
      <c r="D17" s="69"/>
      <c r="E17" s="69"/>
      <c r="F17" s="69"/>
      <c r="G17" s="69"/>
      <c r="H17" s="69"/>
      <c r="I17" s="69"/>
      <c r="J17" s="69"/>
      <c r="M17" s="194">
        <f>($M$19*$B$35)/$B$37</f>
        <v>35.298999999999999</v>
      </c>
      <c r="N17" s="194"/>
      <c r="O17" s="23"/>
      <c r="P17" s="23"/>
      <c r="S17" s="16"/>
    </row>
    <row r="18" spans="1:19" ht="18" customHeight="1" x14ac:dyDescent="0.2">
      <c r="A18" s="17"/>
      <c r="B18" s="14"/>
      <c r="C18" s="69"/>
      <c r="D18" s="69"/>
      <c r="E18" s="69"/>
      <c r="F18" s="69"/>
      <c r="G18" s="69"/>
      <c r="H18" s="69"/>
      <c r="I18" s="69"/>
      <c r="J18" s="69"/>
      <c r="M18" s="194">
        <f>($M$19*$B$36)/$B$37</f>
        <v>33.694499999999998</v>
      </c>
      <c r="N18" s="194"/>
      <c r="O18" s="23"/>
      <c r="P18" s="23"/>
      <c r="S18" s="16"/>
    </row>
    <row r="19" spans="1:19" ht="18" customHeight="1" x14ac:dyDescent="0.2">
      <c r="A19" s="17"/>
      <c r="B19" s="14"/>
      <c r="C19" s="69"/>
      <c r="D19" s="69"/>
      <c r="E19" s="69" t="s">
        <v>10</v>
      </c>
      <c r="F19" s="69"/>
      <c r="G19" s="69"/>
      <c r="H19" s="69"/>
      <c r="I19" s="69"/>
      <c r="J19" s="69"/>
      <c r="K19" s="194">
        <f>($K$24*$B$32)/$B$37</f>
        <v>32.875</v>
      </c>
      <c r="L19" s="194"/>
      <c r="M19" s="206">
        <v>32.090000000000003</v>
      </c>
      <c r="N19" s="206"/>
      <c r="O19" s="23"/>
      <c r="P19" s="23"/>
      <c r="Q19" s="17"/>
      <c r="R19" s="17"/>
      <c r="S19" s="16"/>
    </row>
    <row r="20" spans="1:19" ht="18" customHeight="1" x14ac:dyDescent="0.2">
      <c r="A20" s="17"/>
      <c r="B20" s="14"/>
      <c r="C20" s="69"/>
      <c r="D20" s="69"/>
      <c r="E20" s="69"/>
      <c r="F20" s="69"/>
      <c r="G20" s="69"/>
      <c r="H20" s="69"/>
      <c r="I20" s="69"/>
      <c r="J20" s="69"/>
      <c r="K20" s="194">
        <f>($K$24*$B$33)/$B$37</f>
        <v>31.56</v>
      </c>
      <c r="L20" s="194"/>
      <c r="O20" s="23"/>
      <c r="P20" s="23"/>
      <c r="Q20" s="17"/>
      <c r="R20" s="17"/>
      <c r="S20" s="16"/>
    </row>
    <row r="21" spans="1:19" ht="18" customHeight="1" x14ac:dyDescent="0.2">
      <c r="A21" s="17"/>
      <c r="B21" s="14"/>
      <c r="C21" s="69"/>
      <c r="D21" s="69"/>
      <c r="E21" s="69"/>
      <c r="F21" s="69"/>
      <c r="G21" s="69"/>
      <c r="H21" s="69"/>
      <c r="I21" s="69"/>
      <c r="J21" s="69"/>
      <c r="K21" s="194">
        <f>($K$24*$B$34)/$B$37</f>
        <v>30.245000000000001</v>
      </c>
      <c r="L21" s="194"/>
      <c r="M21" s="70" t="s">
        <v>52</v>
      </c>
      <c r="N21" s="70"/>
      <c r="O21" s="24"/>
      <c r="P21" s="24"/>
      <c r="S21" s="16"/>
    </row>
    <row r="22" spans="1:19" ht="18" customHeight="1" x14ac:dyDescent="0.2">
      <c r="A22" s="17"/>
      <c r="B22" s="14"/>
      <c r="C22" s="69"/>
      <c r="D22" s="69"/>
      <c r="E22" s="69"/>
      <c r="F22" s="69"/>
      <c r="G22" s="69"/>
      <c r="H22" s="69"/>
      <c r="I22" s="69"/>
      <c r="J22" s="69"/>
      <c r="K22" s="194">
        <f>($K$24*$B$35)/$B$37</f>
        <v>28.93</v>
      </c>
      <c r="L22" s="194"/>
      <c r="M22" s="71" t="s">
        <v>61</v>
      </c>
      <c r="N22" s="72"/>
      <c r="S22" s="16"/>
    </row>
    <row r="23" spans="1:19" ht="18" customHeight="1" x14ac:dyDescent="0.2">
      <c r="A23" s="17"/>
      <c r="B23" s="14"/>
      <c r="C23" s="69"/>
      <c r="D23" s="69"/>
      <c r="E23" s="69"/>
      <c r="F23" s="69"/>
      <c r="G23" s="69"/>
      <c r="H23" s="69"/>
      <c r="I23" s="69"/>
      <c r="J23" s="69"/>
      <c r="K23" s="194">
        <f>($K$24*$B$36)/$B$37</f>
        <v>27.614999999999998</v>
      </c>
      <c r="L23" s="194"/>
      <c r="O23" s="25"/>
      <c r="P23" s="25"/>
      <c r="Q23" s="17"/>
      <c r="R23" s="17"/>
      <c r="S23" s="16"/>
    </row>
    <row r="24" spans="1:19" ht="18" customHeight="1" x14ac:dyDescent="0.2">
      <c r="A24" s="17"/>
      <c r="B24" s="14"/>
      <c r="C24" s="69"/>
      <c r="D24" s="69"/>
      <c r="E24" s="69"/>
      <c r="F24" s="69"/>
      <c r="G24" s="69"/>
      <c r="H24" s="69"/>
      <c r="I24" s="69"/>
      <c r="J24" s="69"/>
      <c r="K24" s="206">
        <v>26.3</v>
      </c>
      <c r="L24" s="206"/>
      <c r="O24" s="26"/>
      <c r="P24" s="26"/>
      <c r="Q24" s="17"/>
      <c r="R24" s="17"/>
      <c r="S24" s="16"/>
    </row>
    <row r="25" spans="1:19" ht="18" customHeight="1" x14ac:dyDescent="0.2">
      <c r="A25" s="17"/>
      <c r="B25" s="14"/>
      <c r="C25" s="69"/>
      <c r="D25" s="69"/>
      <c r="E25" s="69"/>
      <c r="F25" s="69"/>
      <c r="G25" s="69"/>
      <c r="H25" s="69"/>
      <c r="I25" s="69"/>
      <c r="J25" s="69"/>
      <c r="K25" s="69"/>
      <c r="L25" s="73"/>
      <c r="S25" s="16"/>
    </row>
    <row r="26" spans="1:19" ht="18" customHeight="1" x14ac:dyDescent="0.2">
      <c r="A26" s="17"/>
      <c r="B26" s="14"/>
      <c r="C26" s="69"/>
      <c r="D26" s="69"/>
      <c r="E26" s="69"/>
      <c r="F26" s="69"/>
      <c r="G26" s="69"/>
      <c r="H26" s="69"/>
      <c r="I26" s="194">
        <f>($I$31*$B$32)/$B$37</f>
        <v>24.900000000000002</v>
      </c>
      <c r="J26" s="194"/>
      <c r="K26" s="70" t="s">
        <v>51</v>
      </c>
      <c r="L26" s="70"/>
      <c r="M26" s="69"/>
      <c r="N26" s="69"/>
      <c r="O26" s="15"/>
      <c r="P26" s="15"/>
      <c r="S26" s="16"/>
    </row>
    <row r="27" spans="1:19" ht="18" customHeight="1" x14ac:dyDescent="0.2">
      <c r="A27" s="17"/>
      <c r="B27" s="14"/>
      <c r="C27" s="69"/>
      <c r="D27" s="69"/>
      <c r="E27" s="69"/>
      <c r="F27" s="69"/>
      <c r="G27" s="69"/>
      <c r="H27" s="2"/>
      <c r="I27" s="194">
        <f>($I$31*$B$33)/$B$37</f>
        <v>23.904</v>
      </c>
      <c r="J27" s="194"/>
      <c r="K27" s="71" t="s">
        <v>60</v>
      </c>
      <c r="L27" s="72"/>
      <c r="M27" s="69"/>
      <c r="N27" s="69"/>
      <c r="O27" s="15"/>
      <c r="P27" s="15"/>
      <c r="S27" s="16"/>
    </row>
    <row r="28" spans="1:19" ht="18" customHeight="1" x14ac:dyDescent="0.2">
      <c r="A28" s="17"/>
      <c r="B28" s="14"/>
      <c r="C28" s="69"/>
      <c r="D28" s="69"/>
      <c r="E28" s="69"/>
      <c r="F28" s="69"/>
      <c r="G28" s="69"/>
      <c r="H28" s="2"/>
      <c r="I28" s="194">
        <f>($I$31*$B$34)/$B$37</f>
        <v>22.908000000000001</v>
      </c>
      <c r="J28" s="194"/>
      <c r="M28" s="69"/>
      <c r="N28" s="69"/>
      <c r="O28" s="15"/>
      <c r="P28" s="15"/>
      <c r="S28" s="16"/>
    </row>
    <row r="29" spans="1:19" ht="18" customHeight="1" x14ac:dyDescent="0.2">
      <c r="A29" s="17"/>
      <c r="B29" s="14"/>
      <c r="C29" s="69"/>
      <c r="D29" s="69"/>
      <c r="E29" s="69"/>
      <c r="F29" s="69"/>
      <c r="G29" s="194">
        <f>($G$34*$B$32)/$B$37</f>
        <v>21.662499999999998</v>
      </c>
      <c r="H29" s="194"/>
      <c r="I29" s="194">
        <f>($I$31*$B$35)/$B$37</f>
        <v>21.912000000000003</v>
      </c>
      <c r="J29" s="194"/>
      <c r="M29" s="69"/>
      <c r="N29" s="69"/>
      <c r="O29" s="15"/>
      <c r="P29" s="15"/>
      <c r="S29" s="16"/>
    </row>
    <row r="30" spans="1:19" ht="18" customHeight="1" x14ac:dyDescent="0.2">
      <c r="A30" s="17"/>
      <c r="B30" s="14"/>
      <c r="C30" s="69"/>
      <c r="D30" s="69"/>
      <c r="E30" s="69"/>
      <c r="F30" s="1"/>
      <c r="G30" s="194">
        <f>($G$34*$B$33)/$B$37</f>
        <v>20.795999999999996</v>
      </c>
      <c r="H30" s="194"/>
      <c r="I30" s="194">
        <f>($I$31*$B$36)/$B$37</f>
        <v>20.916</v>
      </c>
      <c r="J30" s="194"/>
      <c r="M30" s="69"/>
      <c r="N30" s="69"/>
      <c r="O30" s="15"/>
      <c r="P30" s="15"/>
      <c r="S30" s="16"/>
    </row>
    <row r="31" spans="1:19" ht="18" customHeight="1" x14ac:dyDescent="0.2">
      <c r="A31" s="17"/>
      <c r="B31" s="14"/>
      <c r="C31" s="69"/>
      <c r="D31" s="1"/>
      <c r="E31" s="194">
        <f>($E$36*$B$32)/$B$37</f>
        <v>19.6875</v>
      </c>
      <c r="F31" s="194"/>
      <c r="G31" s="194">
        <f>($G$34*$B$34)/$B$37</f>
        <v>19.929499999999997</v>
      </c>
      <c r="H31" s="194"/>
      <c r="I31" s="206">
        <v>19.920000000000002</v>
      </c>
      <c r="J31" s="206"/>
      <c r="K31" s="69"/>
      <c r="L31" s="69"/>
      <c r="M31" s="69"/>
      <c r="N31" s="69"/>
      <c r="O31" s="15"/>
      <c r="P31" s="15"/>
      <c r="Q31" s="17"/>
      <c r="R31" s="17"/>
      <c r="S31" s="16"/>
    </row>
    <row r="32" spans="1:19" ht="18" customHeight="1" x14ac:dyDescent="0.2">
      <c r="A32" s="27" t="s">
        <v>1</v>
      </c>
      <c r="B32" s="28">
        <v>1</v>
      </c>
      <c r="C32" s="204">
        <f>($C$37*$B$32)/$B$37</f>
        <v>18.75</v>
      </c>
      <c r="D32" s="204"/>
      <c r="E32" s="194">
        <f>($E$36*$B$33)/$B$37</f>
        <v>18.899999999999999</v>
      </c>
      <c r="F32" s="194"/>
      <c r="G32" s="194">
        <f>($G$34*$B$35)/$B$37</f>
        <v>19.062999999999999</v>
      </c>
      <c r="H32" s="194"/>
      <c r="I32" s="69"/>
      <c r="J32" s="73"/>
      <c r="K32" s="74"/>
      <c r="L32" s="75"/>
      <c r="M32" s="69"/>
      <c r="N32" s="69"/>
      <c r="O32" s="15"/>
      <c r="P32" s="15"/>
      <c r="Q32" s="17"/>
      <c r="R32" s="17"/>
      <c r="S32" s="16"/>
    </row>
    <row r="33" spans="1:19" ht="18" customHeight="1" x14ac:dyDescent="0.2">
      <c r="A33" s="17"/>
      <c r="B33" s="28">
        <v>0.96</v>
      </c>
      <c r="C33" s="204">
        <f>($C$37*$B$33)/$B$37</f>
        <v>17.999999999999996</v>
      </c>
      <c r="D33" s="204"/>
      <c r="E33" s="194">
        <f>($E$36*$B$34)/$B$37</f>
        <v>18.112500000000001</v>
      </c>
      <c r="F33" s="194"/>
      <c r="G33" s="194">
        <f>($G$34*$B$36)/$B$37</f>
        <v>18.196499999999997</v>
      </c>
      <c r="H33" s="194"/>
      <c r="I33" s="70" t="s">
        <v>50</v>
      </c>
      <c r="J33" s="70"/>
      <c r="K33" s="74"/>
      <c r="L33" s="75"/>
      <c r="M33" s="69"/>
      <c r="N33" s="69"/>
      <c r="O33" s="15"/>
      <c r="P33" s="15"/>
      <c r="Q33" s="17"/>
      <c r="R33" s="17"/>
      <c r="S33" s="16"/>
    </row>
    <row r="34" spans="1:19" ht="18" customHeight="1" x14ac:dyDescent="0.2">
      <c r="A34" s="17"/>
      <c r="B34" s="28">
        <v>0.92</v>
      </c>
      <c r="C34" s="204">
        <f>($C$37*$B$34)/$B$37</f>
        <v>17.25</v>
      </c>
      <c r="D34" s="204"/>
      <c r="E34" s="194">
        <f>($E$36*$B$35)/$B$37</f>
        <v>17.324999999999999</v>
      </c>
      <c r="F34" s="194"/>
      <c r="G34" s="206">
        <v>17.329999999999998</v>
      </c>
      <c r="H34" s="206"/>
      <c r="I34" s="71" t="s">
        <v>59</v>
      </c>
      <c r="J34" s="72"/>
      <c r="K34" s="74"/>
      <c r="L34" s="74"/>
      <c r="M34" s="69"/>
      <c r="N34" s="69"/>
      <c r="O34" s="15"/>
      <c r="P34" s="15"/>
      <c r="Q34" s="17"/>
      <c r="R34" s="17"/>
      <c r="S34" s="16"/>
    </row>
    <row r="35" spans="1:19" ht="18" customHeight="1" x14ac:dyDescent="0.2">
      <c r="A35" s="17"/>
      <c r="B35" s="28">
        <v>0.88</v>
      </c>
      <c r="C35" s="204">
        <f>($C$37*$B$35)/$B$37</f>
        <v>16.499999999999996</v>
      </c>
      <c r="D35" s="204"/>
      <c r="E35" s="194">
        <f>($E$36*$B$36)/$B$37</f>
        <v>16.537499999999998</v>
      </c>
      <c r="F35" s="194"/>
      <c r="G35" s="69"/>
      <c r="H35" s="73"/>
      <c r="I35" s="69"/>
      <c r="J35" s="69"/>
      <c r="K35" s="74"/>
      <c r="L35" s="74"/>
      <c r="M35" s="69"/>
      <c r="N35" s="69"/>
      <c r="O35" s="15"/>
      <c r="P35" s="15"/>
      <c r="Q35" s="17"/>
      <c r="R35" s="17"/>
      <c r="S35" s="16"/>
    </row>
    <row r="36" spans="1:19" ht="18" customHeight="1" x14ac:dyDescent="0.2">
      <c r="A36" s="17"/>
      <c r="B36" s="28">
        <v>0.84</v>
      </c>
      <c r="C36" s="204">
        <f>($C$37*$B$36)/$B$37</f>
        <v>15.749999999999998</v>
      </c>
      <c r="D36" s="204"/>
      <c r="E36" s="206">
        <v>15.75</v>
      </c>
      <c r="F36" s="206"/>
      <c r="G36" s="70" t="s">
        <v>49</v>
      </c>
      <c r="H36" s="70"/>
      <c r="I36" s="69"/>
      <c r="J36" s="69"/>
      <c r="K36" s="69"/>
      <c r="L36" s="69"/>
      <c r="M36" s="69"/>
      <c r="N36" s="69"/>
      <c r="O36" s="15"/>
      <c r="P36" s="15"/>
      <c r="Q36" s="17"/>
      <c r="R36" s="17"/>
      <c r="S36" s="16"/>
    </row>
    <row r="37" spans="1:19" ht="18" customHeight="1" x14ac:dyDescent="0.2">
      <c r="A37" s="27" t="s">
        <v>0</v>
      </c>
      <c r="B37" s="29">
        <v>0.8</v>
      </c>
      <c r="C37" s="205">
        <v>15</v>
      </c>
      <c r="D37" s="205"/>
      <c r="E37" s="69"/>
      <c r="F37" s="73"/>
      <c r="G37" s="71" t="s">
        <v>58</v>
      </c>
      <c r="H37" s="72"/>
      <c r="I37" s="69"/>
      <c r="J37" s="69"/>
      <c r="K37" s="69"/>
      <c r="L37" s="69"/>
      <c r="M37" s="69"/>
      <c r="N37" s="69"/>
      <c r="O37" s="15"/>
      <c r="P37" s="15"/>
      <c r="Q37" s="17"/>
      <c r="R37" s="17"/>
      <c r="S37" s="16"/>
    </row>
    <row r="38" spans="1:19" ht="18" customHeight="1" x14ac:dyDescent="0.2">
      <c r="A38" s="27"/>
      <c r="B38" s="29"/>
      <c r="C38" s="76"/>
      <c r="D38" s="77"/>
      <c r="E38" s="209" t="s">
        <v>48</v>
      </c>
      <c r="F38" s="209"/>
      <c r="G38" s="69"/>
      <c r="H38" s="69"/>
      <c r="I38" s="69"/>
      <c r="J38" s="69"/>
      <c r="K38" s="69"/>
      <c r="L38" s="69"/>
      <c r="M38" s="69"/>
      <c r="N38" s="69"/>
      <c r="O38" s="15"/>
      <c r="P38" s="15"/>
      <c r="Q38" s="17"/>
      <c r="R38" s="17"/>
      <c r="S38" s="16"/>
    </row>
    <row r="39" spans="1:19" ht="18" customHeight="1" x14ac:dyDescent="0.2">
      <c r="A39" s="27"/>
      <c r="B39" s="29"/>
      <c r="C39" s="209" t="s">
        <v>47</v>
      </c>
      <c r="D39" s="209"/>
      <c r="E39" s="71" t="s">
        <v>57</v>
      </c>
      <c r="F39" s="72"/>
      <c r="G39" s="69"/>
      <c r="H39" s="78"/>
      <c r="I39" s="69"/>
      <c r="J39" s="69"/>
      <c r="K39" s="69"/>
      <c r="L39" s="69"/>
      <c r="M39" s="69"/>
      <c r="N39" s="69"/>
      <c r="O39" s="15"/>
      <c r="P39" s="15"/>
      <c r="Q39" s="17"/>
      <c r="R39" s="17"/>
      <c r="S39" s="16"/>
    </row>
    <row r="40" spans="1:19" ht="21.75" customHeight="1" x14ac:dyDescent="0.2">
      <c r="A40" s="27"/>
      <c r="B40" s="29"/>
      <c r="C40" s="71" t="s">
        <v>56</v>
      </c>
      <c r="D40" s="72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15"/>
      <c r="P40" s="15"/>
      <c r="Q40" s="17"/>
      <c r="R40" s="17"/>
      <c r="S40" s="16"/>
    </row>
    <row r="41" spans="1:19" ht="18.75" customHeight="1" x14ac:dyDescent="0.2">
      <c r="A41" s="27"/>
      <c r="B41" s="29"/>
      <c r="C41" s="69"/>
      <c r="D41" s="69"/>
      <c r="E41" s="79"/>
      <c r="F41" s="79"/>
      <c r="G41" s="69"/>
      <c r="H41" s="69"/>
      <c r="I41" s="69"/>
      <c r="J41" s="69"/>
      <c r="K41" s="69"/>
      <c r="L41" s="69"/>
      <c r="M41" s="69"/>
      <c r="N41" s="69"/>
      <c r="O41" s="15"/>
      <c r="P41" s="15"/>
      <c r="Q41" s="17"/>
      <c r="R41" s="17"/>
      <c r="S41" s="16"/>
    </row>
    <row r="42" spans="1:19" s="37" customFormat="1" ht="36" customHeight="1" x14ac:dyDescent="0.25">
      <c r="A42" s="30"/>
      <c r="B42" s="31"/>
      <c r="C42" s="80" t="s">
        <v>23</v>
      </c>
      <c r="D42" s="81" t="s">
        <v>8</v>
      </c>
      <c r="E42" s="80" t="s">
        <v>23</v>
      </c>
      <c r="F42" s="81" t="s">
        <v>8</v>
      </c>
      <c r="G42" s="80" t="s">
        <v>23</v>
      </c>
      <c r="H42" s="81" t="s">
        <v>8</v>
      </c>
      <c r="I42" s="80" t="s">
        <v>23</v>
      </c>
      <c r="J42" s="81" t="s">
        <v>8</v>
      </c>
      <c r="K42" s="80" t="s">
        <v>23</v>
      </c>
      <c r="L42" s="81" t="s">
        <v>8</v>
      </c>
      <c r="M42" s="80" t="s">
        <v>23</v>
      </c>
      <c r="N42" s="81" t="s">
        <v>8</v>
      </c>
      <c r="O42" s="34"/>
      <c r="P42" s="35"/>
      <c r="Q42" s="32" t="s">
        <v>23</v>
      </c>
      <c r="R42" s="33" t="s">
        <v>8</v>
      </c>
      <c r="S42" s="36"/>
    </row>
    <row r="43" spans="1:19" s="44" customFormat="1" ht="20.25" customHeight="1" x14ac:dyDescent="0.2">
      <c r="A43" s="38"/>
      <c r="B43" s="39"/>
      <c r="C43" s="82"/>
      <c r="D43" s="83"/>
      <c r="E43" s="84" t="s">
        <v>40</v>
      </c>
      <c r="F43" s="85">
        <v>348</v>
      </c>
      <c r="G43" s="84" t="s">
        <v>20</v>
      </c>
      <c r="H43" s="85">
        <v>473</v>
      </c>
      <c r="I43" s="86" t="s">
        <v>37</v>
      </c>
      <c r="J43" s="85">
        <v>560</v>
      </c>
      <c r="K43" s="87" t="s">
        <v>13</v>
      </c>
      <c r="L43" s="85">
        <v>667</v>
      </c>
      <c r="M43" s="84" t="s">
        <v>14</v>
      </c>
      <c r="N43" s="88">
        <v>713</v>
      </c>
      <c r="O43" s="40"/>
      <c r="P43" s="19"/>
      <c r="Q43" s="41"/>
      <c r="R43" s="42"/>
      <c r="S43" s="43"/>
    </row>
    <row r="44" spans="1:19" s="44" customFormat="1" ht="20.25" customHeight="1" x14ac:dyDescent="0.2">
      <c r="A44" s="38"/>
      <c r="B44" s="39"/>
      <c r="C44" s="89"/>
      <c r="D44" s="89"/>
      <c r="E44" s="87" t="s">
        <v>11</v>
      </c>
      <c r="F44" s="88">
        <v>317</v>
      </c>
      <c r="G44" s="84" t="s">
        <v>12</v>
      </c>
      <c r="H44" s="85">
        <v>473</v>
      </c>
      <c r="I44" s="90" t="s">
        <v>36</v>
      </c>
      <c r="J44" s="85">
        <v>504</v>
      </c>
      <c r="K44" s="91"/>
      <c r="L44" s="91"/>
      <c r="M44" s="84" t="s">
        <v>64</v>
      </c>
      <c r="N44" s="85">
        <v>690</v>
      </c>
      <c r="O44" s="45"/>
      <c r="P44" s="46"/>
      <c r="Q44" s="38"/>
      <c r="R44" s="38"/>
      <c r="S44" s="43"/>
    </row>
    <row r="45" spans="1:19" s="44" customFormat="1" ht="20.25" customHeight="1" x14ac:dyDescent="0.2">
      <c r="A45" s="38"/>
      <c r="B45" s="39"/>
      <c r="C45" s="89"/>
      <c r="D45" s="89"/>
      <c r="E45" s="89"/>
      <c r="F45" s="89"/>
      <c r="G45" s="84" t="s">
        <v>41</v>
      </c>
      <c r="H45" s="85">
        <v>471</v>
      </c>
      <c r="I45" s="89"/>
      <c r="J45" s="89"/>
      <c r="K45" s="89"/>
      <c r="L45" s="89"/>
      <c r="M45" s="84" t="s">
        <v>70</v>
      </c>
      <c r="N45" s="85">
        <v>630</v>
      </c>
      <c r="O45" s="47"/>
      <c r="P45" s="47"/>
      <c r="Q45" s="38"/>
      <c r="R45" s="38"/>
      <c r="S45" s="43"/>
    </row>
    <row r="46" spans="1:19" s="44" customFormat="1" ht="20.25" customHeight="1" x14ac:dyDescent="0.2">
      <c r="A46" s="38"/>
      <c r="B46" s="39"/>
      <c r="C46" s="92"/>
      <c r="D46" s="92"/>
      <c r="E46" s="93"/>
      <c r="F46" s="94"/>
      <c r="G46" s="95" t="s">
        <v>46</v>
      </c>
      <c r="H46" s="96">
        <v>471</v>
      </c>
      <c r="I46" s="89"/>
      <c r="J46" s="89"/>
      <c r="K46" s="89"/>
      <c r="L46" s="89"/>
      <c r="M46" s="89"/>
      <c r="N46" s="89"/>
      <c r="O46" s="47"/>
      <c r="P46" s="47"/>
      <c r="Q46" s="38"/>
      <c r="R46" s="38"/>
      <c r="S46" s="43"/>
    </row>
    <row r="47" spans="1:19" ht="20.25" customHeight="1" x14ac:dyDescent="0.2">
      <c r="A47" s="17"/>
      <c r="B47" s="14"/>
      <c r="C47" s="69"/>
      <c r="D47" s="69"/>
      <c r="E47" s="69"/>
      <c r="F47" s="69"/>
      <c r="G47" s="84" t="s">
        <v>63</v>
      </c>
      <c r="H47" s="85">
        <v>470</v>
      </c>
      <c r="I47" s="69"/>
      <c r="J47" s="69"/>
      <c r="K47" s="69"/>
      <c r="L47" s="69"/>
      <c r="M47" s="69"/>
      <c r="N47" s="69"/>
      <c r="O47" s="15"/>
      <c r="P47" s="15"/>
      <c r="Q47" s="17"/>
      <c r="R47" s="17"/>
      <c r="S47" s="16"/>
    </row>
    <row r="48" spans="1:19" ht="45" customHeight="1" x14ac:dyDescent="0.2">
      <c r="A48" s="17"/>
      <c r="B48" s="48"/>
      <c r="C48" s="61"/>
      <c r="D48" s="61"/>
      <c r="E48" s="61"/>
      <c r="F48" s="61"/>
      <c r="G48" s="86" t="s">
        <v>45</v>
      </c>
      <c r="H48" s="85">
        <v>470</v>
      </c>
      <c r="I48" s="61"/>
      <c r="J48" s="61"/>
      <c r="K48" s="61"/>
      <c r="L48" s="61"/>
      <c r="M48" s="61"/>
      <c r="N48" s="61"/>
      <c r="O48" s="5"/>
      <c r="P48" s="5"/>
      <c r="Q48" s="4"/>
      <c r="R48" s="4"/>
      <c r="S48" s="49"/>
    </row>
    <row r="49" spans="1:19" s="8" customFormat="1" ht="21.75" customHeight="1" x14ac:dyDescent="0.2">
      <c r="A49" s="15"/>
      <c r="B49" s="15"/>
      <c r="C49" s="97"/>
      <c r="D49" s="97"/>
      <c r="E49" s="97"/>
      <c r="F49" s="97"/>
      <c r="G49" s="98"/>
      <c r="H49" s="99"/>
      <c r="I49" s="97"/>
      <c r="J49" s="97"/>
      <c r="K49" s="97"/>
      <c r="L49" s="97"/>
      <c r="M49" s="97"/>
      <c r="N49" s="97"/>
      <c r="O49" s="15"/>
      <c r="P49" s="15"/>
      <c r="Q49" s="15"/>
      <c r="R49" s="15"/>
      <c r="S49" s="15"/>
    </row>
    <row r="50" spans="1:19" ht="15" customHeight="1" x14ac:dyDescent="0.2">
      <c r="A50" s="17"/>
      <c r="B50" s="50"/>
      <c r="C50" s="100"/>
      <c r="D50" s="100"/>
      <c r="E50" s="100"/>
      <c r="F50" s="100"/>
      <c r="G50" s="101"/>
      <c r="H50" s="102"/>
      <c r="I50" s="100"/>
      <c r="J50" s="100"/>
      <c r="K50" s="100"/>
      <c r="L50" s="100"/>
      <c r="M50" s="100"/>
      <c r="N50" s="100"/>
      <c r="O50" s="50"/>
      <c r="P50" s="15"/>
      <c r="Q50" s="15"/>
      <c r="R50" s="15"/>
      <c r="S50" s="15"/>
    </row>
    <row r="51" spans="1:19" ht="21.75" customHeight="1" x14ac:dyDescent="0.2">
      <c r="B51" s="51"/>
      <c r="C51" s="102"/>
      <c r="D51" s="102"/>
      <c r="E51" s="102"/>
      <c r="F51" s="102"/>
      <c r="G51" s="201" t="s">
        <v>35</v>
      </c>
      <c r="H51" s="210"/>
      <c r="I51" s="210"/>
      <c r="J51" s="210"/>
      <c r="K51" s="210"/>
      <c r="L51" s="202"/>
      <c r="M51" s="102"/>
      <c r="N51" s="102"/>
      <c r="O51" s="51"/>
      <c r="Q51" s="15"/>
      <c r="R51" s="15"/>
      <c r="S51" s="15"/>
    </row>
    <row r="52" spans="1:19" ht="23.25" customHeight="1" x14ac:dyDescent="0.2">
      <c r="B52" s="51"/>
      <c r="C52" s="201" t="s">
        <v>28</v>
      </c>
      <c r="D52" s="202"/>
      <c r="E52" s="201" t="s">
        <v>29</v>
      </c>
      <c r="F52" s="202"/>
      <c r="G52" s="201" t="s">
        <v>30</v>
      </c>
      <c r="H52" s="202"/>
      <c r="I52" s="201" t="s">
        <v>31</v>
      </c>
      <c r="J52" s="202"/>
      <c r="K52" s="201" t="s">
        <v>32</v>
      </c>
      <c r="L52" s="202"/>
      <c r="M52" s="203" t="s">
        <v>33</v>
      </c>
      <c r="N52" s="203"/>
      <c r="O52" s="52"/>
      <c r="P52" s="46"/>
      <c r="Q52" s="53"/>
      <c r="R52" s="53"/>
      <c r="S52" s="15"/>
    </row>
    <row r="53" spans="1:19" ht="19.5" customHeight="1" x14ac:dyDescent="0.2">
      <c r="A53" s="17"/>
      <c r="B53" s="51"/>
      <c r="C53" s="207" t="s">
        <v>55</v>
      </c>
      <c r="D53" s="208"/>
      <c r="E53" s="207" t="s">
        <v>54</v>
      </c>
      <c r="F53" s="208"/>
      <c r="G53" s="200" t="s">
        <v>65</v>
      </c>
      <c r="H53" s="200"/>
      <c r="I53" s="200" t="s">
        <v>67</v>
      </c>
      <c r="J53" s="200"/>
      <c r="K53" s="200" t="s">
        <v>66</v>
      </c>
      <c r="L53" s="200"/>
      <c r="M53" s="200" t="s">
        <v>38</v>
      </c>
      <c r="N53" s="200"/>
      <c r="O53" s="54"/>
      <c r="P53" s="55"/>
      <c r="Q53" s="56"/>
      <c r="R53" s="56"/>
      <c r="S53" s="15"/>
    </row>
    <row r="54" spans="1:19" ht="20.25" customHeight="1" x14ac:dyDescent="0.2">
      <c r="A54" s="17"/>
      <c r="B54" s="51"/>
      <c r="C54" s="103" t="s">
        <v>25</v>
      </c>
      <c r="D54" s="104"/>
      <c r="E54" s="105" t="s">
        <v>15</v>
      </c>
      <c r="F54" s="104"/>
      <c r="G54" s="105" t="s">
        <v>21</v>
      </c>
      <c r="H54" s="106"/>
      <c r="I54" s="105" t="s">
        <v>27</v>
      </c>
      <c r="J54" s="106"/>
      <c r="K54" s="107" t="s">
        <v>34</v>
      </c>
      <c r="L54" s="108"/>
      <c r="M54" s="105" t="s">
        <v>39</v>
      </c>
      <c r="N54" s="106"/>
      <c r="O54" s="57"/>
      <c r="P54" s="58"/>
      <c r="Q54" s="59"/>
      <c r="R54" s="58"/>
      <c r="S54" s="15"/>
    </row>
    <row r="55" spans="1:19" ht="20.25" customHeight="1" x14ac:dyDescent="0.2">
      <c r="A55" s="17"/>
      <c r="B55" s="51"/>
      <c r="C55" s="109"/>
      <c r="D55" s="110"/>
      <c r="E55" s="111" t="s">
        <v>17</v>
      </c>
      <c r="F55" s="110"/>
      <c r="G55" s="111" t="s">
        <v>22</v>
      </c>
      <c r="H55" s="112"/>
      <c r="I55" s="111" t="s">
        <v>24</v>
      </c>
      <c r="J55" s="112"/>
      <c r="K55" s="69" t="s">
        <v>26</v>
      </c>
      <c r="L55" s="113"/>
      <c r="M55" s="114"/>
      <c r="N55" s="112"/>
      <c r="O55" s="57"/>
      <c r="P55" s="58"/>
      <c r="Q55" s="59"/>
      <c r="R55" s="58"/>
      <c r="S55" s="15"/>
    </row>
    <row r="56" spans="1:19" ht="20.25" customHeight="1" x14ac:dyDescent="0.2">
      <c r="A56" s="17"/>
      <c r="B56" s="51"/>
      <c r="C56" s="109"/>
      <c r="D56" s="115"/>
      <c r="E56" s="111" t="s">
        <v>19</v>
      </c>
      <c r="F56" s="115"/>
      <c r="H56" s="115"/>
      <c r="I56" s="111" t="s">
        <v>42</v>
      </c>
      <c r="J56" s="115"/>
      <c r="K56" s="116" t="s">
        <v>43</v>
      </c>
      <c r="L56" s="76"/>
      <c r="M56" s="109"/>
      <c r="N56" s="115"/>
      <c r="O56" s="50"/>
      <c r="P56" s="15"/>
      <c r="Q56" s="60"/>
      <c r="R56" s="15"/>
      <c r="S56" s="15"/>
    </row>
    <row r="57" spans="1:19" ht="20.25" customHeight="1" x14ac:dyDescent="0.2">
      <c r="A57" s="17"/>
      <c r="B57" s="51"/>
      <c r="C57" s="109"/>
      <c r="D57" s="115"/>
      <c r="E57" s="111" t="s">
        <v>18</v>
      </c>
      <c r="F57" s="115"/>
      <c r="G57" s="109"/>
      <c r="H57" s="115"/>
      <c r="J57" s="115"/>
      <c r="K57" s="116" t="s">
        <v>44</v>
      </c>
      <c r="L57" s="69"/>
      <c r="M57" s="109"/>
      <c r="N57" s="115"/>
      <c r="O57" s="50"/>
      <c r="P57" s="15"/>
      <c r="Q57" s="15"/>
      <c r="R57" s="15"/>
      <c r="S57" s="15"/>
    </row>
    <row r="58" spans="1:19" ht="20.25" customHeight="1" x14ac:dyDescent="0.2">
      <c r="A58" s="17"/>
      <c r="B58" s="51"/>
      <c r="C58" s="117"/>
      <c r="D58" s="118"/>
      <c r="E58" s="119" t="s">
        <v>16</v>
      </c>
      <c r="F58" s="118"/>
      <c r="G58" s="117"/>
      <c r="H58" s="118"/>
      <c r="I58" s="117"/>
      <c r="J58" s="118"/>
      <c r="K58" s="120"/>
      <c r="L58" s="61"/>
      <c r="M58" s="117"/>
      <c r="N58" s="118"/>
      <c r="O58" s="50"/>
      <c r="P58" s="15"/>
      <c r="Q58" s="15"/>
      <c r="R58" s="15"/>
      <c r="S58" s="15"/>
    </row>
    <row r="59" spans="1:19" ht="14.25" customHeight="1" x14ac:dyDescent="0.2">
      <c r="B59" s="51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50"/>
      <c r="P59" s="15"/>
      <c r="Q59" s="15"/>
      <c r="R59" s="15"/>
      <c r="S59" s="15"/>
    </row>
  </sheetData>
  <mergeCells count="65">
    <mergeCell ref="I7:J8"/>
    <mergeCell ref="K7:L8"/>
    <mergeCell ref="C7:D8"/>
    <mergeCell ref="E7:F8"/>
    <mergeCell ref="G7:H8"/>
    <mergeCell ref="Q6:R6"/>
    <mergeCell ref="C34:D34"/>
    <mergeCell ref="E34:F34"/>
    <mergeCell ref="E33:F33"/>
    <mergeCell ref="E32:F32"/>
    <mergeCell ref="G29:H29"/>
    <mergeCell ref="I31:J31"/>
    <mergeCell ref="M15:N15"/>
    <mergeCell ref="M14:N14"/>
    <mergeCell ref="M19:N19"/>
    <mergeCell ref="M18:N18"/>
    <mergeCell ref="G32:H32"/>
    <mergeCell ref="C32:D32"/>
    <mergeCell ref="C33:D33"/>
    <mergeCell ref="Q12:R12"/>
    <mergeCell ref="Q13:R13"/>
    <mergeCell ref="E31:F31"/>
    <mergeCell ref="G31:H31"/>
    <mergeCell ref="G30:H30"/>
    <mergeCell ref="G34:H34"/>
    <mergeCell ref="G33:H33"/>
    <mergeCell ref="I27:J27"/>
    <mergeCell ref="I26:J26"/>
    <mergeCell ref="K19:L19"/>
    <mergeCell ref="K24:L24"/>
    <mergeCell ref="K23:L23"/>
    <mergeCell ref="K22:L22"/>
    <mergeCell ref="K21:L21"/>
    <mergeCell ref="K20:L20"/>
    <mergeCell ref="C53:D53"/>
    <mergeCell ref="E53:F53"/>
    <mergeCell ref="C39:D39"/>
    <mergeCell ref="E38:F38"/>
    <mergeCell ref="G53:H53"/>
    <mergeCell ref="G51:L51"/>
    <mergeCell ref="K53:L53"/>
    <mergeCell ref="C35:D35"/>
    <mergeCell ref="C36:D36"/>
    <mergeCell ref="C52:D52"/>
    <mergeCell ref="E52:F52"/>
    <mergeCell ref="C37:D37"/>
    <mergeCell ref="E36:F36"/>
    <mergeCell ref="E35:F35"/>
    <mergeCell ref="M53:N53"/>
    <mergeCell ref="G52:H52"/>
    <mergeCell ref="I30:J30"/>
    <mergeCell ref="I29:J29"/>
    <mergeCell ref="I28:J28"/>
    <mergeCell ref="I52:J52"/>
    <mergeCell ref="K52:L52"/>
    <mergeCell ref="M52:N52"/>
    <mergeCell ref="I53:J53"/>
    <mergeCell ref="M17:N17"/>
    <mergeCell ref="Q7:R7"/>
    <mergeCell ref="Q8:R8"/>
    <mergeCell ref="Q9:R9"/>
    <mergeCell ref="Q10:R10"/>
    <mergeCell ref="Q11:R11"/>
    <mergeCell ref="M16:N16"/>
    <mergeCell ref="M7:N8"/>
  </mergeCells>
  <pageMargins left="0" right="0" top="0.19685039370078741" bottom="0.15748031496062992" header="0.31496062992125984" footer="0.31496062992125984"/>
  <pageSetup paperSize="5"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D6A51ECF5F134AAEBC84C21F0FDA50" ma:contentTypeVersion="7" ma:contentTypeDescription="Crée un document." ma:contentTypeScope="" ma:versionID="2e41db8e3c334a4ba34e47ddf569844e">
  <xsd:schema xmlns:xsd="http://www.w3.org/2001/XMLSchema" xmlns:xs="http://www.w3.org/2001/XMLSchema" xmlns:p="http://schemas.microsoft.com/office/2006/metadata/properties" xmlns:ns2="afb0ecf7-971c-4969-9db3-b818acb6cec6" targetNamespace="http://schemas.microsoft.com/office/2006/metadata/properties" ma:root="true" ma:fieldsID="fe5be6e9f13527d751b4851f78d8c2d2" ns2:_="">
    <xsd:import namespace="afb0ecf7-971c-4969-9db3-b818acb6c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0ecf7-971c-4969-9db3-b818acb6ce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02966B-35F2-42EA-8B0F-2337BC3803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b0ecf7-971c-4969-9db3-b818acb6c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9800A6-3808-40F9-A766-644FFBE4AD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2698F-D570-40E7-B579-0F916B3EC731}">
  <ds:schemaRefs>
    <ds:schemaRef ds:uri="http://purl.org/dc/elements/1.1/"/>
    <ds:schemaRef ds:uri="http://schemas.microsoft.com/office/2006/metadata/properties"/>
    <ds:schemaRef ds:uri="afb0ecf7-971c-4969-9db3-b818acb6cec6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Structure proposée par ARH</vt:lpstr>
      <vt:lpstr>Structure proposée  Pat</vt:lpstr>
      <vt:lpstr>Structure actuelle</vt:lpstr>
      <vt:lpstr>'Structure actuelle'!Zone_d_impression</vt:lpstr>
      <vt:lpstr>'Structure proposée  Pat'!Zone_d_impression</vt:lpstr>
      <vt:lpstr>'Structure proposée par ARH'!Zone_d_impression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Alternative RH</dc:creator>
  <cp:lastModifiedBy>Modele</cp:lastModifiedBy>
  <cp:lastPrinted>2019-08-30T16:03:57Z</cp:lastPrinted>
  <dcterms:created xsi:type="dcterms:W3CDTF">2013-03-19T13:19:10Z</dcterms:created>
  <dcterms:modified xsi:type="dcterms:W3CDTF">2019-09-04T16:08:01Z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0x0101008CD6A51ECF5F134AAEBC84C21F0FDA50</vt:lpwstr>
  </property>
</Properties>
</file>