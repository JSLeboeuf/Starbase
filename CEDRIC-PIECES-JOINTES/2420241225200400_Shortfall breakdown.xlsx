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in\Desktop\"/>
    </mc:Choice>
  </mc:AlternateContent>
  <xr:revisionPtr revIDLastSave="0" documentId="13_ncr:1_{57625716-AF97-4E6B-9102-93F68365B51E}" xr6:coauthVersionLast="47" xr6:coauthVersionMax="47" xr10:uidLastSave="{00000000-0000-0000-0000-000000000000}"/>
  <bookViews>
    <workbookView xWindow="-28920" yWindow="705" windowWidth="29040" windowHeight="15720" xr2:uid="{4EB1C003-AC20-4C94-8377-1D0D6E944E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19" i="1"/>
  <c r="D19" i="1"/>
  <c r="B19" i="1"/>
  <c r="B21" i="1" s="1"/>
  <c r="C10" i="1"/>
  <c r="C4" i="1"/>
  <c r="D4" i="1"/>
  <c r="D14" i="1" s="1"/>
  <c r="D16" i="1" s="1"/>
  <c r="B4" i="1"/>
  <c r="B14" i="1" s="1"/>
  <c r="B16" i="1" s="1"/>
  <c r="C23" i="1"/>
  <c r="B23" i="1"/>
  <c r="C21" i="1"/>
  <c r="D21" i="1"/>
  <c r="D22" i="1" s="1"/>
  <c r="C14" i="1" l="1"/>
  <c r="C16" i="1" s="1"/>
</calcChain>
</file>

<file path=xl/sharedStrings.xml><?xml version="1.0" encoding="utf-8"?>
<sst xmlns="http://schemas.openxmlformats.org/spreadsheetml/2006/main" count="21" uniqueCount="20">
  <si>
    <t>Y1GQ - 2023</t>
  </si>
  <si>
    <t>Annual/prorated target</t>
  </si>
  <si>
    <t>Bonus/(shortfall)</t>
  </si>
  <si>
    <t>Practice actual EBIT</t>
  </si>
  <si>
    <t>Bonus amount 10%</t>
  </si>
  <si>
    <t>Shortfall Cap 10% of the annual/prorated target</t>
  </si>
  <si>
    <t>Doctor Revenue</t>
  </si>
  <si>
    <t>Hygiene Revenue</t>
  </si>
  <si>
    <t>Total Revenue</t>
  </si>
  <si>
    <t>Total Lab Fees</t>
  </si>
  <si>
    <t>Doctor Dental Draw</t>
  </si>
  <si>
    <t>Hygiene Dental Draw</t>
  </si>
  <si>
    <t>Admin Staff Costs</t>
  </si>
  <si>
    <t>Consumables</t>
  </si>
  <si>
    <t>Facility</t>
  </si>
  <si>
    <t>Administrative</t>
  </si>
  <si>
    <t>Selling and Marketing</t>
  </si>
  <si>
    <t>EBITDA</t>
  </si>
  <si>
    <t>CIC</t>
  </si>
  <si>
    <t>Net shortfall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</si>
</sst>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0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D623-A794-43B0-9A18-4074E27FDB07}">
  <dimension ref="A1:E31"/>
  <sheetViews>
    <sheetView tabSelected="1" workbookViewId="0">
      <selection activeCell="B25" sqref="B25"/>
    </sheetView>
  </sheetViews>
  <sheetFormatPr defaultRowHeight="15" x14ac:dyDescent="0.25"/>
  <cols>
    <col min="1" max="1" width="43.140625" bestFit="1" customWidth="1"/>
    <col min="2" max="4" width="20.140625" style="2" customWidth="1"/>
    <col min="5" max="5" width="18.140625" style="2" bestFit="1" customWidth="1"/>
    <col min="6" max="16384" width="9.140625" style="2"/>
  </cols>
  <sheetData>
    <row r="1" spans="1:4" customFormat="1" x14ac:dyDescent="0.25">
      <c r="B1" s="1">
        <v>2022</v>
      </c>
      <c r="C1" s="1">
        <v>2023</v>
      </c>
      <c r="D1" s="1" t="s">
        <v>0</v>
      </c>
    </row>
    <row r="2" spans="1:4" customFormat="1" x14ac:dyDescent="0.25">
      <c r="A2" t="s">
        <v>6</v>
      </c>
      <c r="B2" s="3">
        <v>8322653.8699999973</v>
      </c>
      <c r="C2" s="3">
        <v>14630531.560000004</v>
      </c>
      <c r="D2" s="3">
        <v>1829261.03</v>
      </c>
    </row>
    <row r="3" spans="1:4" customFormat="1" x14ac:dyDescent="0.25">
      <c r="A3" t="s">
        <v>7</v>
      </c>
      <c r="B3" s="3">
        <v>3073802.7699999996</v>
      </c>
      <c r="C3" s="3">
        <v>5167440.3300000019</v>
      </c>
      <c r="D3" s="3">
        <v>209243.54</v>
      </c>
    </row>
    <row r="4" spans="1:4" customFormat="1" x14ac:dyDescent="0.25">
      <c r="A4" t="s">
        <v>8</v>
      </c>
      <c r="B4" s="4">
        <f>SUM(B2:B3)</f>
        <v>11396456.639999997</v>
      </c>
      <c r="C4" s="4">
        <f t="shared" ref="C4:D4" si="0">SUM(C2:C3)</f>
        <v>19797971.890000008</v>
      </c>
      <c r="D4" s="4">
        <f t="shared" si="0"/>
        <v>2038504.57</v>
      </c>
    </row>
    <row r="5" spans="1:4" customFormat="1" x14ac:dyDescent="0.25">
      <c r="B5" s="3"/>
      <c r="C5" s="3"/>
      <c r="D5" s="3"/>
    </row>
    <row r="6" spans="1:4" customFormat="1" x14ac:dyDescent="0.25">
      <c r="A6" t="s">
        <v>9</v>
      </c>
      <c r="B6" s="3">
        <v>392062.95</v>
      </c>
      <c r="C6" s="3">
        <v>705001.62999999896</v>
      </c>
      <c r="D6" s="3">
        <v>120969.78999999998</v>
      </c>
    </row>
    <row r="7" spans="1:4" customFormat="1" x14ac:dyDescent="0.25">
      <c r="A7" t="s">
        <v>10</v>
      </c>
      <c r="B7" s="3">
        <v>3599123.48</v>
      </c>
      <c r="C7" s="3">
        <v>6314439.1700000064</v>
      </c>
      <c r="D7" s="3">
        <v>653920.82999999996</v>
      </c>
    </row>
    <row r="8" spans="1:4" customFormat="1" x14ac:dyDescent="0.25">
      <c r="A8" t="s">
        <v>11</v>
      </c>
      <c r="B8" s="3">
        <v>1473934.3400000005</v>
      </c>
      <c r="C8" s="3">
        <v>2447642.41</v>
      </c>
      <c r="D8" s="3">
        <v>290201.09000000008</v>
      </c>
    </row>
    <row r="9" spans="1:4" customFormat="1" x14ac:dyDescent="0.25">
      <c r="A9" t="s">
        <v>12</v>
      </c>
      <c r="B9" s="3">
        <v>2414327.4400000004</v>
      </c>
      <c r="C9" s="3">
        <v>3783971.7800000054</v>
      </c>
      <c r="D9" s="3">
        <v>315674.53000000003</v>
      </c>
    </row>
    <row r="10" spans="1:4" customFormat="1" x14ac:dyDescent="0.25">
      <c r="A10" t="s">
        <v>13</v>
      </c>
      <c r="B10" s="3">
        <v>728385.67999999993</v>
      </c>
      <c r="C10" s="3">
        <f>1116887.75</f>
        <v>1116887.75</v>
      </c>
      <c r="D10" s="3">
        <v>100651.55</v>
      </c>
    </row>
    <row r="11" spans="1:4" customFormat="1" x14ac:dyDescent="0.25">
      <c r="A11" t="s">
        <v>14</v>
      </c>
      <c r="B11" s="3">
        <v>588401.84</v>
      </c>
      <c r="C11" s="3">
        <v>973081.47999999963</v>
      </c>
      <c r="D11" s="3">
        <v>67347.94</v>
      </c>
    </row>
    <row r="12" spans="1:4" customFormat="1" x14ac:dyDescent="0.25">
      <c r="A12" t="s">
        <v>15</v>
      </c>
      <c r="B12" s="3">
        <v>442275.76000000018</v>
      </c>
      <c r="C12" s="3">
        <v>950108.16999999853</v>
      </c>
      <c r="D12" s="3">
        <v>64962.570000000014</v>
      </c>
    </row>
    <row r="13" spans="1:4" customFormat="1" x14ac:dyDescent="0.25">
      <c r="A13" t="s">
        <v>16</v>
      </c>
      <c r="B13" s="3">
        <v>11044.470000000001</v>
      </c>
      <c r="C13" s="3">
        <v>34573.46</v>
      </c>
      <c r="D13" s="3">
        <v>2121.19</v>
      </c>
    </row>
    <row r="14" spans="1:4" customFormat="1" x14ac:dyDescent="0.25">
      <c r="A14" t="s">
        <v>17</v>
      </c>
      <c r="B14" s="4">
        <f>B4-SUM(B6:B13)</f>
        <v>1746900.679999996</v>
      </c>
      <c r="C14" s="4">
        <f t="shared" ref="C14:D14" si="1">C4-SUM(C6:C13)</f>
        <v>3472266.0399999991</v>
      </c>
      <c r="D14" s="4">
        <f t="shared" si="1"/>
        <v>422655.08000000007</v>
      </c>
    </row>
    <row r="15" spans="1:4" customFormat="1" x14ac:dyDescent="0.25">
      <c r="A15" t="s">
        <v>18</v>
      </c>
      <c r="B15" s="3">
        <v>3215.46</v>
      </c>
      <c r="C15" s="3">
        <v>51418.040000000015</v>
      </c>
      <c r="D15" s="3">
        <v>5061.8100000000004</v>
      </c>
    </row>
    <row r="16" spans="1:4" customFormat="1" x14ac:dyDescent="0.25">
      <c r="A16" t="s">
        <v>3</v>
      </c>
      <c r="B16" s="3">
        <f>B14-B15</f>
        <v>1743685.219999996</v>
      </c>
      <c r="C16" s="3">
        <f t="shared" ref="C16:D16" si="2">C14-C15</f>
        <v>3420847.9999999991</v>
      </c>
      <c r="D16" s="3">
        <f t="shared" si="2"/>
        <v>417593.27000000008</v>
      </c>
    </row>
    <row r="17" spans="1:5" customFormat="1" x14ac:dyDescent="0.25">
      <c r="B17" s="3"/>
      <c r="C17" s="3"/>
      <c r="D17" s="3"/>
    </row>
    <row r="18" spans="1:5" customFormat="1" x14ac:dyDescent="0.25">
      <c r="B18" s="1"/>
      <c r="C18" s="1"/>
      <c r="D18" s="1"/>
      <c r="E18" s="5"/>
    </row>
    <row r="19" spans="1:5" x14ac:dyDescent="0.25">
      <c r="A19" t="s">
        <v>3</v>
      </c>
      <c r="B19" s="3">
        <f>B16</f>
        <v>1743685.219999996</v>
      </c>
      <c r="C19" s="3">
        <f t="shared" ref="C19:D19" si="3">C16</f>
        <v>3420847.9999999991</v>
      </c>
      <c r="D19" s="3">
        <f t="shared" si="3"/>
        <v>417593.27000000008</v>
      </c>
    </row>
    <row r="20" spans="1:5" x14ac:dyDescent="0.25">
      <c r="A20" t="s">
        <v>1</v>
      </c>
      <c r="B20" s="3">
        <v>2561254</v>
      </c>
      <c r="C20" s="3">
        <v>4100253</v>
      </c>
      <c r="D20" s="3">
        <v>380395</v>
      </c>
    </row>
    <row r="21" spans="1:5" x14ac:dyDescent="0.25">
      <c r="A21" t="s">
        <v>2</v>
      </c>
      <c r="B21" s="3">
        <f>B19-B20</f>
        <v>-817568.78000000399</v>
      </c>
      <c r="C21" s="3">
        <f t="shared" ref="C21:D21" si="4">C19-C20</f>
        <v>-679405.00000000093</v>
      </c>
      <c r="D21" s="3">
        <f t="shared" si="4"/>
        <v>37198.270000000077</v>
      </c>
    </row>
    <row r="22" spans="1:5" x14ac:dyDescent="0.25">
      <c r="A22" t="s">
        <v>4</v>
      </c>
      <c r="B22" s="3"/>
      <c r="C22" s="3"/>
      <c r="D22" s="3">
        <f t="shared" ref="D22" si="5">0.1*D21</f>
        <v>3719.827000000008</v>
      </c>
    </row>
    <row r="23" spans="1:5" x14ac:dyDescent="0.25">
      <c r="A23" t="s">
        <v>5</v>
      </c>
      <c r="B23" s="3">
        <f>-0.1*B20</f>
        <v>-256125.40000000002</v>
      </c>
      <c r="C23" s="3">
        <f>-0.1*C20</f>
        <v>-410025.30000000005</v>
      </c>
      <c r="D23" s="3"/>
    </row>
    <row r="24" spans="1:5" x14ac:dyDescent="0.25">
      <c r="A24" t="s">
        <v>19</v>
      </c>
      <c r="B24" s="3">
        <f>B23+C23+D22</f>
        <v>-662430.87300000002</v>
      </c>
      <c r="C24" s="3"/>
      <c r="D24" s="3"/>
    </row>
    <row r="25" spans="1:5" x14ac:dyDescent="0.25">
      <c r="B25" s="3"/>
      <c r="C25" s="3"/>
      <c r="D25" s="3"/>
    </row>
    <row r="26" spans="1:5" x14ac:dyDescent="0.25">
      <c r="B26" s="3"/>
      <c r="C26" s="3"/>
      <c r="D26" s="3"/>
    </row>
    <row r="27" spans="1:5" x14ac:dyDescent="0.25">
      <c r="B27" s="3"/>
      <c r="C27" s="3"/>
      <c r="D27" s="3"/>
    </row>
    <row r="28" spans="1:5" x14ac:dyDescent="0.25">
      <c r="B28" s="3"/>
      <c r="C28" s="3"/>
      <c r="D28" s="3"/>
    </row>
    <row r="29" spans="1:5" x14ac:dyDescent="0.25">
      <c r="B29" s="3"/>
      <c r="C29" s="3"/>
      <c r="D29" s="3"/>
    </row>
    <row r="30" spans="1:5" x14ac:dyDescent="0.25">
      <c r="B30" s="3"/>
      <c r="C30" s="3"/>
      <c r="D30" s="3"/>
    </row>
    <row r="31" spans="1:5" x14ac:dyDescent="0.25">
      <c r="B31" s="3"/>
      <c r="C31" s="3"/>
      <c r="D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Tin</dc:creator>
  <cp:lastModifiedBy>Laura Tin</cp:lastModifiedBy>
  <dcterms:created xsi:type="dcterms:W3CDTF">2024-09-20T16:56:04Z</dcterms:created>
  <dcterms:modified xsi:type="dcterms:W3CDTF">2024-09-20T17:41:51Z</dcterms:modified>
</cp:coreProperties>
</file>