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ique-sebastienforest/Desktop/Cedric/"/>
    </mc:Choice>
  </mc:AlternateContent>
  <xr:revisionPtr revIDLastSave="0" documentId="13_ncr:1_{9E6AF696-D5C1-8843-9716-21AB3196DCDD}" xr6:coauthVersionLast="47" xr6:coauthVersionMax="47" xr10:uidLastSave="{00000000-0000-0000-0000-000000000000}"/>
  <bookViews>
    <workbookView xWindow="4040" yWindow="2540" windowWidth="38380" windowHeight="23160" tabRatio="736" activeTab="3" xr2:uid="{B400E952-C61B-4198-9F9B-695C3EB2CB5F}"/>
  </bookViews>
  <sheets>
    <sheet name="Captable 2021" sheetId="9" r:id="rId1"/>
    <sheet name="Captable - rachat par 9449" sheetId="1" r:id="rId2"/>
    <sheet name="Captable - KISS oct 2022" sheetId="10" r:id="rId3"/>
    <sheet name="Captable - Ronde A March 2024" sheetId="11" r:id="rId4"/>
  </sheets>
  <externalReferences>
    <externalReference r:id="rId5"/>
  </externalReferences>
  <definedNames>
    <definedName name="_xlnm.Print_Area" localSheetId="2">'Captable - KISS oct 2022'!$A$1:$J$62</definedName>
    <definedName name="_xlnm.Print_Area" localSheetId="1">'Captable - rachat par 9449'!$A$1:$I$47</definedName>
    <definedName name="_xlnm.Print_Area" localSheetId="3">'Captable - Ronde A March 2024'!$A$1:$R$69</definedName>
    <definedName name="_xlnm.Print_Area" localSheetId="0">'Captable 2021'!$A$1:$I$48</definedName>
    <definedName name="version">[1]Constants!$A$2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6" i="11" l="1"/>
  <c r="R5" i="11"/>
  <c r="G46" i="11"/>
  <c r="F64" i="11"/>
  <c r="G54" i="11"/>
  <c r="G53" i="11"/>
  <c r="G52" i="11"/>
  <c r="G49" i="11"/>
  <c r="G41" i="11"/>
  <c r="L7" i="10"/>
  <c r="F65" i="11" l="1"/>
  <c r="P50" i="11"/>
  <c r="J50" i="11"/>
  <c r="P51" i="11"/>
  <c r="J51" i="11"/>
  <c r="G35" i="10"/>
  <c r="G36" i="10"/>
  <c r="G54" i="10"/>
  <c r="G58" i="10"/>
  <c r="F34" i="11"/>
  <c r="F35" i="11" s="1"/>
  <c r="P35" i="11" s="1"/>
  <c r="P66" i="11"/>
  <c r="G57" i="10"/>
  <c r="J64" i="11"/>
  <c r="J68" i="11"/>
  <c r="J59" i="11"/>
  <c r="J49" i="11"/>
  <c r="J48" i="11"/>
  <c r="J47" i="11"/>
  <c r="J46" i="11"/>
  <c r="J45" i="11"/>
  <c r="J44" i="11"/>
  <c r="J43" i="11"/>
  <c r="J42" i="11"/>
  <c r="J39" i="11"/>
  <c r="J38" i="11"/>
  <c r="J37" i="11"/>
  <c r="J33" i="11"/>
  <c r="J6" i="11"/>
  <c r="J7" i="11"/>
  <c r="J8" i="11"/>
  <c r="J9" i="11"/>
  <c r="J10" i="11"/>
  <c r="J11" i="11"/>
  <c r="J12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5" i="11"/>
  <c r="F46" i="1"/>
  <c r="F61" i="11"/>
  <c r="P62" i="11" s="1"/>
  <c r="E69" i="11"/>
  <c r="D69" i="11"/>
  <c r="C69" i="11"/>
  <c r="P68" i="11"/>
  <c r="P59" i="11"/>
  <c r="F57" i="11"/>
  <c r="P49" i="11"/>
  <c r="P48" i="11"/>
  <c r="P47" i="11"/>
  <c r="P46" i="11"/>
  <c r="P44" i="11"/>
  <c r="P43" i="11"/>
  <c r="P42" i="11"/>
  <c r="P41" i="11"/>
  <c r="P39" i="11"/>
  <c r="P38" i="11"/>
  <c r="P37" i="11"/>
  <c r="P33" i="11"/>
  <c r="B32" i="11"/>
  <c r="P32" i="11" s="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G13" i="11"/>
  <c r="J13" i="11" s="1"/>
  <c r="P12" i="11"/>
  <c r="P11" i="11"/>
  <c r="P10" i="11"/>
  <c r="P9" i="11"/>
  <c r="P8" i="11"/>
  <c r="P7" i="11"/>
  <c r="P6" i="11"/>
  <c r="P5" i="11"/>
  <c r="C62" i="10"/>
  <c r="D62" i="10"/>
  <c r="E62" i="10"/>
  <c r="F62" i="10"/>
  <c r="H49" i="10"/>
  <c r="G13" i="10"/>
  <c r="H13" i="10" s="1"/>
  <c r="H41" i="10"/>
  <c r="H47" i="10"/>
  <c r="H48" i="10"/>
  <c r="H50" i="10"/>
  <c r="G42" i="10"/>
  <c r="H42" i="10" s="1"/>
  <c r="B33" i="10"/>
  <c r="H33" i="10" s="1"/>
  <c r="H34" i="10"/>
  <c r="H55" i="10"/>
  <c r="H45" i="10"/>
  <c r="H44" i="10"/>
  <c r="H43" i="10"/>
  <c r="H40" i="10"/>
  <c r="H38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2" i="10"/>
  <c r="H11" i="10"/>
  <c r="H10" i="10"/>
  <c r="H9" i="10"/>
  <c r="H8" i="10"/>
  <c r="H7" i="10"/>
  <c r="H6" i="10"/>
  <c r="H5" i="10"/>
  <c r="F48" i="9"/>
  <c r="D48" i="9"/>
  <c r="C48" i="9"/>
  <c r="F47" i="9"/>
  <c r="G47" i="9" s="1"/>
  <c r="G44" i="9"/>
  <c r="G43" i="9"/>
  <c r="G42" i="9"/>
  <c r="G41" i="9"/>
  <c r="G40" i="9"/>
  <c r="G39" i="9"/>
  <c r="G38" i="9"/>
  <c r="G37" i="9"/>
  <c r="G36" i="9"/>
  <c r="G35" i="9"/>
  <c r="B34" i="9"/>
  <c r="B48" i="9" s="1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7" i="9"/>
  <c r="G6" i="9"/>
  <c r="G5" i="9"/>
  <c r="E4" i="9"/>
  <c r="E8" i="9" s="1"/>
  <c r="D4" i="9"/>
  <c r="C4" i="9"/>
  <c r="G69" i="11" l="1"/>
  <c r="J66" i="11"/>
  <c r="J41" i="11"/>
  <c r="J58" i="11"/>
  <c r="J40" i="11"/>
  <c r="P40" i="11"/>
  <c r="J35" i="11"/>
  <c r="J61" i="11"/>
  <c r="J62" i="11"/>
  <c r="J32" i="11"/>
  <c r="J57" i="11"/>
  <c r="J34" i="11"/>
  <c r="P64" i="11"/>
  <c r="P34" i="11"/>
  <c r="B69" i="11"/>
  <c r="H69" i="11"/>
  <c r="P57" i="11"/>
  <c r="P61" i="11"/>
  <c r="P13" i="11"/>
  <c r="B62" i="10"/>
  <c r="G53" i="10"/>
  <c r="H53" i="10" s="1"/>
  <c r="H61" i="10"/>
  <c r="H57" i="10"/>
  <c r="H39" i="10"/>
  <c r="G34" i="9"/>
  <c r="G8" i="9"/>
  <c r="E9" i="9"/>
  <c r="G9" i="9" s="1"/>
  <c r="P58" i="11" l="1"/>
  <c r="J65" i="11"/>
  <c r="P65" i="11"/>
  <c r="P69" i="11" s="1"/>
  <c r="Q50" i="11" s="1"/>
  <c r="F69" i="11"/>
  <c r="J69" i="11" s="1"/>
  <c r="K50" i="11" s="1"/>
  <c r="H58" i="10"/>
  <c r="H35" i="10"/>
  <c r="H54" i="10"/>
  <c r="G48" i="9"/>
  <c r="H43" i="9" s="1"/>
  <c r="E48" i="9"/>
  <c r="K64" i="11" l="1"/>
  <c r="K51" i="11"/>
  <c r="Q66" i="11"/>
  <c r="Q51" i="11"/>
  <c r="K68" i="11"/>
  <c r="K66" i="11"/>
  <c r="K49" i="11"/>
  <c r="K41" i="11"/>
  <c r="K34" i="11"/>
  <c r="K26" i="11"/>
  <c r="K18" i="11"/>
  <c r="K11" i="11"/>
  <c r="K19" i="11"/>
  <c r="K65" i="11"/>
  <c r="K48" i="11"/>
  <c r="K33" i="11"/>
  <c r="K25" i="11"/>
  <c r="K17" i="11"/>
  <c r="K10" i="11"/>
  <c r="K57" i="11"/>
  <c r="K47" i="11"/>
  <c r="K39" i="11"/>
  <c r="K32" i="11"/>
  <c r="K24" i="11"/>
  <c r="K9" i="11"/>
  <c r="K62" i="11"/>
  <c r="K46" i="11"/>
  <c r="K23" i="11"/>
  <c r="K16" i="11"/>
  <c r="K8" i="11"/>
  <c r="K35" i="11"/>
  <c r="K61" i="11"/>
  <c r="K38" i="11"/>
  <c r="K30" i="11"/>
  <c r="K22" i="11"/>
  <c r="K15" i="11"/>
  <c r="K7" i="11"/>
  <c r="K42" i="11"/>
  <c r="K59" i="11"/>
  <c r="K44" i="11"/>
  <c r="K37" i="11"/>
  <c r="K29" i="11"/>
  <c r="K21" i="11"/>
  <c r="K14" i="11"/>
  <c r="K6" i="11"/>
  <c r="K27" i="11"/>
  <c r="K58" i="11"/>
  <c r="K43" i="11"/>
  <c r="K28" i="11"/>
  <c r="K20" i="11"/>
  <c r="K13" i="11"/>
  <c r="K5" i="11"/>
  <c r="K12" i="11"/>
  <c r="K40" i="11"/>
  <c r="Q57" i="11"/>
  <c r="Q65" i="11"/>
  <c r="Q22" i="11"/>
  <c r="Q26" i="11"/>
  <c r="Q18" i="11"/>
  <c r="Q40" i="11"/>
  <c r="Q30" i="11"/>
  <c r="Q15" i="11"/>
  <c r="Q46" i="11"/>
  <c r="Q16" i="11"/>
  <c r="Q42" i="11"/>
  <c r="Q9" i="11"/>
  <c r="Q35" i="11"/>
  <c r="Q24" i="11"/>
  <c r="Q37" i="11"/>
  <c r="Q58" i="11"/>
  <c r="Q14" i="11"/>
  <c r="Q7" i="11"/>
  <c r="Q34" i="11"/>
  <c r="Q20" i="11"/>
  <c r="Q39" i="11"/>
  <c r="Q59" i="11"/>
  <c r="Q43" i="11"/>
  <c r="Q49" i="11"/>
  <c r="Q33" i="11"/>
  <c r="Q12" i="11"/>
  <c r="Q11" i="11"/>
  <c r="Q68" i="11"/>
  <c r="Q23" i="11"/>
  <c r="Q44" i="11"/>
  <c r="Q48" i="11"/>
  <c r="Q62" i="11"/>
  <c r="Q17" i="11"/>
  <c r="Q64" i="11"/>
  <c r="Q29" i="11"/>
  <c r="Q21" i="11"/>
  <c r="Q25" i="11"/>
  <c r="Q5" i="11"/>
  <c r="Q8" i="11"/>
  <c r="Q38" i="11"/>
  <c r="Q10" i="11"/>
  <c r="Q41" i="11"/>
  <c r="Q32" i="11"/>
  <c r="Q47" i="11"/>
  <c r="Q28" i="11"/>
  <c r="Q19" i="11"/>
  <c r="Q6" i="11"/>
  <c r="Q27" i="11"/>
  <c r="Q61" i="11"/>
  <c r="Q13" i="11"/>
  <c r="G62" i="10"/>
  <c r="H36" i="10"/>
  <c r="H62" i="10" s="1"/>
  <c r="H35" i="9"/>
  <c r="H17" i="9"/>
  <c r="H27" i="9"/>
  <c r="H25" i="9"/>
  <c r="H31" i="9"/>
  <c r="H15" i="9"/>
  <c r="H30" i="9"/>
  <c r="H33" i="9"/>
  <c r="H23" i="9"/>
  <c r="H24" i="9"/>
  <c r="H34" i="9"/>
  <c r="H22" i="9"/>
  <c r="H47" i="9"/>
  <c r="H10" i="9"/>
  <c r="H28" i="9"/>
  <c r="H40" i="9"/>
  <c r="H37" i="9"/>
  <c r="H19" i="9"/>
  <c r="H44" i="9"/>
  <c r="H45" i="9"/>
  <c r="H5" i="9"/>
  <c r="H16" i="9"/>
  <c r="H32" i="9"/>
  <c r="H20" i="9"/>
  <c r="H8" i="9"/>
  <c r="H13" i="9"/>
  <c r="H7" i="9"/>
  <c r="H38" i="9"/>
  <c r="H26" i="9"/>
  <c r="H41" i="9"/>
  <c r="H18" i="9"/>
  <c r="H12" i="9"/>
  <c r="H29" i="9"/>
  <c r="H11" i="9"/>
  <c r="H9" i="9"/>
  <c r="H21" i="9"/>
  <c r="H39" i="9"/>
  <c r="H14" i="9"/>
  <c r="H6" i="9"/>
  <c r="H42" i="9"/>
  <c r="H36" i="9"/>
  <c r="R64" i="11" l="1"/>
  <c r="R57" i="11"/>
  <c r="R32" i="11"/>
  <c r="M64" i="11"/>
  <c r="M32" i="11"/>
  <c r="M57" i="11"/>
  <c r="M61" i="11"/>
  <c r="M34" i="11"/>
  <c r="K69" i="11"/>
  <c r="K34" i="9"/>
  <c r="Q69" i="11"/>
  <c r="I55" i="10"/>
  <c r="H48" i="9"/>
  <c r="I41" i="10"/>
  <c r="I49" i="10"/>
  <c r="I50" i="10"/>
  <c r="I47" i="10"/>
  <c r="I48" i="10"/>
  <c r="I33" i="10"/>
  <c r="I34" i="10"/>
  <c r="I36" i="10"/>
  <c r="I35" i="10"/>
  <c r="I58" i="10"/>
  <c r="I57" i="10"/>
  <c r="I29" i="10"/>
  <c r="I7" i="10"/>
  <c r="I28" i="10"/>
  <c r="I5" i="10"/>
  <c r="I17" i="10"/>
  <c r="I20" i="10"/>
  <c r="I19" i="10"/>
  <c r="I16" i="10"/>
  <c r="I12" i="10"/>
  <c r="I14" i="10"/>
  <c r="I40" i="10"/>
  <c r="I15" i="10"/>
  <c r="I6" i="10"/>
  <c r="I61" i="10"/>
  <c r="I53" i="10"/>
  <c r="I24" i="10"/>
  <c r="I54" i="10"/>
  <c r="I18" i="10"/>
  <c r="I25" i="10"/>
  <c r="I27" i="10"/>
  <c r="I26" i="10"/>
  <c r="I30" i="10"/>
  <c r="I10" i="10"/>
  <c r="I44" i="10"/>
  <c r="I43" i="10"/>
  <c r="I13" i="10"/>
  <c r="I9" i="10"/>
  <c r="I23" i="10"/>
  <c r="I42" i="10"/>
  <c r="I21" i="10"/>
  <c r="I8" i="10"/>
  <c r="I31" i="10"/>
  <c r="I39" i="10"/>
  <c r="I38" i="10"/>
  <c r="I45" i="10"/>
  <c r="I11" i="10"/>
  <c r="I22" i="10"/>
  <c r="G46" i="1"/>
  <c r="F47" i="1"/>
  <c r="D47" i="1"/>
  <c r="C47" i="1"/>
  <c r="G43" i="1"/>
  <c r="G42" i="1"/>
  <c r="G41" i="1"/>
  <c r="G40" i="1"/>
  <c r="G39" i="1"/>
  <c r="G38" i="1"/>
  <c r="G37" i="1"/>
  <c r="G36" i="1"/>
  <c r="G35" i="1"/>
  <c r="B34" i="1"/>
  <c r="B47" i="1" s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7" i="1"/>
  <c r="G6" i="1"/>
  <c r="G5" i="1"/>
  <c r="E4" i="1"/>
  <c r="E8" i="1" s="1"/>
  <c r="D4" i="1"/>
  <c r="C4" i="1"/>
  <c r="N32" i="11" l="1"/>
  <c r="L35" i="10"/>
  <c r="L33" i="10"/>
  <c r="L57" i="10"/>
  <c r="I62" i="10"/>
  <c r="E9" i="1"/>
  <c r="G9" i="1" s="1"/>
  <c r="G8" i="1"/>
  <c r="G34" i="1"/>
  <c r="M34" i="10" l="1"/>
  <c r="G47" i="1"/>
  <c r="E47" i="1"/>
  <c r="H34" i="1" l="1"/>
  <c r="H35" i="1"/>
  <c r="H8" i="1"/>
  <c r="H19" i="1"/>
  <c r="H17" i="1"/>
  <c r="H15" i="1"/>
  <c r="H13" i="1"/>
  <c r="H11" i="1"/>
  <c r="H7" i="1"/>
  <c r="H5" i="1"/>
  <c r="H44" i="1"/>
  <c r="H18" i="1"/>
  <c r="H16" i="1"/>
  <c r="H14" i="1"/>
  <c r="H12" i="1"/>
  <c r="H10" i="1"/>
  <c r="H6" i="1"/>
  <c r="H21" i="1"/>
  <c r="H38" i="1"/>
  <c r="H43" i="1"/>
  <c r="H29" i="1"/>
  <c r="H31" i="1"/>
  <c r="H26" i="1"/>
  <c r="H24" i="1"/>
  <c r="H25" i="1"/>
  <c r="H27" i="1"/>
  <c r="H23" i="1"/>
  <c r="H22" i="1"/>
  <c r="H20" i="1"/>
  <c r="H33" i="1"/>
  <c r="H42" i="1"/>
  <c r="H37" i="1"/>
  <c r="H28" i="1"/>
  <c r="H40" i="1"/>
  <c r="H41" i="1"/>
  <c r="H32" i="1"/>
  <c r="H46" i="1"/>
  <c r="H36" i="1"/>
  <c r="H30" i="1"/>
  <c r="H39" i="1"/>
  <c r="H9" i="1"/>
  <c r="K34" i="1" l="1"/>
  <c r="H4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Thomas-Louis Lafleur</author>
  </authors>
  <commentList>
    <comment ref="A16" authorId="0" shapeId="0" xr:uid="{C54B7A91-DB6A-4A18-BF70-8A45C7D05402}">
      <text>
        <r>
          <rPr>
            <b/>
            <sz val="9"/>
            <color indexed="81"/>
            <rFont val="Tahoma"/>
            <family val="2"/>
          </rPr>
          <t>Thomas-Louis Lafleur:</t>
        </r>
        <r>
          <rPr>
            <sz val="9"/>
            <color indexed="81"/>
            <rFont val="Tahoma"/>
            <family val="2"/>
          </rPr>
          <t xml:space="preserve">
CAROLINE ROY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Thomas-Louis Lafleur</author>
  </authors>
  <commentList>
    <comment ref="A16" authorId="0" shapeId="0" xr:uid="{3CA0651C-55C7-43DC-B142-DCF109AC7725}">
      <text>
        <r>
          <rPr>
            <b/>
            <sz val="9"/>
            <color indexed="81"/>
            <rFont val="Tahoma"/>
            <family val="2"/>
          </rPr>
          <t>Thomas-Louis Lafleur:</t>
        </r>
        <r>
          <rPr>
            <sz val="9"/>
            <color indexed="81"/>
            <rFont val="Tahoma"/>
            <family val="2"/>
          </rPr>
          <t xml:space="preserve">
CAROLINE ROY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Thomas-Louis Lafleur</author>
  </authors>
  <commentList>
    <comment ref="A14" authorId="0" shapeId="0" xr:uid="{AB1DBC87-68B9-4F4A-A80C-223A3A992DF6}">
      <text>
        <r>
          <rPr>
            <b/>
            <sz val="9"/>
            <color rgb="FF000000"/>
            <rFont val="Tahoma"/>
            <family val="2"/>
          </rPr>
          <t>Thomas-Louis Lafleur: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CAROLINE ROY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Thomas-Louis Lafleur</author>
  </authors>
  <commentList>
    <comment ref="A14" authorId="0" shapeId="0" xr:uid="{6D430D72-2673-4797-A510-82F90286E636}">
      <text>
        <r>
          <rPr>
            <b/>
            <sz val="9"/>
            <color rgb="FF000000"/>
            <rFont val="Tahoma"/>
            <family val="2"/>
          </rPr>
          <t>Thomas-Louis Lafleur: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CAROLINE ROY
</t>
        </r>
      </text>
    </comment>
  </commentList>
</comments>
</file>

<file path=xl/sharedStrings.xml><?xml version="1.0" encoding="utf-8"?>
<sst xmlns="http://schemas.openxmlformats.org/spreadsheetml/2006/main" count="248" uniqueCount="93">
  <si>
    <t>Détenteur</t>
  </si>
  <si>
    <t>Actions ordinaires</t>
  </si>
  <si>
    <t>Actions privilégies de catégorie A-1</t>
  </si>
  <si>
    <t>Actions privilégies de catégorie A-2</t>
  </si>
  <si>
    <t>Actions privilégies de catégorie A-3</t>
  </si>
  <si>
    <t>Options</t>
  </si>
  <si>
    <t>Total (Pleinement dilué)</t>
  </si>
  <si>
    <t>% (Pleinement dilué)</t>
  </si>
  <si>
    <t>Value per share</t>
  </si>
  <si>
    <t>Investissement Québec</t>
  </si>
  <si>
    <t>TG Investment Club</t>
  </si>
  <si>
    <t>The Robert Luxenberg Family Trust</t>
  </si>
  <si>
    <t xml:space="preserve">KISS investors - expected 550k in total, with discount </t>
  </si>
  <si>
    <t>KISS 2X Bons de Souscription</t>
  </si>
  <si>
    <t xml:space="preserve">9230-4971 Quebec inc. (Robin Fortier) </t>
  </si>
  <si>
    <t>Angela Yu</t>
  </si>
  <si>
    <t>Anthony Cormier</t>
  </si>
  <si>
    <t>Vicky Petitpas</t>
  </si>
  <si>
    <t xml:space="preserve">Base Capital Inc. (Bernard Prevost) </t>
  </si>
  <si>
    <t>Carl Patenaude-Poulin</t>
  </si>
  <si>
    <t>Caroline / Isabelle Roy</t>
  </si>
  <si>
    <t>Isabelle Roy</t>
  </si>
  <si>
    <t>Claude Lafleur</t>
  </si>
  <si>
    <t>Clément Dévoddère</t>
  </si>
  <si>
    <t>Cody Patton</t>
  </si>
  <si>
    <t>David Gervais</t>
  </si>
  <si>
    <t>Ethan Wilding</t>
  </si>
  <si>
    <t>Genevieve Dupuy</t>
  </si>
  <si>
    <t xml:space="preserve">Gestion Simovex 9125-3534 Quebec inc. (Joel Simard) </t>
  </si>
  <si>
    <t xml:space="preserve">Investissements Guillaume Roy inc. </t>
  </si>
  <si>
    <t>Jonathan El-Chalouhi</t>
  </si>
  <si>
    <t>Marc Healy</t>
  </si>
  <si>
    <t>Marc-Antoine Bovet</t>
  </si>
  <si>
    <t>Mehdi Perrault</t>
  </si>
  <si>
    <t>Patrick Maximé</t>
  </si>
  <si>
    <t>Ramy Fahmy-Demian</t>
  </si>
  <si>
    <t>Sarah Parrot</t>
  </si>
  <si>
    <t>Simon Naylor</t>
  </si>
  <si>
    <t>9449-4796 Quebec Inc (Sonia Boutin et Marc Airoldi)</t>
  </si>
  <si>
    <t>9449-4796/Sonia (actions en lien avec le rachat TLL)</t>
  </si>
  <si>
    <t>Sophie Boulanger</t>
  </si>
  <si>
    <t xml:space="preserve">StrategyTap Inc. (ME Prevost) </t>
  </si>
  <si>
    <t>StrategyTap Inc. (ME Prevost) attribution options pour CEO</t>
  </si>
  <si>
    <t xml:space="preserve">TG Consulting inc. </t>
  </si>
  <si>
    <t>Vincent Martel</t>
  </si>
  <si>
    <t>Véronique Bérubé</t>
  </si>
  <si>
    <t xml:space="preserve">Wizer &amp; Co. Consultation inc. </t>
  </si>
  <si>
    <t>Éric Harvey</t>
  </si>
  <si>
    <t>Investor Bons de Souscription</t>
  </si>
  <si>
    <t>Ronde A - automne/hiver 2022, levée de 3M @ 18M valo (14.35%)</t>
  </si>
  <si>
    <t>Options Réservé et disponible pour émission (reload ronde A)</t>
  </si>
  <si>
    <t>Total</t>
  </si>
  <si>
    <t>Groupe Sonia paie 600k</t>
  </si>
  <si>
    <t>KISS 9449-4796</t>
  </si>
  <si>
    <t>KISS 9449-4796 2X Bons de Souscription</t>
  </si>
  <si>
    <t>Options et Bons de souscription</t>
  </si>
  <si>
    <t xml:space="preserve">Other KISS investors - expected 90k in total, with discount </t>
  </si>
  <si>
    <t>Luis Dobbel - Développeur Options</t>
  </si>
  <si>
    <t>Mathieu Roy - CTO Options</t>
  </si>
  <si>
    <t>Groupe 9449</t>
  </si>
  <si>
    <t>Other KISS</t>
  </si>
  <si>
    <t>Carl Patenaude - Développeur Options</t>
  </si>
  <si>
    <t>Adrien Gobeil - Développeur Options</t>
  </si>
  <si>
    <t>TG Consulting inc. - CEO in residence, milestone Ronde A</t>
  </si>
  <si>
    <t>Tootelo Bons de Souscription avec milestones X10</t>
  </si>
  <si>
    <t xml:space="preserve">Tootelo - KISS investors - 250k, with discount </t>
  </si>
  <si>
    <t>Tootelo - KISS 2X Bons de Souscription</t>
  </si>
  <si>
    <t>Groupe Tootelo</t>
  </si>
  <si>
    <t>Actions privilégies de catégorie A-4</t>
  </si>
  <si>
    <t>% (Non dilué)</t>
  </si>
  <si>
    <t>Groupe Thomas-Louis Lafleur</t>
  </si>
  <si>
    <t>Medzy - Captable Décembre 2021</t>
  </si>
  <si>
    <t>Medzy - Captable 31 janiver 2022</t>
  </si>
  <si>
    <t>Bons de souscription</t>
  </si>
  <si>
    <t>Total (Non-dilué, mais incluant Options)</t>
  </si>
  <si>
    <t xml:space="preserve">Tootelo Bons de Souscription avec milestones X10 </t>
  </si>
  <si>
    <t>Captable Medzy - March 2022</t>
  </si>
  <si>
    <t xml:space="preserve">Other KISS investors - expected 164k in total, with discount </t>
  </si>
  <si>
    <t>TG Consulting inc. V2</t>
  </si>
  <si>
    <t>Karine Degré - BD Options</t>
  </si>
  <si>
    <t>Anthony - HO Options</t>
  </si>
  <si>
    <t>TG</t>
  </si>
  <si>
    <t>Captable Medzy - NOW (après Tootelo et KISS)</t>
  </si>
  <si>
    <t>Sitech</t>
  </si>
  <si>
    <t>Eric Leduc</t>
  </si>
  <si>
    <t>Didier Tran</t>
  </si>
  <si>
    <t>Investor A ($1.75M)</t>
  </si>
  <si>
    <t>Investissement Quebec ($750,000)</t>
  </si>
  <si>
    <t>Other</t>
  </si>
  <si>
    <t>IQ</t>
  </si>
  <si>
    <t>Sonia &amp; Marc</t>
  </si>
  <si>
    <t>Tootelo</t>
  </si>
  <si>
    <t>New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</si>
</sst>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&quot;$&quot;#,##0.0000;[Red]\-&quot;$&quot;#,##0.0000"/>
    <numFmt numFmtId="166" formatCode="_(* #,##0_);_(* \(#,##0\);_(* &quot;-&quot;??_);_(@_)"/>
    <numFmt numFmtId="167" formatCode="_-* #,##0.00_-;\-* #,##0.00_-;_-* &quot;-&quot;??_-;_-@_-"/>
    <numFmt numFmtId="168" formatCode="_-* #,##0_-;\-* #,##0_-;_-* &quot;-&quot;??_-;_-@_-"/>
    <numFmt numFmtId="169" formatCode="_-&quot;$&quot;* #,##0_-;\-&quot;$&quot;* #,##0_-;_-&quot;$&quot;* &quot;-&quot;??_-;_-@_-"/>
    <numFmt numFmtId="170" formatCode="0.000%"/>
    <numFmt numFmtId="171" formatCode="_(&quot;$&quot;* #,##0_);_(&quot;$&quot;* \(#,##0\);_(&quot;$&quot;* &quot;-&quot;??_);_(@_)"/>
  </numFmts>
  <fonts count="17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4"/>
      <name val="Calibri"/>
      <family val="2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i/>
      <sz val="8"/>
      <color rgb="FFFFFFFF"/>
      <name val="Arial"/>
      <family val="2"/>
    </font>
    <font>
      <i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434343"/>
        <bgColor rgb="FF333300"/>
      </patternFill>
    </fill>
    <fill>
      <patternFill patternType="solid">
        <fgColor rgb="FF434343"/>
        <bgColor rgb="FF4343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rgb="FFEFEFE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rgb="FF3333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333300"/>
      </patternFill>
    </fill>
    <fill>
      <patternFill patternType="solid">
        <fgColor theme="0" tint="-0.499984740745262"/>
        <bgColor rgb="FF43434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rgb="FF000000"/>
      </top>
      <bottom/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>
      <alignment vertical="center"/>
    </xf>
  </cellStyleXfs>
  <cellXfs count="114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wrapText="1"/>
    </xf>
    <xf numFmtId="3" fontId="3" fillId="2" borderId="0" xfId="0" applyNumberFormat="1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6" fillId="2" borderId="0" xfId="0" applyFont="1" applyFill="1" applyAlignment="1">
      <alignment horizontal="right" wrapText="1"/>
    </xf>
    <xf numFmtId="165" fontId="3" fillId="2" borderId="0" xfId="2" applyNumberFormat="1" applyFont="1" applyFill="1" applyAlignment="1">
      <alignment horizontal="center" wrapText="1"/>
    </xf>
    <xf numFmtId="0" fontId="1" fillId="0" borderId="0" xfId="0" applyFont="1"/>
    <xf numFmtId="166" fontId="0" fillId="0" borderId="0" xfId="0" applyNumberFormat="1"/>
    <xf numFmtId="166" fontId="0" fillId="4" borderId="0" xfId="0" applyNumberFormat="1" applyFill="1"/>
    <xf numFmtId="10" fontId="1" fillId="4" borderId="0" xfId="3" applyNumberFormat="1" applyFont="1" applyFill="1"/>
    <xf numFmtId="43" fontId="0" fillId="0" borderId="0" xfId="0" applyNumberFormat="1"/>
    <xf numFmtId="1" fontId="0" fillId="0" borderId="0" xfId="0" applyNumberFormat="1"/>
    <xf numFmtId="0" fontId="0" fillId="6" borderId="0" xfId="0" applyFill="1"/>
    <xf numFmtId="166" fontId="0" fillId="5" borderId="0" xfId="0" applyNumberFormat="1" applyFill="1"/>
    <xf numFmtId="166" fontId="0" fillId="8" borderId="0" xfId="0" applyNumberFormat="1" applyFill="1"/>
    <xf numFmtId="43" fontId="0" fillId="8" borderId="0" xfId="0" applyNumberFormat="1" applyFill="1"/>
    <xf numFmtId="0" fontId="0" fillId="8" borderId="0" xfId="0" applyFill="1"/>
    <xf numFmtId="10" fontId="1" fillId="4" borderId="5" xfId="3" applyNumberFormat="1" applyFont="1" applyFill="1" applyBorder="1"/>
    <xf numFmtId="0" fontId="5" fillId="0" borderId="6" xfId="0" applyFont="1" applyBorder="1"/>
    <xf numFmtId="166" fontId="0" fillId="0" borderId="6" xfId="0" applyNumberFormat="1" applyBorder="1"/>
    <xf numFmtId="166" fontId="0" fillId="7" borderId="6" xfId="0" applyNumberFormat="1" applyFill="1" applyBorder="1"/>
    <xf numFmtId="166" fontId="0" fillId="4" borderId="6" xfId="0" applyNumberFormat="1" applyFill="1" applyBorder="1"/>
    <xf numFmtId="10" fontId="1" fillId="4" borderId="0" xfId="3" applyNumberFormat="1" applyFont="1" applyFill="1" applyBorder="1"/>
    <xf numFmtId="0" fontId="8" fillId="9" borderId="0" xfId="0" applyFont="1" applyFill="1"/>
    <xf numFmtId="166" fontId="8" fillId="9" borderId="0" xfId="0" applyNumberFormat="1" applyFont="1" applyFill="1"/>
    <xf numFmtId="10" fontId="9" fillId="10" borderId="0" xfId="3" applyNumberFormat="1" applyFont="1" applyFill="1"/>
    <xf numFmtId="167" fontId="0" fillId="0" borderId="0" xfId="0" applyNumberFormat="1"/>
    <xf numFmtId="0" fontId="0" fillId="0" borderId="0" xfId="0" applyAlignment="1">
      <alignment horizontal="right"/>
    </xf>
    <xf numFmtId="166" fontId="1" fillId="0" borderId="0" xfId="0" applyNumberFormat="1" applyFont="1"/>
    <xf numFmtId="8" fontId="1" fillId="0" borderId="0" xfId="0" applyNumberFormat="1" applyFont="1"/>
    <xf numFmtId="169" fontId="0" fillId="0" borderId="0" xfId="2" applyNumberFormat="1" applyFont="1"/>
    <xf numFmtId="164" fontId="0" fillId="0" borderId="0" xfId="2" applyFont="1" applyFill="1"/>
    <xf numFmtId="170" fontId="1" fillId="0" borderId="0" xfId="3" applyNumberFormat="1" applyFont="1"/>
    <xf numFmtId="0" fontId="1" fillId="0" borderId="0" xfId="0" applyFont="1" applyAlignment="1">
      <alignment horizontal="right"/>
    </xf>
    <xf numFmtId="168" fontId="0" fillId="0" borderId="0" xfId="1" applyNumberFormat="1" applyFont="1" applyAlignment="1">
      <alignment horizontal="right"/>
    </xf>
    <xf numFmtId="171" fontId="0" fillId="0" borderId="0" xfId="0" applyNumberFormat="1"/>
    <xf numFmtId="169" fontId="0" fillId="0" borderId="0" xfId="2" applyNumberFormat="1" applyFont="1" applyAlignment="1">
      <alignment horizontal="right"/>
    </xf>
    <xf numFmtId="167" fontId="0" fillId="0" borderId="0" xfId="1" applyFont="1"/>
    <xf numFmtId="169" fontId="0" fillId="0" borderId="0" xfId="2" applyNumberFormat="1" applyFont="1" applyAlignment="1">
      <alignment horizontal="center"/>
    </xf>
    <xf numFmtId="0" fontId="1" fillId="6" borderId="0" xfId="0" applyFont="1" applyFill="1"/>
    <xf numFmtId="166" fontId="0" fillId="6" borderId="0" xfId="0" applyNumberFormat="1" applyFill="1"/>
    <xf numFmtId="43" fontId="0" fillId="6" borderId="0" xfId="0" applyNumberFormat="1" applyFill="1"/>
    <xf numFmtId="0" fontId="7" fillId="8" borderId="0" xfId="0" applyFont="1" applyFill="1"/>
    <xf numFmtId="0" fontId="0" fillId="11" borderId="0" xfId="0" applyFill="1"/>
    <xf numFmtId="166" fontId="0" fillId="11" borderId="0" xfId="0" applyNumberFormat="1" applyFill="1"/>
    <xf numFmtId="10" fontId="0" fillId="0" borderId="0" xfId="0" applyNumberFormat="1"/>
    <xf numFmtId="10" fontId="1" fillId="6" borderId="4" xfId="3" applyNumberFormat="1" applyFont="1" applyFill="1" applyBorder="1"/>
    <xf numFmtId="10" fontId="1" fillId="8" borderId="0" xfId="3" applyNumberFormat="1" applyFont="1" applyFill="1"/>
    <xf numFmtId="10" fontId="0" fillId="12" borderId="0" xfId="0" applyNumberFormat="1" applyFill="1"/>
    <xf numFmtId="10" fontId="0" fillId="12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166" fontId="0" fillId="7" borderId="0" xfId="0" applyNumberFormat="1" applyFill="1"/>
    <xf numFmtId="43" fontId="0" fillId="7" borderId="0" xfId="0" applyNumberFormat="1" applyFill="1"/>
    <xf numFmtId="10" fontId="1" fillId="7" borderId="4" xfId="3" applyNumberFormat="1" applyFont="1" applyFill="1" applyBorder="1"/>
    <xf numFmtId="0" fontId="1" fillId="7" borderId="0" xfId="0" applyFont="1" applyFill="1"/>
    <xf numFmtId="0" fontId="1" fillId="8" borderId="0" xfId="0" applyFont="1" applyFill="1"/>
    <xf numFmtId="0" fontId="7" fillId="0" borderId="0" xfId="0" applyFont="1"/>
    <xf numFmtId="10" fontId="1" fillId="0" borderId="0" xfId="3" applyNumberFormat="1" applyFont="1" applyFill="1"/>
    <xf numFmtId="10" fontId="0" fillId="12" borderId="0" xfId="0" applyNumberFormat="1" applyFill="1" applyAlignment="1">
      <alignment horizontal="center"/>
    </xf>
    <xf numFmtId="10" fontId="0" fillId="8" borderId="0" xfId="0" applyNumberFormat="1" applyFill="1" applyAlignment="1">
      <alignment horizontal="center"/>
    </xf>
    <xf numFmtId="0" fontId="1" fillId="11" borderId="0" xfId="0" applyFont="1" applyFill="1"/>
    <xf numFmtId="10" fontId="1" fillId="11" borderId="0" xfId="3" applyNumberFormat="1" applyFont="1" applyFill="1"/>
    <xf numFmtId="10" fontId="0" fillId="11" borderId="0" xfId="0" applyNumberFormat="1" applyFill="1" applyAlignment="1">
      <alignment horizontal="center"/>
    </xf>
    <xf numFmtId="3" fontId="3" fillId="13" borderId="0" xfId="0" applyNumberFormat="1" applyFont="1" applyFill="1" applyAlignment="1">
      <alignment horizontal="center" wrapText="1"/>
    </xf>
    <xf numFmtId="0" fontId="1" fillId="14" borderId="0" xfId="0" applyFont="1" applyFill="1"/>
    <xf numFmtId="166" fontId="0" fillId="14" borderId="0" xfId="0" applyNumberFormat="1" applyFill="1"/>
    <xf numFmtId="43" fontId="0" fillId="14" borderId="0" xfId="0" applyNumberFormat="1" applyFill="1"/>
    <xf numFmtId="0" fontId="0" fillId="14" borderId="0" xfId="0" applyFill="1"/>
    <xf numFmtId="10" fontId="1" fillId="14" borderId="0" xfId="3" applyNumberFormat="1" applyFont="1" applyFill="1"/>
    <xf numFmtId="165" fontId="13" fillId="15" borderId="0" xfId="2" applyNumberFormat="1" applyFont="1" applyFill="1" applyAlignment="1">
      <alignment horizontal="center" wrapText="1"/>
    </xf>
    <xf numFmtId="10" fontId="0" fillId="7" borderId="0" xfId="0" applyNumberFormat="1" applyFill="1" applyAlignment="1">
      <alignment horizontal="center"/>
    </xf>
    <xf numFmtId="10" fontId="0" fillId="0" borderId="0" xfId="3" applyNumberFormat="1" applyFont="1" applyAlignment="1">
      <alignment horizontal="center"/>
    </xf>
    <xf numFmtId="0" fontId="0" fillId="10" borderId="0" xfId="0" applyFill="1"/>
    <xf numFmtId="0" fontId="4" fillId="16" borderId="0" xfId="0" applyFont="1" applyFill="1" applyAlignment="1">
      <alignment horizontal="center" wrapText="1"/>
    </xf>
    <xf numFmtId="166" fontId="0" fillId="10" borderId="0" xfId="0" applyNumberFormat="1" applyFill="1"/>
    <xf numFmtId="166" fontId="0" fillId="10" borderId="6" xfId="0" applyNumberFormat="1" applyFill="1" applyBorder="1"/>
    <xf numFmtId="168" fontId="0" fillId="0" borderId="0" xfId="1" applyNumberFormat="1" applyFont="1"/>
    <xf numFmtId="168" fontId="8" fillId="10" borderId="0" xfId="1" applyNumberFormat="1" applyFont="1" applyFill="1"/>
    <xf numFmtId="168" fontId="0" fillId="7" borderId="0" xfId="1" applyNumberFormat="1" applyFont="1" applyFill="1"/>
    <xf numFmtId="10" fontId="0" fillId="7" borderId="0" xfId="3" applyNumberFormat="1" applyFont="1" applyFill="1" applyAlignment="1">
      <alignment horizontal="center"/>
    </xf>
    <xf numFmtId="168" fontId="0" fillId="6" borderId="0" xfId="1" applyNumberFormat="1" applyFont="1" applyFill="1"/>
    <xf numFmtId="10" fontId="0" fillId="6" borderId="0" xfId="3" applyNumberFormat="1" applyFont="1" applyFill="1" applyAlignment="1">
      <alignment horizontal="center"/>
    </xf>
    <xf numFmtId="10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8" fontId="0" fillId="8" borderId="0" xfId="1" applyNumberFormat="1" applyFont="1" applyFill="1"/>
    <xf numFmtId="10" fontId="0" fillId="8" borderId="0" xfId="3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168" fontId="0" fillId="11" borderId="0" xfId="1" applyNumberFormat="1" applyFont="1" applyFill="1"/>
    <xf numFmtId="10" fontId="0" fillId="11" borderId="0" xfId="3" applyNumberFormat="1" applyFont="1" applyFill="1" applyAlignment="1">
      <alignment horizontal="center"/>
    </xf>
    <xf numFmtId="168" fontId="0" fillId="14" borderId="0" xfId="1" applyNumberFormat="1" applyFont="1" applyFill="1"/>
    <xf numFmtId="10" fontId="0" fillId="14" borderId="0" xfId="3" applyNumberFormat="1" applyFont="1" applyFill="1" applyAlignment="1">
      <alignment horizontal="center"/>
    </xf>
    <xf numFmtId="10" fontId="0" fillId="7" borderId="6" xfId="3" applyNumberFormat="1" applyFont="1" applyFill="1" applyBorder="1" applyAlignment="1">
      <alignment horizontal="center"/>
    </xf>
    <xf numFmtId="166" fontId="0" fillId="17" borderId="0" xfId="0" applyNumberFormat="1" applyFill="1"/>
    <xf numFmtId="10" fontId="0" fillId="0" borderId="0" xfId="0" applyNumberFormat="1" applyAlignment="1">
      <alignment horizontal="center"/>
    </xf>
    <xf numFmtId="10" fontId="0" fillId="0" borderId="0" xfId="3" applyNumberFormat="1" applyFont="1" applyFill="1" applyAlignment="1">
      <alignment horizontal="center"/>
    </xf>
    <xf numFmtId="10" fontId="0" fillId="0" borderId="0" xfId="0" applyNumberFormat="1" applyAlignment="1">
      <alignment horizontal="left"/>
    </xf>
    <xf numFmtId="10" fontId="8" fillId="9" borderId="0" xfId="3" applyNumberFormat="1" applyFont="1" applyFill="1" applyAlignment="1">
      <alignment horizontal="center"/>
    </xf>
    <xf numFmtId="10" fontId="0" fillId="6" borderId="0" xfId="0" applyNumberFormat="1" applyFill="1"/>
    <xf numFmtId="10" fontId="0" fillId="6" borderId="0" xfId="0" applyNumberFormat="1" applyFill="1" applyAlignment="1">
      <alignment horizontal="left"/>
    </xf>
    <xf numFmtId="10" fontId="1" fillId="6" borderId="0" xfId="3" applyNumberFormat="1" applyFont="1" applyFill="1" applyBorder="1"/>
    <xf numFmtId="10" fontId="1" fillId="7" borderId="0" xfId="3" applyNumberFormat="1" applyFont="1" applyFill="1" applyBorder="1"/>
    <xf numFmtId="10" fontId="0" fillId="8" borderId="0" xfId="0" applyNumberFormat="1" applyFill="1"/>
    <xf numFmtId="10" fontId="0" fillId="18" borderId="0" xfId="0" applyNumberFormat="1" applyFill="1"/>
    <xf numFmtId="0" fontId="16" fillId="0" borderId="0" xfId="0" applyFont="1"/>
    <xf numFmtId="0" fontId="5" fillId="0" borderId="0" xfId="0" applyFont="1"/>
    <xf numFmtId="166" fontId="0" fillId="18" borderId="0" xfId="0" applyNumberFormat="1" applyFill="1"/>
    <xf numFmtId="168" fontId="0" fillId="0" borderId="0" xfId="1" applyNumberFormat="1" applyFont="1" applyFill="1"/>
    <xf numFmtId="10" fontId="0" fillId="19" borderId="0" xfId="0" applyNumberFormat="1" applyFill="1"/>
    <xf numFmtId="10" fontId="0" fillId="20" borderId="0" xfId="0" applyNumberFormat="1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Normal 2" xfId="4" xr:uid="{ECFEAEF9-095E-4CD3-A60C-1F508014CFE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y%20Drive/Medzy/00%20-%20Medzy%20Round%20Modeling%20(v2-Leviat-2022-01-24)%20-%20db%202022-02-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 Table Summary"/>
      <sheetName val="Ownership by Stakeholder"/>
      <sheetName val="Constants"/>
      <sheetName val="1) Ownership (As-Converted)"/>
      <sheetName val="2) Round Modeling"/>
      <sheetName val="3) Post-Money Cap Table Round 1"/>
      <sheetName val="4) Post-Money Cap Table Round 2"/>
      <sheetName val="New) Cap Table Post TLL"/>
      <sheetName val="5a) Simul debentures global"/>
      <sheetName val="5b) Simul debentures global"/>
      <sheetName val="Conv. Instrument Value"/>
      <sheetName val="New) Cap Table Post TLL (2)"/>
    </sheetNames>
    <sheetDataSet>
      <sheetData sheetId="0"/>
      <sheetData sheetId="1"/>
      <sheetData sheetId="2">
        <row r="2">
          <cell r="A2">
            <v>2.5</v>
          </cell>
        </row>
      </sheetData>
      <sheetData sheetId="3"/>
      <sheetData sheetId="4">
        <row r="10">
          <cell r="B10">
            <v>5.0608000000000004</v>
          </cell>
        </row>
        <row r="59">
          <cell r="J59">
            <v>3.9327999999999999</v>
          </cell>
        </row>
        <row r="77">
          <cell r="I77">
            <v>4.5547000000000004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7176-D146-4ECB-B4D9-86EAA832C343}">
  <sheetPr>
    <pageSetUpPr fitToPage="1"/>
  </sheetPr>
  <dimension ref="A1:K70"/>
  <sheetViews>
    <sheetView zoomScaleNormal="100" workbookViewId="0">
      <selection activeCell="F37" sqref="F37"/>
    </sheetView>
  </sheetViews>
  <sheetFormatPr baseColWidth="10" defaultColWidth="8.83203125" defaultRowHeight="15" x14ac:dyDescent="0.2"/>
  <cols>
    <col min="1" max="1" width="51.83203125" customWidth="1"/>
    <col min="2" max="8" width="15.33203125" customWidth="1"/>
    <col min="9" max="9" width="2.33203125" customWidth="1"/>
  </cols>
  <sheetData>
    <row r="1" spans="1:8" ht="69" customHeight="1" thickBot="1" x14ac:dyDescent="0.25">
      <c r="A1" s="111" t="s">
        <v>71</v>
      </c>
      <c r="B1" s="112"/>
      <c r="C1" s="112"/>
      <c r="D1" s="112"/>
      <c r="E1" s="112"/>
      <c r="F1" s="112"/>
      <c r="G1" s="112"/>
      <c r="H1" s="113"/>
    </row>
    <row r="3" spans="1:8" ht="46" x14ac:dyDescent="0.2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</row>
    <row r="4" spans="1:8" x14ac:dyDescent="0.2">
      <c r="A4" s="5" t="s">
        <v>8</v>
      </c>
      <c r="B4" s="3"/>
      <c r="C4" s="6">
        <f>'[1]2) Round Modeling'!J59</f>
        <v>3.9327999999999999</v>
      </c>
      <c r="D4" s="6">
        <f>'[1]2) Round Modeling'!I77</f>
        <v>4.5547000000000004</v>
      </c>
      <c r="E4" s="6">
        <f>'[1]2) Round Modeling'!B10</f>
        <v>5.0608000000000004</v>
      </c>
      <c r="F4" s="4"/>
      <c r="G4" s="4"/>
      <c r="H4" s="4"/>
    </row>
    <row r="5" spans="1:8" x14ac:dyDescent="0.2">
      <c r="A5" s="7" t="s">
        <v>9</v>
      </c>
      <c r="E5" s="8">
        <v>148197</v>
      </c>
      <c r="G5" s="9">
        <f>SUM(B5:F5)</f>
        <v>148197</v>
      </c>
      <c r="H5" s="10">
        <f t="shared" ref="H5:H44" si="0">G5/$G$48</f>
        <v>5.5876929376059502E-2</v>
      </c>
    </row>
    <row r="6" spans="1:8" x14ac:dyDescent="0.2">
      <c r="A6" s="7" t="s">
        <v>10</v>
      </c>
      <c r="E6" s="8">
        <v>49399</v>
      </c>
      <c r="G6" s="9">
        <f t="shared" ref="G6:G44" si="1">SUM(B6:F6)</f>
        <v>49399</v>
      </c>
      <c r="H6" s="10">
        <f t="shared" si="0"/>
        <v>1.8625643125353166E-2</v>
      </c>
    </row>
    <row r="7" spans="1:8" x14ac:dyDescent="0.2">
      <c r="A7" s="7" t="s">
        <v>11</v>
      </c>
      <c r="C7" s="8"/>
      <c r="E7" s="8">
        <v>14819</v>
      </c>
      <c r="G7" s="9">
        <f t="shared" si="1"/>
        <v>14819</v>
      </c>
      <c r="H7" s="10">
        <f t="shared" si="0"/>
        <v>5.5874290061460469E-3</v>
      </c>
    </row>
    <row r="8" spans="1:8" x14ac:dyDescent="0.2">
      <c r="A8" s="7" t="s">
        <v>12</v>
      </c>
      <c r="C8" s="8"/>
      <c r="E8" s="8">
        <f>(550000*1.15)/E4</f>
        <v>124980.24027821688</v>
      </c>
      <c r="G8" s="9">
        <f t="shared" si="1"/>
        <v>124980.24027821688</v>
      </c>
      <c r="H8" s="10">
        <f t="shared" si="0"/>
        <v>4.7123167536649677E-2</v>
      </c>
    </row>
    <row r="9" spans="1:8" x14ac:dyDescent="0.2">
      <c r="A9" s="7" t="s">
        <v>13</v>
      </c>
      <c r="C9" s="8"/>
      <c r="E9" s="8">
        <f>+E8*2</f>
        <v>249960.48055643376</v>
      </c>
      <c r="G9" s="9">
        <f t="shared" ref="G9" si="2">SUM(B9:F9)</f>
        <v>249960.48055643376</v>
      </c>
      <c r="H9" s="10">
        <f t="shared" si="0"/>
        <v>9.4246335073299353E-2</v>
      </c>
    </row>
    <row r="10" spans="1:8" x14ac:dyDescent="0.2">
      <c r="A10" t="s">
        <v>14</v>
      </c>
      <c r="B10" s="8"/>
      <c r="C10" s="8"/>
      <c r="D10" s="8">
        <v>16988</v>
      </c>
      <c r="E10" s="8"/>
      <c r="F10" s="8"/>
      <c r="G10" s="9">
        <f t="shared" si="1"/>
        <v>16988</v>
      </c>
      <c r="H10" s="10">
        <f t="shared" si="0"/>
        <v>6.4052394869025609E-3</v>
      </c>
    </row>
    <row r="11" spans="1:8" x14ac:dyDescent="0.2">
      <c r="A11" t="s">
        <v>15</v>
      </c>
      <c r="B11" s="8"/>
      <c r="C11" s="8"/>
      <c r="D11" s="8">
        <v>5681</v>
      </c>
      <c r="E11" s="8"/>
      <c r="F11" s="8"/>
      <c r="G11" s="9">
        <f t="shared" si="1"/>
        <v>5681</v>
      </c>
      <c r="H11" s="10">
        <f t="shared" si="0"/>
        <v>2.1419923195840269E-3</v>
      </c>
    </row>
    <row r="12" spans="1:8" x14ac:dyDescent="0.2">
      <c r="A12" t="s">
        <v>16</v>
      </c>
      <c r="B12" s="8"/>
      <c r="C12" s="11">
        <v>3412</v>
      </c>
      <c r="E12" s="8"/>
      <c r="F12" s="8"/>
      <c r="G12" s="9">
        <f t="shared" si="1"/>
        <v>3412</v>
      </c>
      <c r="H12" s="10">
        <f t="shared" si="0"/>
        <v>1.2864773445556592E-3</v>
      </c>
    </row>
    <row r="13" spans="1:8" x14ac:dyDescent="0.2">
      <c r="A13" t="s">
        <v>17</v>
      </c>
      <c r="B13" s="8"/>
      <c r="C13" s="11">
        <v>3412</v>
      </c>
      <c r="E13" s="8"/>
      <c r="F13" s="8"/>
      <c r="G13" s="9">
        <f t="shared" si="1"/>
        <v>3412</v>
      </c>
      <c r="H13" s="10">
        <f t="shared" si="0"/>
        <v>1.2864773445556592E-3</v>
      </c>
    </row>
    <row r="14" spans="1:8" x14ac:dyDescent="0.2">
      <c r="A14" t="s">
        <v>18</v>
      </c>
      <c r="B14" s="8">
        <v>26939</v>
      </c>
      <c r="C14" s="11"/>
      <c r="D14" s="8"/>
      <c r="E14" s="8"/>
      <c r="F14" s="8">
        <v>5000</v>
      </c>
      <c r="G14" s="9">
        <f t="shared" si="1"/>
        <v>31939</v>
      </c>
      <c r="H14" s="10">
        <f t="shared" si="0"/>
        <v>1.2042438425487455E-2</v>
      </c>
    </row>
    <row r="15" spans="1:8" x14ac:dyDescent="0.2">
      <c r="A15" t="s">
        <v>19</v>
      </c>
      <c r="B15" s="8"/>
      <c r="C15" s="11"/>
      <c r="D15" s="8"/>
      <c r="E15" s="8"/>
      <c r="F15" s="8">
        <v>15000</v>
      </c>
      <c r="G15" s="9">
        <f t="shared" si="1"/>
        <v>15000</v>
      </c>
      <c r="H15" s="10">
        <f t="shared" si="0"/>
        <v>5.655674140778103E-3</v>
      </c>
    </row>
    <row r="16" spans="1:8" x14ac:dyDescent="0.2">
      <c r="A16" s="7" t="s">
        <v>20</v>
      </c>
      <c r="B16" s="8"/>
      <c r="C16" s="11">
        <v>3412</v>
      </c>
      <c r="E16" s="8"/>
      <c r="F16" s="8"/>
      <c r="G16" s="9">
        <f t="shared" si="1"/>
        <v>3412</v>
      </c>
      <c r="H16" s="10">
        <f t="shared" si="0"/>
        <v>1.2864773445556592E-3</v>
      </c>
    </row>
    <row r="17" spans="1:8" x14ac:dyDescent="0.2">
      <c r="A17" s="7" t="s">
        <v>21</v>
      </c>
      <c r="B17" s="8"/>
      <c r="C17" s="11">
        <v>3412</v>
      </c>
      <c r="E17" s="8"/>
      <c r="F17" s="8"/>
      <c r="G17" s="9">
        <f t="shared" si="1"/>
        <v>3412</v>
      </c>
      <c r="H17" s="10">
        <f t="shared" si="0"/>
        <v>1.2864773445556592E-3</v>
      </c>
    </row>
    <row r="18" spans="1:8" x14ac:dyDescent="0.2">
      <c r="A18" t="s">
        <v>22</v>
      </c>
      <c r="B18" s="8"/>
      <c r="C18" s="11">
        <v>6823</v>
      </c>
      <c r="E18" s="8"/>
      <c r="F18" s="8"/>
      <c r="G18" s="9">
        <f t="shared" si="1"/>
        <v>6823</v>
      </c>
      <c r="H18" s="10">
        <f t="shared" si="0"/>
        <v>2.5725776441685999E-3</v>
      </c>
    </row>
    <row r="19" spans="1:8" x14ac:dyDescent="0.2">
      <c r="A19" t="s">
        <v>23</v>
      </c>
      <c r="B19" s="8"/>
      <c r="C19" s="11"/>
      <c r="D19" s="8"/>
      <c r="E19" s="8"/>
      <c r="F19" s="8">
        <v>25000</v>
      </c>
      <c r="G19" s="9">
        <f t="shared" si="1"/>
        <v>25000</v>
      </c>
      <c r="H19" s="10">
        <f t="shared" si="0"/>
        <v>9.4261235679635041E-3</v>
      </c>
    </row>
    <row r="20" spans="1:8" x14ac:dyDescent="0.2">
      <c r="A20" t="s">
        <v>24</v>
      </c>
      <c r="B20" s="8"/>
      <c r="C20" s="11">
        <v>6823</v>
      </c>
      <c r="E20" s="8"/>
      <c r="F20" s="8"/>
      <c r="G20" s="9">
        <f t="shared" si="1"/>
        <v>6823</v>
      </c>
      <c r="H20" s="10">
        <f t="shared" si="0"/>
        <v>2.5725776441685999E-3</v>
      </c>
    </row>
    <row r="21" spans="1:8" x14ac:dyDescent="0.2">
      <c r="A21" t="s">
        <v>25</v>
      </c>
      <c r="B21" s="8"/>
      <c r="C21" s="11">
        <v>27288</v>
      </c>
      <c r="E21" s="8"/>
      <c r="F21" s="8"/>
      <c r="G21" s="9">
        <f t="shared" si="1"/>
        <v>27288</v>
      </c>
      <c r="H21" s="10">
        <f t="shared" si="0"/>
        <v>1.0288802396903525E-2</v>
      </c>
    </row>
    <row r="22" spans="1:8" x14ac:dyDescent="0.2">
      <c r="A22" t="s">
        <v>26</v>
      </c>
      <c r="B22" s="8"/>
      <c r="C22" s="11">
        <v>9550</v>
      </c>
      <c r="D22" s="12">
        <v>22721</v>
      </c>
      <c r="E22" s="8"/>
      <c r="F22" s="8"/>
      <c r="G22" s="9">
        <f t="shared" si="1"/>
        <v>32271</v>
      </c>
      <c r="H22" s="10">
        <f t="shared" si="0"/>
        <v>1.2167617346470011E-2</v>
      </c>
    </row>
    <row r="23" spans="1:8" x14ac:dyDescent="0.2">
      <c r="A23" t="s">
        <v>27</v>
      </c>
      <c r="B23" s="8"/>
      <c r="C23" s="11">
        <v>5457</v>
      </c>
      <c r="E23" s="8"/>
      <c r="F23" s="8"/>
      <c r="G23" s="9">
        <f t="shared" si="1"/>
        <v>5457</v>
      </c>
      <c r="H23" s="10">
        <f t="shared" si="0"/>
        <v>2.0575342524150738E-3</v>
      </c>
    </row>
    <row r="24" spans="1:8" x14ac:dyDescent="0.2">
      <c r="A24" t="s">
        <v>28</v>
      </c>
      <c r="B24" s="8"/>
      <c r="C24" s="11"/>
      <c r="D24" s="8">
        <v>11312</v>
      </c>
      <c r="E24" s="8"/>
      <c r="F24" s="8"/>
      <c r="G24" s="9">
        <f t="shared" si="1"/>
        <v>11312</v>
      </c>
      <c r="H24" s="10">
        <f t="shared" si="0"/>
        <v>4.2651323920321269E-3</v>
      </c>
    </row>
    <row r="25" spans="1:8" x14ac:dyDescent="0.2">
      <c r="A25" t="s">
        <v>29</v>
      </c>
      <c r="B25" s="8"/>
      <c r="C25" s="11"/>
      <c r="D25" s="8">
        <v>22627</v>
      </c>
      <c r="E25" s="8"/>
      <c r="F25" s="8"/>
      <c r="G25" s="9">
        <f t="shared" si="1"/>
        <v>22627</v>
      </c>
      <c r="H25" s="10">
        <f t="shared" si="0"/>
        <v>8.531395918892409E-3</v>
      </c>
    </row>
    <row r="26" spans="1:8" x14ac:dyDescent="0.2">
      <c r="A26" t="s">
        <v>30</v>
      </c>
      <c r="B26" s="8"/>
      <c r="C26" s="11"/>
      <c r="D26" s="8">
        <v>5680</v>
      </c>
      <c r="E26" s="8"/>
      <c r="F26" s="8"/>
      <c r="G26" s="9">
        <f t="shared" si="1"/>
        <v>5680</v>
      </c>
      <c r="H26" s="10">
        <f t="shared" si="0"/>
        <v>2.1416152746413083E-3</v>
      </c>
    </row>
    <row r="27" spans="1:8" x14ac:dyDescent="0.2">
      <c r="A27" t="s">
        <v>31</v>
      </c>
      <c r="B27" s="8"/>
      <c r="C27" s="11">
        <v>6823</v>
      </c>
      <c r="E27" s="8"/>
      <c r="F27" s="8"/>
      <c r="G27" s="9">
        <f t="shared" si="1"/>
        <v>6823</v>
      </c>
      <c r="H27" s="10">
        <f t="shared" si="0"/>
        <v>2.5725776441685999E-3</v>
      </c>
    </row>
    <row r="28" spans="1:8" x14ac:dyDescent="0.2">
      <c r="A28" t="s">
        <v>32</v>
      </c>
      <c r="B28" s="8"/>
      <c r="C28" s="11">
        <v>6823</v>
      </c>
      <c r="E28" s="8"/>
      <c r="F28" s="8"/>
      <c r="G28" s="9">
        <f t="shared" si="1"/>
        <v>6823</v>
      </c>
      <c r="H28" s="10">
        <f t="shared" si="0"/>
        <v>2.5725776441685999E-3</v>
      </c>
    </row>
    <row r="29" spans="1:8" x14ac:dyDescent="0.2">
      <c r="A29" t="s">
        <v>33</v>
      </c>
      <c r="B29" s="8"/>
      <c r="C29" s="11">
        <v>6823</v>
      </c>
      <c r="E29" s="8"/>
      <c r="F29" s="8"/>
      <c r="G29" s="9">
        <f t="shared" si="1"/>
        <v>6823</v>
      </c>
      <c r="H29" s="10">
        <f t="shared" si="0"/>
        <v>2.5725776441685999E-3</v>
      </c>
    </row>
    <row r="30" spans="1:8" x14ac:dyDescent="0.2">
      <c r="A30" t="s">
        <v>34</v>
      </c>
      <c r="B30" s="8"/>
      <c r="C30" s="11">
        <v>6823</v>
      </c>
      <c r="E30" s="8"/>
      <c r="F30" s="8"/>
      <c r="G30" s="9">
        <f t="shared" si="1"/>
        <v>6823</v>
      </c>
      <c r="H30" s="10">
        <f t="shared" si="0"/>
        <v>2.5725776441685999E-3</v>
      </c>
    </row>
    <row r="31" spans="1:8" x14ac:dyDescent="0.2">
      <c r="A31" t="s">
        <v>35</v>
      </c>
      <c r="B31" s="8"/>
      <c r="C31" s="11">
        <v>13644</v>
      </c>
      <c r="D31" s="8">
        <v>11319</v>
      </c>
      <c r="E31" s="8"/>
      <c r="F31" s="8"/>
      <c r="G31" s="9">
        <f t="shared" si="1"/>
        <v>24963</v>
      </c>
      <c r="H31" s="10">
        <f t="shared" si="0"/>
        <v>9.4121729050829182E-3</v>
      </c>
    </row>
    <row r="32" spans="1:8" x14ac:dyDescent="0.2">
      <c r="A32" t="s">
        <v>36</v>
      </c>
      <c r="B32" s="8">
        <v>10000</v>
      </c>
      <c r="C32" s="11">
        <v>4093</v>
      </c>
      <c r="E32" s="8"/>
      <c r="F32" s="8">
        <v>5000</v>
      </c>
      <c r="G32" s="9">
        <f t="shared" si="1"/>
        <v>19093</v>
      </c>
      <c r="H32" s="10">
        <f t="shared" si="0"/>
        <v>7.1989190913250879E-3</v>
      </c>
    </row>
    <row r="33" spans="1:11" x14ac:dyDescent="0.2">
      <c r="A33" t="s">
        <v>37</v>
      </c>
      <c r="B33" s="8"/>
      <c r="C33" s="11">
        <v>6823</v>
      </c>
      <c r="E33" s="8"/>
      <c r="F33" s="8"/>
      <c r="G33" s="9">
        <f t="shared" si="1"/>
        <v>6823</v>
      </c>
      <c r="H33" s="10">
        <f t="shared" si="0"/>
        <v>2.5725776441685999E-3</v>
      </c>
    </row>
    <row r="34" spans="1:11" x14ac:dyDescent="0.2">
      <c r="A34" s="40" t="s">
        <v>38</v>
      </c>
      <c r="B34" s="41">
        <f>739977</f>
        <v>739977</v>
      </c>
      <c r="C34" s="42">
        <v>6823</v>
      </c>
      <c r="D34" s="13"/>
      <c r="E34" s="41">
        <v>49399</v>
      </c>
      <c r="F34" s="41"/>
      <c r="G34" s="41">
        <f t="shared" si="1"/>
        <v>796199</v>
      </c>
      <c r="H34" s="47">
        <f t="shared" si="0"/>
        <v>0.30020280634755897</v>
      </c>
      <c r="K34" s="49">
        <f>+H34+H35</f>
        <v>0.45557774861267131</v>
      </c>
    </row>
    <row r="35" spans="1:11" x14ac:dyDescent="0.2">
      <c r="A35" s="52" t="s">
        <v>70</v>
      </c>
      <c r="B35" s="53">
        <v>370686</v>
      </c>
      <c r="C35" s="54">
        <v>6823</v>
      </c>
      <c r="D35" s="52"/>
      <c r="E35" s="53">
        <v>34577</v>
      </c>
      <c r="F35" s="53"/>
      <c r="G35" s="53">
        <f t="shared" si="1"/>
        <v>412086</v>
      </c>
      <c r="H35" s="55">
        <f>G35/$G$48</f>
        <v>0.15537494226511236</v>
      </c>
    </row>
    <row r="36" spans="1:11" x14ac:dyDescent="0.2">
      <c r="A36" t="s">
        <v>40</v>
      </c>
      <c r="B36" s="8"/>
      <c r="C36" s="11"/>
      <c r="D36" s="8"/>
      <c r="E36" s="8">
        <v>9879</v>
      </c>
      <c r="F36" s="8">
        <v>2914</v>
      </c>
      <c r="G36" s="9">
        <f t="shared" si="1"/>
        <v>12793</v>
      </c>
      <c r="H36" s="10">
        <f t="shared" si="0"/>
        <v>4.823535952198285E-3</v>
      </c>
    </row>
    <row r="37" spans="1:11" x14ac:dyDescent="0.2">
      <c r="A37" t="s">
        <v>41</v>
      </c>
      <c r="B37" s="8">
        <v>26939</v>
      </c>
      <c r="C37" s="11"/>
      <c r="D37" s="8"/>
      <c r="E37" s="8"/>
      <c r="F37" s="8">
        <v>2914</v>
      </c>
      <c r="G37" s="9">
        <f t="shared" si="1"/>
        <v>29853</v>
      </c>
      <c r="H37" s="10">
        <f t="shared" si="0"/>
        <v>1.1255922674976581E-2</v>
      </c>
    </row>
    <row r="38" spans="1:11" x14ac:dyDescent="0.2">
      <c r="A38" t="s">
        <v>42</v>
      </c>
      <c r="B38" s="8"/>
      <c r="C38" s="11"/>
      <c r="D38" s="8"/>
      <c r="E38" s="8"/>
      <c r="F38" s="8">
        <v>0</v>
      </c>
      <c r="G38" s="9">
        <f t="shared" si="1"/>
        <v>0</v>
      </c>
      <c r="H38" s="10">
        <f t="shared" si="0"/>
        <v>0</v>
      </c>
    </row>
    <row r="39" spans="1:11" x14ac:dyDescent="0.2">
      <c r="A39" t="s">
        <v>43</v>
      </c>
      <c r="B39" s="8"/>
      <c r="C39" s="11"/>
      <c r="D39" s="8"/>
      <c r="E39" s="8"/>
      <c r="F39" s="8">
        <v>19483</v>
      </c>
      <c r="G39" s="9">
        <f t="shared" si="1"/>
        <v>19483</v>
      </c>
      <c r="H39" s="10">
        <f t="shared" si="0"/>
        <v>7.3459666189853185E-3</v>
      </c>
    </row>
    <row r="40" spans="1:11" x14ac:dyDescent="0.2">
      <c r="A40" t="s">
        <v>44</v>
      </c>
      <c r="B40" s="8">
        <v>16164</v>
      </c>
      <c r="C40" s="11"/>
      <c r="D40" s="8"/>
      <c r="E40" s="8"/>
      <c r="F40" s="8">
        <v>15000</v>
      </c>
      <c r="G40" s="9">
        <f t="shared" si="1"/>
        <v>31164</v>
      </c>
      <c r="H40" s="10">
        <f t="shared" si="0"/>
        <v>1.1750228594880587E-2</v>
      </c>
    </row>
    <row r="41" spans="1:11" x14ac:dyDescent="0.2">
      <c r="A41" t="s">
        <v>45</v>
      </c>
      <c r="B41" s="8"/>
      <c r="C41" s="11"/>
      <c r="D41" s="8"/>
      <c r="E41" s="8"/>
      <c r="F41" s="8">
        <v>2914</v>
      </c>
      <c r="G41" s="9">
        <f t="shared" si="1"/>
        <v>2914</v>
      </c>
      <c r="H41" s="10">
        <f t="shared" si="0"/>
        <v>1.0987089630818262E-3</v>
      </c>
    </row>
    <row r="42" spans="1:11" x14ac:dyDescent="0.2">
      <c r="A42" t="s">
        <v>46</v>
      </c>
      <c r="B42" s="8"/>
      <c r="C42" s="11"/>
      <c r="D42" s="8"/>
      <c r="E42" s="8"/>
      <c r="F42" s="8">
        <v>87000</v>
      </c>
      <c r="G42" s="9">
        <f t="shared" si="1"/>
        <v>87000</v>
      </c>
      <c r="H42" s="10">
        <f t="shared" si="0"/>
        <v>3.2802910016512997E-2</v>
      </c>
    </row>
    <row r="43" spans="1:11" x14ac:dyDescent="0.2">
      <c r="A43" t="s">
        <v>47</v>
      </c>
      <c r="B43" s="8"/>
      <c r="C43" s="11">
        <v>6823</v>
      </c>
      <c r="E43" s="8"/>
      <c r="F43" s="8"/>
      <c r="G43" s="9">
        <f t="shared" si="1"/>
        <v>6823</v>
      </c>
      <c r="H43" s="10">
        <f t="shared" si="0"/>
        <v>2.5725776441685999E-3</v>
      </c>
    </row>
    <row r="44" spans="1:11" x14ac:dyDescent="0.2">
      <c r="A44" s="43" t="s">
        <v>48</v>
      </c>
      <c r="B44" s="15"/>
      <c r="C44" s="16"/>
      <c r="D44" s="17"/>
      <c r="E44" s="15"/>
      <c r="F44" s="15">
        <v>0</v>
      </c>
      <c r="G44" s="9">
        <f t="shared" si="1"/>
        <v>0</v>
      </c>
      <c r="H44" s="10">
        <f t="shared" si="0"/>
        <v>0</v>
      </c>
    </row>
    <row r="45" spans="1:11" x14ac:dyDescent="0.2">
      <c r="A45" s="7" t="s">
        <v>49</v>
      </c>
      <c r="B45" s="8"/>
      <c r="C45" s="11"/>
      <c r="E45" s="8"/>
      <c r="F45" s="8"/>
      <c r="G45" s="9">
        <v>0</v>
      </c>
      <c r="H45" s="10">
        <f>G45/$G$48</f>
        <v>0</v>
      </c>
    </row>
    <row r="46" spans="1:11" ht="16" thickBot="1" x14ac:dyDescent="0.25">
      <c r="B46" s="8"/>
      <c r="C46" s="11"/>
      <c r="E46" s="8"/>
      <c r="F46" s="8"/>
      <c r="G46" s="9"/>
      <c r="H46" s="18"/>
    </row>
    <row r="47" spans="1:11" ht="16" thickTop="1" x14ac:dyDescent="0.2">
      <c r="A47" s="19" t="s">
        <v>50</v>
      </c>
      <c r="B47" s="20"/>
      <c r="C47" s="20"/>
      <c r="D47" s="20"/>
      <c r="E47" s="20"/>
      <c r="F47" s="21">
        <f>361825</f>
        <v>361825</v>
      </c>
      <c r="G47" s="22">
        <f>F47</f>
        <v>361825</v>
      </c>
      <c r="H47" s="23">
        <f>G47/$G$48</f>
        <v>0.13642428639913581</v>
      </c>
    </row>
    <row r="48" spans="1:11" x14ac:dyDescent="0.2">
      <c r="A48" s="24" t="s">
        <v>51</v>
      </c>
      <c r="B48" s="25">
        <f>SUM(B5:B43)</f>
        <v>1190705</v>
      </c>
      <c r="C48" s="25">
        <f>SUM(C5:C43)</f>
        <v>141910</v>
      </c>
      <c r="D48" s="25">
        <f>SUM(D5:D43)</f>
        <v>96328</v>
      </c>
      <c r="E48" s="25">
        <f>SUM(E5:E43)</f>
        <v>681210.72083465068</v>
      </c>
      <c r="F48" s="25">
        <f>SUM(F5:F43)</f>
        <v>180225</v>
      </c>
      <c r="G48" s="25">
        <f>SUM(G5:G47)</f>
        <v>2652203.7208346506</v>
      </c>
      <c r="H48" s="26">
        <f>SUM(H5:H47)</f>
        <v>1.0000000000000002</v>
      </c>
    </row>
    <row r="49" spans="1:8" x14ac:dyDescent="0.2">
      <c r="C49" s="27"/>
      <c r="D49" s="27"/>
      <c r="E49" s="27"/>
    </row>
    <row r="50" spans="1:8" x14ac:dyDescent="0.2">
      <c r="B50" s="28"/>
      <c r="C50" s="8"/>
    </row>
    <row r="51" spans="1:8" x14ac:dyDescent="0.2">
      <c r="A51" s="28"/>
      <c r="B51" s="35"/>
      <c r="C51" s="36"/>
      <c r="E51" s="29"/>
      <c r="F51" s="30"/>
      <c r="G51" s="11"/>
    </row>
    <row r="52" spans="1:8" x14ac:dyDescent="0.2">
      <c r="B52" s="37"/>
      <c r="C52" s="38"/>
      <c r="F52" s="7"/>
      <c r="H52" s="32"/>
    </row>
    <row r="53" spans="1:8" x14ac:dyDescent="0.2">
      <c r="B53" s="39"/>
      <c r="C53" s="31"/>
      <c r="F53" s="11"/>
      <c r="H53" s="7"/>
    </row>
    <row r="54" spans="1:8" x14ac:dyDescent="0.2">
      <c r="A54" s="28"/>
      <c r="B54" s="31"/>
      <c r="C54" s="31"/>
      <c r="F54" s="33"/>
    </row>
    <row r="55" spans="1:8" x14ac:dyDescent="0.2">
      <c r="A55" s="34"/>
      <c r="B55" s="31"/>
      <c r="C55" s="31"/>
    </row>
    <row r="56" spans="1:8" x14ac:dyDescent="0.2">
      <c r="A56" s="28"/>
      <c r="B56" s="31"/>
      <c r="C56" s="31"/>
    </row>
    <row r="68" spans="1:9" s="1" customFormat="1" x14ac:dyDescent="0.2">
      <c r="A68"/>
      <c r="B68"/>
      <c r="C68"/>
      <c r="D68"/>
      <c r="E68"/>
      <c r="F68"/>
      <c r="G68"/>
      <c r="H68"/>
      <c r="I68"/>
    </row>
    <row r="69" spans="1:9" s="1" customFormat="1" x14ac:dyDescent="0.2">
      <c r="A69"/>
      <c r="B69"/>
      <c r="C69"/>
      <c r="D69"/>
      <c r="E69"/>
      <c r="F69"/>
      <c r="G69"/>
      <c r="H69"/>
      <c r="I69"/>
    </row>
    <row r="70" spans="1:9" s="1" customFormat="1" x14ac:dyDescent="0.2">
      <c r="A70"/>
      <c r="B70"/>
      <c r="C70"/>
      <c r="D70"/>
      <c r="E70"/>
      <c r="F70"/>
      <c r="G70"/>
      <c r="H70"/>
      <c r="I70"/>
    </row>
  </sheetData>
  <mergeCells count="1">
    <mergeCell ref="A1:H1"/>
  </mergeCells>
  <pageMargins left="0.7" right="0.7" top="0.75" bottom="0.75" header="0.3" footer="0.3"/>
  <pageSetup scale="4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9842-D971-40A3-997B-E57BB89A1E6E}">
  <sheetPr>
    <pageSetUpPr fitToPage="1"/>
  </sheetPr>
  <dimension ref="A1:L69"/>
  <sheetViews>
    <sheetView zoomScale="80" zoomScaleNormal="80" workbookViewId="0">
      <selection activeCell="G34" sqref="G34:G35"/>
    </sheetView>
  </sheetViews>
  <sheetFormatPr baseColWidth="10" defaultColWidth="8.83203125" defaultRowHeight="15" x14ac:dyDescent="0.2"/>
  <cols>
    <col min="1" max="1" width="51.83203125" customWidth="1"/>
    <col min="2" max="8" width="15.33203125" customWidth="1"/>
    <col min="9" max="9" width="2.33203125" customWidth="1"/>
    <col min="11" max="11" width="12.1640625" customWidth="1"/>
  </cols>
  <sheetData>
    <row r="1" spans="1:8" ht="69" customHeight="1" thickBot="1" x14ac:dyDescent="0.25">
      <c r="A1" s="111" t="s">
        <v>72</v>
      </c>
      <c r="B1" s="112"/>
      <c r="C1" s="112"/>
      <c r="D1" s="112"/>
      <c r="E1" s="112"/>
      <c r="F1" s="112"/>
      <c r="G1" s="112"/>
      <c r="H1" s="113"/>
    </row>
    <row r="3" spans="1:8" ht="46" x14ac:dyDescent="0.2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</row>
    <row r="4" spans="1:8" x14ac:dyDescent="0.2">
      <c r="A4" s="5" t="s">
        <v>8</v>
      </c>
      <c r="B4" s="3"/>
      <c r="C4" s="6">
        <f>'[1]2) Round Modeling'!J59</f>
        <v>3.9327999999999999</v>
      </c>
      <c r="D4" s="6">
        <f>'[1]2) Round Modeling'!I77</f>
        <v>4.5547000000000004</v>
      </c>
      <c r="E4" s="6">
        <f>'[1]2) Round Modeling'!B10</f>
        <v>5.0608000000000004</v>
      </c>
      <c r="F4" s="4"/>
      <c r="G4" s="4"/>
      <c r="H4" s="4"/>
    </row>
    <row r="5" spans="1:8" x14ac:dyDescent="0.2">
      <c r="A5" s="7" t="s">
        <v>9</v>
      </c>
      <c r="E5" s="8">
        <v>148197</v>
      </c>
      <c r="G5" s="9">
        <f>SUM(B5:F5)</f>
        <v>148197</v>
      </c>
      <c r="H5" s="10">
        <f t="shared" ref="H5:H44" si="0">G5/$G$47</f>
        <v>5.5876929376059502E-2</v>
      </c>
    </row>
    <row r="6" spans="1:8" x14ac:dyDescent="0.2">
      <c r="A6" s="7" t="s">
        <v>10</v>
      </c>
      <c r="E6" s="8">
        <v>49399</v>
      </c>
      <c r="G6" s="9">
        <f t="shared" ref="G6:G43" si="1">SUM(B6:F6)</f>
        <v>49399</v>
      </c>
      <c r="H6" s="10">
        <f t="shared" si="0"/>
        <v>1.8625643125353166E-2</v>
      </c>
    </row>
    <row r="7" spans="1:8" x14ac:dyDescent="0.2">
      <c r="A7" s="7" t="s">
        <v>11</v>
      </c>
      <c r="C7" s="8"/>
      <c r="E7" s="8">
        <v>14819</v>
      </c>
      <c r="G7" s="9">
        <f t="shared" si="1"/>
        <v>14819</v>
      </c>
      <c r="H7" s="10">
        <f t="shared" si="0"/>
        <v>5.5874290061460469E-3</v>
      </c>
    </row>
    <row r="8" spans="1:8" x14ac:dyDescent="0.2">
      <c r="A8" s="7" t="s">
        <v>12</v>
      </c>
      <c r="C8" s="8"/>
      <c r="E8" s="8">
        <f>(550000*1.15)/E4</f>
        <v>124980.24027821688</v>
      </c>
      <c r="G8" s="9">
        <f t="shared" si="1"/>
        <v>124980.24027821688</v>
      </c>
      <c r="H8" s="10">
        <f t="shared" si="0"/>
        <v>4.7123167536649677E-2</v>
      </c>
    </row>
    <row r="9" spans="1:8" x14ac:dyDescent="0.2">
      <c r="A9" s="7" t="s">
        <v>13</v>
      </c>
      <c r="C9" s="8"/>
      <c r="E9" s="8">
        <f>+E8*2</f>
        <v>249960.48055643376</v>
      </c>
      <c r="G9" s="9">
        <f t="shared" ref="G9" si="2">SUM(B9:F9)</f>
        <v>249960.48055643376</v>
      </c>
      <c r="H9" s="10">
        <f t="shared" si="0"/>
        <v>9.4246335073299353E-2</v>
      </c>
    </row>
    <row r="10" spans="1:8" x14ac:dyDescent="0.2">
      <c r="A10" t="s">
        <v>14</v>
      </c>
      <c r="B10" s="8"/>
      <c r="C10" s="8"/>
      <c r="D10" s="8">
        <v>16988</v>
      </c>
      <c r="E10" s="8"/>
      <c r="F10" s="8"/>
      <c r="G10" s="9">
        <f t="shared" si="1"/>
        <v>16988</v>
      </c>
      <c r="H10" s="10">
        <f t="shared" si="0"/>
        <v>6.4052394869025609E-3</v>
      </c>
    </row>
    <row r="11" spans="1:8" x14ac:dyDescent="0.2">
      <c r="A11" t="s">
        <v>15</v>
      </c>
      <c r="B11" s="8"/>
      <c r="C11" s="8"/>
      <c r="D11" s="8">
        <v>5681</v>
      </c>
      <c r="E11" s="8"/>
      <c r="F11" s="8"/>
      <c r="G11" s="9">
        <f t="shared" si="1"/>
        <v>5681</v>
      </c>
      <c r="H11" s="10">
        <f t="shared" si="0"/>
        <v>2.1419923195840269E-3</v>
      </c>
    </row>
    <row r="12" spans="1:8" x14ac:dyDescent="0.2">
      <c r="A12" t="s">
        <v>16</v>
      </c>
      <c r="B12" s="8"/>
      <c r="C12" s="11">
        <v>3412</v>
      </c>
      <c r="E12" s="8"/>
      <c r="F12" s="8"/>
      <c r="G12" s="9">
        <f t="shared" si="1"/>
        <v>3412</v>
      </c>
      <c r="H12" s="10">
        <f t="shared" si="0"/>
        <v>1.2864773445556592E-3</v>
      </c>
    </row>
    <row r="13" spans="1:8" x14ac:dyDescent="0.2">
      <c r="A13" t="s">
        <v>17</v>
      </c>
      <c r="B13" s="8"/>
      <c r="C13" s="11">
        <v>3412</v>
      </c>
      <c r="E13" s="8"/>
      <c r="F13" s="8"/>
      <c r="G13" s="9">
        <f t="shared" si="1"/>
        <v>3412</v>
      </c>
      <c r="H13" s="10">
        <f t="shared" si="0"/>
        <v>1.2864773445556592E-3</v>
      </c>
    </row>
    <row r="14" spans="1:8" x14ac:dyDescent="0.2">
      <c r="A14" t="s">
        <v>18</v>
      </c>
      <c r="B14" s="8">
        <v>26939</v>
      </c>
      <c r="C14" s="11"/>
      <c r="D14" s="8"/>
      <c r="E14" s="8"/>
      <c r="F14" s="8">
        <v>5000</v>
      </c>
      <c r="G14" s="9">
        <f t="shared" si="1"/>
        <v>31939</v>
      </c>
      <c r="H14" s="10">
        <f t="shared" si="0"/>
        <v>1.2042438425487455E-2</v>
      </c>
    </row>
    <row r="15" spans="1:8" x14ac:dyDescent="0.2">
      <c r="A15" t="s">
        <v>19</v>
      </c>
      <c r="B15" s="8"/>
      <c r="C15" s="11"/>
      <c r="D15" s="8"/>
      <c r="E15" s="8"/>
      <c r="F15" s="8">
        <v>15000</v>
      </c>
      <c r="G15" s="9">
        <f t="shared" si="1"/>
        <v>15000</v>
      </c>
      <c r="H15" s="10">
        <f t="shared" si="0"/>
        <v>5.655674140778103E-3</v>
      </c>
    </row>
    <row r="16" spans="1:8" x14ac:dyDescent="0.2">
      <c r="A16" s="7" t="s">
        <v>20</v>
      </c>
      <c r="B16" s="8"/>
      <c r="C16" s="11">
        <v>3412</v>
      </c>
      <c r="E16" s="8"/>
      <c r="F16" s="8"/>
      <c r="G16" s="9">
        <f t="shared" si="1"/>
        <v>3412</v>
      </c>
      <c r="H16" s="10">
        <f t="shared" si="0"/>
        <v>1.2864773445556592E-3</v>
      </c>
    </row>
    <row r="17" spans="1:8" x14ac:dyDescent="0.2">
      <c r="A17" s="7" t="s">
        <v>21</v>
      </c>
      <c r="B17" s="8"/>
      <c r="C17" s="11">
        <v>3412</v>
      </c>
      <c r="E17" s="8"/>
      <c r="F17" s="8"/>
      <c r="G17" s="9">
        <f t="shared" si="1"/>
        <v>3412</v>
      </c>
      <c r="H17" s="10">
        <f t="shared" si="0"/>
        <v>1.2864773445556592E-3</v>
      </c>
    </row>
    <row r="18" spans="1:8" x14ac:dyDescent="0.2">
      <c r="A18" t="s">
        <v>22</v>
      </c>
      <c r="B18" s="8"/>
      <c r="C18" s="11">
        <v>6823</v>
      </c>
      <c r="E18" s="8"/>
      <c r="F18" s="8"/>
      <c r="G18" s="9">
        <f t="shared" si="1"/>
        <v>6823</v>
      </c>
      <c r="H18" s="10">
        <f t="shared" si="0"/>
        <v>2.5725776441685999E-3</v>
      </c>
    </row>
    <row r="19" spans="1:8" x14ac:dyDescent="0.2">
      <c r="A19" t="s">
        <v>23</v>
      </c>
      <c r="B19" s="8"/>
      <c r="C19" s="11"/>
      <c r="D19" s="8"/>
      <c r="E19" s="8"/>
      <c r="F19" s="8">
        <v>25000</v>
      </c>
      <c r="G19" s="9">
        <f t="shared" si="1"/>
        <v>25000</v>
      </c>
      <c r="H19" s="10">
        <f t="shared" si="0"/>
        <v>9.4261235679635041E-3</v>
      </c>
    </row>
    <row r="20" spans="1:8" x14ac:dyDescent="0.2">
      <c r="A20" t="s">
        <v>24</v>
      </c>
      <c r="B20" s="8"/>
      <c r="C20" s="11">
        <v>6823</v>
      </c>
      <c r="E20" s="8"/>
      <c r="F20" s="8"/>
      <c r="G20" s="9">
        <f t="shared" si="1"/>
        <v>6823</v>
      </c>
      <c r="H20" s="10">
        <f t="shared" si="0"/>
        <v>2.5725776441685999E-3</v>
      </c>
    </row>
    <row r="21" spans="1:8" x14ac:dyDescent="0.2">
      <c r="A21" t="s">
        <v>25</v>
      </c>
      <c r="B21" s="8"/>
      <c r="C21" s="11">
        <v>27288</v>
      </c>
      <c r="E21" s="8"/>
      <c r="F21" s="8"/>
      <c r="G21" s="9">
        <f t="shared" si="1"/>
        <v>27288</v>
      </c>
      <c r="H21" s="10">
        <f t="shared" si="0"/>
        <v>1.0288802396903525E-2</v>
      </c>
    </row>
    <row r="22" spans="1:8" x14ac:dyDescent="0.2">
      <c r="A22" t="s">
        <v>26</v>
      </c>
      <c r="B22" s="8"/>
      <c r="C22" s="11">
        <v>9550</v>
      </c>
      <c r="D22" s="12">
        <v>22721</v>
      </c>
      <c r="E22" s="8"/>
      <c r="F22" s="8"/>
      <c r="G22" s="9">
        <f t="shared" si="1"/>
        <v>32271</v>
      </c>
      <c r="H22" s="10">
        <f t="shared" si="0"/>
        <v>1.2167617346470011E-2</v>
      </c>
    </row>
    <row r="23" spans="1:8" x14ac:dyDescent="0.2">
      <c r="A23" t="s">
        <v>27</v>
      </c>
      <c r="B23" s="8"/>
      <c r="C23" s="11">
        <v>5457</v>
      </c>
      <c r="E23" s="8"/>
      <c r="F23" s="8"/>
      <c r="G23" s="9">
        <f t="shared" si="1"/>
        <v>5457</v>
      </c>
      <c r="H23" s="10">
        <f t="shared" si="0"/>
        <v>2.0575342524150738E-3</v>
      </c>
    </row>
    <row r="24" spans="1:8" x14ac:dyDescent="0.2">
      <c r="A24" t="s">
        <v>28</v>
      </c>
      <c r="B24" s="8"/>
      <c r="C24" s="11"/>
      <c r="D24" s="8">
        <v>11312</v>
      </c>
      <c r="E24" s="8"/>
      <c r="F24" s="8"/>
      <c r="G24" s="9">
        <f t="shared" si="1"/>
        <v>11312</v>
      </c>
      <c r="H24" s="10">
        <f t="shared" si="0"/>
        <v>4.2651323920321269E-3</v>
      </c>
    </row>
    <row r="25" spans="1:8" x14ac:dyDescent="0.2">
      <c r="A25" t="s">
        <v>29</v>
      </c>
      <c r="B25" s="8"/>
      <c r="C25" s="11"/>
      <c r="D25" s="8">
        <v>22627</v>
      </c>
      <c r="E25" s="8"/>
      <c r="F25" s="8"/>
      <c r="G25" s="9">
        <f t="shared" si="1"/>
        <v>22627</v>
      </c>
      <c r="H25" s="10">
        <f t="shared" si="0"/>
        <v>8.531395918892409E-3</v>
      </c>
    </row>
    <row r="26" spans="1:8" x14ac:dyDescent="0.2">
      <c r="A26" t="s">
        <v>30</v>
      </c>
      <c r="B26" s="8"/>
      <c r="C26" s="11"/>
      <c r="D26" s="8">
        <v>5680</v>
      </c>
      <c r="E26" s="8"/>
      <c r="F26" s="8"/>
      <c r="G26" s="9">
        <f t="shared" si="1"/>
        <v>5680</v>
      </c>
      <c r="H26" s="10">
        <f t="shared" si="0"/>
        <v>2.1416152746413083E-3</v>
      </c>
    </row>
    <row r="27" spans="1:8" x14ac:dyDescent="0.2">
      <c r="A27" t="s">
        <v>31</v>
      </c>
      <c r="B27" s="8"/>
      <c r="C27" s="11">
        <v>6823</v>
      </c>
      <c r="E27" s="8"/>
      <c r="F27" s="8"/>
      <c r="G27" s="9">
        <f t="shared" si="1"/>
        <v>6823</v>
      </c>
      <c r="H27" s="10">
        <f t="shared" si="0"/>
        <v>2.5725776441685999E-3</v>
      </c>
    </row>
    <row r="28" spans="1:8" x14ac:dyDescent="0.2">
      <c r="A28" t="s">
        <v>32</v>
      </c>
      <c r="B28" s="8"/>
      <c r="C28" s="11">
        <v>6823</v>
      </c>
      <c r="E28" s="8"/>
      <c r="F28" s="8"/>
      <c r="G28" s="9">
        <f t="shared" si="1"/>
        <v>6823</v>
      </c>
      <c r="H28" s="10">
        <f t="shared" si="0"/>
        <v>2.5725776441685999E-3</v>
      </c>
    </row>
    <row r="29" spans="1:8" x14ac:dyDescent="0.2">
      <c r="A29" t="s">
        <v>33</v>
      </c>
      <c r="B29" s="8"/>
      <c r="C29" s="11">
        <v>6823</v>
      </c>
      <c r="E29" s="8"/>
      <c r="F29" s="8"/>
      <c r="G29" s="9">
        <f t="shared" si="1"/>
        <v>6823</v>
      </c>
      <c r="H29" s="10">
        <f t="shared" si="0"/>
        <v>2.5725776441685999E-3</v>
      </c>
    </row>
    <row r="30" spans="1:8" x14ac:dyDescent="0.2">
      <c r="A30" t="s">
        <v>34</v>
      </c>
      <c r="B30" s="8"/>
      <c r="C30" s="11">
        <v>6823</v>
      </c>
      <c r="E30" s="8"/>
      <c r="F30" s="8"/>
      <c r="G30" s="9">
        <f t="shared" si="1"/>
        <v>6823</v>
      </c>
      <c r="H30" s="10">
        <f t="shared" si="0"/>
        <v>2.5725776441685999E-3</v>
      </c>
    </row>
    <row r="31" spans="1:8" x14ac:dyDescent="0.2">
      <c r="A31" t="s">
        <v>35</v>
      </c>
      <c r="B31" s="8"/>
      <c r="C31" s="11">
        <v>13644</v>
      </c>
      <c r="D31" s="8">
        <v>11319</v>
      </c>
      <c r="E31" s="8"/>
      <c r="F31" s="8"/>
      <c r="G31" s="9">
        <f t="shared" si="1"/>
        <v>24963</v>
      </c>
      <c r="H31" s="10">
        <f t="shared" si="0"/>
        <v>9.4121729050829182E-3</v>
      </c>
    </row>
    <row r="32" spans="1:8" x14ac:dyDescent="0.2">
      <c r="A32" t="s">
        <v>36</v>
      </c>
      <c r="B32" s="8">
        <v>10000</v>
      </c>
      <c r="C32" s="11">
        <v>4093</v>
      </c>
      <c r="E32" s="8"/>
      <c r="F32" s="8">
        <v>5000</v>
      </c>
      <c r="G32" s="9">
        <f t="shared" si="1"/>
        <v>19093</v>
      </c>
      <c r="H32" s="10">
        <f t="shared" si="0"/>
        <v>7.1989190913250879E-3</v>
      </c>
    </row>
    <row r="33" spans="1:12" x14ac:dyDescent="0.2">
      <c r="A33" t="s">
        <v>37</v>
      </c>
      <c r="B33" s="8"/>
      <c r="C33" s="11">
        <v>6823</v>
      </c>
      <c r="E33" s="8"/>
      <c r="F33" s="8"/>
      <c r="G33" s="9">
        <f t="shared" si="1"/>
        <v>6823</v>
      </c>
      <c r="H33" s="10">
        <f t="shared" si="0"/>
        <v>2.5725776441685999E-3</v>
      </c>
      <c r="L33" s="46"/>
    </row>
    <row r="34" spans="1:12" x14ac:dyDescent="0.2">
      <c r="A34" s="40" t="s">
        <v>38</v>
      </c>
      <c r="B34" s="41">
        <f>739977</f>
        <v>739977</v>
      </c>
      <c r="C34" s="42">
        <v>6823</v>
      </c>
      <c r="D34" s="13"/>
      <c r="E34" s="41">
        <v>49399</v>
      </c>
      <c r="F34" s="41"/>
      <c r="G34" s="41">
        <f t="shared" si="1"/>
        <v>796199</v>
      </c>
      <c r="H34" s="47">
        <f t="shared" si="0"/>
        <v>0.30020280634755897</v>
      </c>
      <c r="K34" s="50">
        <f>H34+H35</f>
        <v>0.45557774861267131</v>
      </c>
    </row>
    <row r="35" spans="1:12" x14ac:dyDescent="0.2">
      <c r="A35" s="13" t="s">
        <v>39</v>
      </c>
      <c r="B35" s="41">
        <v>370686</v>
      </c>
      <c r="C35" s="42">
        <v>6823</v>
      </c>
      <c r="D35" s="13"/>
      <c r="E35" s="41">
        <v>34577</v>
      </c>
      <c r="F35" s="41"/>
      <c r="G35" s="41">
        <f t="shared" si="1"/>
        <v>412086</v>
      </c>
      <c r="H35" s="47">
        <f t="shared" si="0"/>
        <v>0.15537494226511236</v>
      </c>
      <c r="K35" s="51" t="s">
        <v>52</v>
      </c>
    </row>
    <row r="36" spans="1:12" x14ac:dyDescent="0.2">
      <c r="A36" t="s">
        <v>40</v>
      </c>
      <c r="B36" s="8"/>
      <c r="C36" s="11"/>
      <c r="D36" s="8"/>
      <c r="E36" s="8">
        <v>9879</v>
      </c>
      <c r="F36" s="8">
        <v>2914</v>
      </c>
      <c r="G36" s="9">
        <f t="shared" si="1"/>
        <v>12793</v>
      </c>
      <c r="H36" s="10">
        <f t="shared" si="0"/>
        <v>4.823535952198285E-3</v>
      </c>
      <c r="L36" s="46"/>
    </row>
    <row r="37" spans="1:12" x14ac:dyDescent="0.2">
      <c r="A37" t="s">
        <v>41</v>
      </c>
      <c r="B37" s="8">
        <v>26939</v>
      </c>
      <c r="C37" s="11"/>
      <c r="D37" s="8"/>
      <c r="E37" s="8"/>
      <c r="F37" s="8">
        <v>2914</v>
      </c>
      <c r="G37" s="9">
        <f t="shared" si="1"/>
        <v>29853</v>
      </c>
      <c r="H37" s="10">
        <f t="shared" si="0"/>
        <v>1.1255922674976581E-2</v>
      </c>
    </row>
    <row r="38" spans="1:12" x14ac:dyDescent="0.2">
      <c r="A38" t="s">
        <v>43</v>
      </c>
      <c r="B38" s="8"/>
      <c r="C38" s="11"/>
      <c r="D38" s="8"/>
      <c r="E38" s="8"/>
      <c r="F38" s="8">
        <v>19483</v>
      </c>
      <c r="G38" s="9">
        <f t="shared" si="1"/>
        <v>19483</v>
      </c>
      <c r="H38" s="10">
        <f t="shared" si="0"/>
        <v>7.3459666189853185E-3</v>
      </c>
    </row>
    <row r="39" spans="1:12" x14ac:dyDescent="0.2">
      <c r="A39" t="s">
        <v>44</v>
      </c>
      <c r="B39" s="8">
        <v>16164</v>
      </c>
      <c r="C39" s="11"/>
      <c r="D39" s="8"/>
      <c r="E39" s="8"/>
      <c r="F39" s="8">
        <v>15000</v>
      </c>
      <c r="G39" s="9">
        <f t="shared" si="1"/>
        <v>31164</v>
      </c>
      <c r="H39" s="10">
        <f t="shared" si="0"/>
        <v>1.1750228594880587E-2</v>
      </c>
    </row>
    <row r="40" spans="1:12" x14ac:dyDescent="0.2">
      <c r="A40" t="s">
        <v>45</v>
      </c>
      <c r="B40" s="8"/>
      <c r="C40" s="11"/>
      <c r="D40" s="8"/>
      <c r="E40" s="8"/>
      <c r="F40" s="8">
        <v>2914</v>
      </c>
      <c r="G40" s="9">
        <f t="shared" si="1"/>
        <v>2914</v>
      </c>
      <c r="H40" s="10">
        <f t="shared" si="0"/>
        <v>1.0987089630818262E-3</v>
      </c>
    </row>
    <row r="41" spans="1:12" x14ac:dyDescent="0.2">
      <c r="A41" t="s">
        <v>46</v>
      </c>
      <c r="B41" s="8"/>
      <c r="C41" s="11"/>
      <c r="D41" s="8"/>
      <c r="E41" s="8"/>
      <c r="F41" s="8">
        <v>87000</v>
      </c>
      <c r="G41" s="9">
        <f t="shared" si="1"/>
        <v>87000</v>
      </c>
      <c r="H41" s="10">
        <f t="shared" si="0"/>
        <v>3.2802910016512997E-2</v>
      </c>
    </row>
    <row r="42" spans="1:12" x14ac:dyDescent="0.2">
      <c r="A42" t="s">
        <v>47</v>
      </c>
      <c r="B42" s="8"/>
      <c r="C42" s="11">
        <v>6823</v>
      </c>
      <c r="E42" s="8"/>
      <c r="F42" s="8"/>
      <c r="G42" s="9">
        <f t="shared" si="1"/>
        <v>6823</v>
      </c>
      <c r="H42" s="10">
        <f t="shared" si="0"/>
        <v>2.5725776441685999E-3</v>
      </c>
    </row>
    <row r="43" spans="1:12" x14ac:dyDescent="0.2">
      <c r="A43" s="43" t="s">
        <v>48</v>
      </c>
      <c r="B43" s="15"/>
      <c r="C43" s="16"/>
      <c r="D43" s="17"/>
      <c r="E43" s="15"/>
      <c r="F43" s="15">
        <v>0</v>
      </c>
      <c r="G43" s="15">
        <f t="shared" si="1"/>
        <v>0</v>
      </c>
      <c r="H43" s="48">
        <f t="shared" si="0"/>
        <v>0</v>
      </c>
    </row>
    <row r="44" spans="1:12" x14ac:dyDescent="0.2">
      <c r="A44" s="7" t="s">
        <v>49</v>
      </c>
      <c r="B44" s="8"/>
      <c r="C44" s="11"/>
      <c r="E44" s="8"/>
      <c r="F44" s="8"/>
      <c r="G44" s="9">
        <v>0</v>
      </c>
      <c r="H44" s="10">
        <f t="shared" si="0"/>
        <v>0</v>
      </c>
    </row>
    <row r="45" spans="1:12" ht="16" thickBot="1" x14ac:dyDescent="0.25">
      <c r="B45" s="8"/>
      <c r="C45" s="11"/>
      <c r="E45" s="8"/>
      <c r="F45" s="8"/>
      <c r="G45" s="9"/>
      <c r="H45" s="18"/>
    </row>
    <row r="46" spans="1:12" ht="16" thickTop="1" x14ac:dyDescent="0.2">
      <c r="A46" s="19" t="s">
        <v>50</v>
      </c>
      <c r="B46" s="20"/>
      <c r="C46" s="20"/>
      <c r="D46" s="20"/>
      <c r="E46" s="20"/>
      <c r="F46" s="21">
        <f>361825</f>
        <v>361825</v>
      </c>
      <c r="G46" s="22">
        <f>F46</f>
        <v>361825</v>
      </c>
      <c r="H46" s="23">
        <f>G46/$G$47</f>
        <v>0.13642428639913581</v>
      </c>
    </row>
    <row r="47" spans="1:12" x14ac:dyDescent="0.2">
      <c r="A47" s="24" t="s">
        <v>51</v>
      </c>
      <c r="B47" s="25">
        <f>SUM(B5:B42)</f>
        <v>1190705</v>
      </c>
      <c r="C47" s="25">
        <f>SUM(C5:C42)</f>
        <v>141910</v>
      </c>
      <c r="D47" s="25">
        <f>SUM(D5:D42)</f>
        <v>96328</v>
      </c>
      <c r="E47" s="25">
        <f>SUM(E5:E42)</f>
        <v>681210.72083465068</v>
      </c>
      <c r="F47" s="25">
        <f>SUM(F5:F42)</f>
        <v>180225</v>
      </c>
      <c r="G47" s="25">
        <f>SUM(G5:G46)</f>
        <v>2652203.7208346506</v>
      </c>
      <c r="H47" s="26">
        <f>SUM(H5:H46)</f>
        <v>1.0000000000000002</v>
      </c>
    </row>
    <row r="48" spans="1:12" x14ac:dyDescent="0.2">
      <c r="C48" s="27"/>
      <c r="D48" s="27"/>
      <c r="E48" s="27"/>
    </row>
    <row r="49" spans="1:8" x14ac:dyDescent="0.2">
      <c r="B49" s="28"/>
      <c r="C49" s="8"/>
    </row>
    <row r="50" spans="1:8" x14ac:dyDescent="0.2">
      <c r="A50" s="28"/>
      <c r="B50" s="35"/>
      <c r="C50" s="36"/>
      <c r="E50" s="29"/>
      <c r="F50" s="30"/>
      <c r="G50" s="11"/>
    </row>
    <row r="51" spans="1:8" x14ac:dyDescent="0.2">
      <c r="B51" s="37"/>
      <c r="C51" s="38"/>
      <c r="F51" s="7"/>
      <c r="H51" s="32"/>
    </row>
    <row r="52" spans="1:8" x14ac:dyDescent="0.2">
      <c r="B52" s="39"/>
      <c r="C52" s="31"/>
      <c r="F52" s="11"/>
      <c r="H52" s="7"/>
    </row>
    <row r="53" spans="1:8" x14ac:dyDescent="0.2">
      <c r="A53" s="28"/>
      <c r="B53" s="31"/>
      <c r="C53" s="31"/>
      <c r="F53" s="33"/>
    </row>
    <row r="54" spans="1:8" x14ac:dyDescent="0.2">
      <c r="A54" s="34"/>
      <c r="B54" s="31"/>
      <c r="C54" s="31"/>
    </row>
    <row r="55" spans="1:8" x14ac:dyDescent="0.2">
      <c r="A55" s="28"/>
      <c r="B55" s="31"/>
      <c r="C55" s="31"/>
    </row>
    <row r="67" spans="1:9" s="1" customFormat="1" x14ac:dyDescent="0.2">
      <c r="A67"/>
      <c r="B67"/>
      <c r="C67"/>
      <c r="D67"/>
      <c r="E67"/>
      <c r="F67"/>
      <c r="G67"/>
      <c r="H67"/>
      <c r="I67"/>
    </row>
    <row r="68" spans="1:9" s="1" customFormat="1" x14ac:dyDescent="0.2">
      <c r="A68"/>
      <c r="B68"/>
      <c r="C68"/>
      <c r="D68"/>
      <c r="E68"/>
      <c r="F68"/>
      <c r="G68"/>
      <c r="H68"/>
      <c r="I68"/>
    </row>
    <row r="69" spans="1:9" s="1" customFormat="1" x14ac:dyDescent="0.2">
      <c r="A69"/>
      <c r="B69"/>
      <c r="C69"/>
      <c r="D69"/>
      <c r="E69"/>
      <c r="F69"/>
      <c r="G69"/>
      <c r="H69"/>
      <c r="I69"/>
    </row>
  </sheetData>
  <mergeCells count="1">
    <mergeCell ref="A1:H1"/>
  </mergeCells>
  <pageMargins left="0.7" right="0.7" top="0.75" bottom="0.75" header="0.3" footer="0.3"/>
  <pageSetup scale="4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10E4-7897-4401-9DA3-CACFD1473319}">
  <sheetPr>
    <pageSetUpPr fitToPage="1"/>
  </sheetPr>
  <dimension ref="A1:M77"/>
  <sheetViews>
    <sheetView topLeftCell="A3" zoomScale="120" zoomScaleNormal="120" workbookViewId="0">
      <selection activeCell="A6" sqref="A6"/>
    </sheetView>
  </sheetViews>
  <sheetFormatPr baseColWidth="10" defaultColWidth="8.83203125" defaultRowHeight="15" x14ac:dyDescent="0.2"/>
  <cols>
    <col min="1" max="1" width="51.83203125" customWidth="1"/>
    <col min="2" max="5" width="15.33203125" customWidth="1"/>
    <col min="6" max="6" width="5" customWidth="1"/>
    <col min="7" max="9" width="15.33203125" customWidth="1"/>
    <col min="10" max="10" width="2.33203125" customWidth="1"/>
    <col min="12" max="12" width="12.1640625" style="1" customWidth="1"/>
  </cols>
  <sheetData>
    <row r="1" spans="1:12" ht="69" customHeight="1" thickBot="1" x14ac:dyDescent="0.25">
      <c r="A1" s="111" t="s">
        <v>82</v>
      </c>
      <c r="B1" s="112"/>
      <c r="C1" s="112"/>
      <c r="D1" s="112"/>
      <c r="E1" s="112"/>
      <c r="F1" s="112"/>
      <c r="G1" s="112"/>
      <c r="H1" s="112"/>
      <c r="I1" s="113"/>
    </row>
    <row r="3" spans="1:12" ht="46" x14ac:dyDescent="0.2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65"/>
      <c r="G3" s="4" t="s">
        <v>55</v>
      </c>
      <c r="H3" s="4" t="s">
        <v>6</v>
      </c>
      <c r="I3" s="4" t="s">
        <v>7</v>
      </c>
    </row>
    <row r="4" spans="1:12" x14ac:dyDescent="0.2">
      <c r="A4" s="5" t="s">
        <v>8</v>
      </c>
      <c r="B4" s="3"/>
      <c r="C4" s="6">
        <v>3.9327999999999999</v>
      </c>
      <c r="D4" s="6">
        <v>4.5547000000000004</v>
      </c>
      <c r="E4" s="6">
        <v>5.0608000000000004</v>
      </c>
      <c r="F4" s="65"/>
      <c r="G4" s="4"/>
      <c r="H4" s="4"/>
      <c r="I4" s="4"/>
    </row>
    <row r="5" spans="1:12" x14ac:dyDescent="0.2">
      <c r="A5" s="7" t="s">
        <v>9</v>
      </c>
      <c r="E5" s="8">
        <v>148197</v>
      </c>
      <c r="F5" s="8"/>
      <c r="H5" s="9">
        <f>SUM(B5:G5)</f>
        <v>148197</v>
      </c>
      <c r="I5" s="10">
        <f t="shared" ref="I5:I31" si="0">H5/$H$62</f>
        <v>5.4034387681864145E-2</v>
      </c>
    </row>
    <row r="6" spans="1:12" x14ac:dyDescent="0.2">
      <c r="A6" s="7" t="s">
        <v>10</v>
      </c>
      <c r="E6" s="8">
        <v>49399</v>
      </c>
      <c r="F6" s="8"/>
      <c r="H6" s="9">
        <f t="shared" ref="H6:H45" si="1">SUM(B6:G6)</f>
        <v>49399</v>
      </c>
      <c r="I6" s="10">
        <f t="shared" si="0"/>
        <v>1.8011462560621382E-2</v>
      </c>
      <c r="K6" s="46"/>
      <c r="L6" s="1" t="s">
        <v>81</v>
      </c>
    </row>
    <row r="7" spans="1:12" x14ac:dyDescent="0.2">
      <c r="A7" s="7" t="s">
        <v>11</v>
      </c>
      <c r="C7" s="8"/>
      <c r="E7" s="8">
        <v>14819</v>
      </c>
      <c r="F7" s="8"/>
      <c r="H7" s="9">
        <f t="shared" si="1"/>
        <v>14819</v>
      </c>
      <c r="I7" s="10">
        <f t="shared" si="0"/>
        <v>5.4031835398661559E-3</v>
      </c>
      <c r="L7" s="61">
        <f>I6+I40+I41</f>
        <v>5.3372617108623233E-2</v>
      </c>
    </row>
    <row r="8" spans="1:12" x14ac:dyDescent="0.2">
      <c r="A8" t="s">
        <v>14</v>
      </c>
      <c r="B8" s="8"/>
      <c r="C8" s="8"/>
      <c r="D8" s="8">
        <v>16988</v>
      </c>
      <c r="E8" s="8"/>
      <c r="F8" s="8"/>
      <c r="G8" s="8"/>
      <c r="H8" s="9">
        <f t="shared" si="1"/>
        <v>16988</v>
      </c>
      <c r="I8" s="10">
        <f t="shared" si="0"/>
        <v>6.1940267207805022E-3</v>
      </c>
    </row>
    <row r="9" spans="1:12" x14ac:dyDescent="0.2">
      <c r="A9" t="s">
        <v>15</v>
      </c>
      <c r="B9" s="8"/>
      <c r="C9" s="8"/>
      <c r="D9" s="8">
        <v>5681</v>
      </c>
      <c r="E9" s="8"/>
      <c r="F9" s="8"/>
      <c r="G9" s="8"/>
      <c r="H9" s="9">
        <f t="shared" si="1"/>
        <v>5681</v>
      </c>
      <c r="I9" s="10">
        <f t="shared" si="0"/>
        <v>2.0713601248383584E-3</v>
      </c>
    </row>
    <row r="10" spans="1:12" x14ac:dyDescent="0.2">
      <c r="A10" t="s">
        <v>16</v>
      </c>
      <c r="B10" s="8"/>
      <c r="C10" s="11">
        <v>3412</v>
      </c>
      <c r="E10" s="8"/>
      <c r="F10" s="8"/>
      <c r="G10" s="8"/>
      <c r="H10" s="9">
        <f t="shared" si="1"/>
        <v>3412</v>
      </c>
      <c r="I10" s="10">
        <f t="shared" si="0"/>
        <v>1.2440557553156978E-3</v>
      </c>
    </row>
    <row r="11" spans="1:12" x14ac:dyDescent="0.2">
      <c r="A11" t="s">
        <v>17</v>
      </c>
      <c r="B11" s="8"/>
      <c r="C11" s="11">
        <v>3412</v>
      </c>
      <c r="E11" s="8"/>
      <c r="F11" s="8"/>
      <c r="G11" s="8"/>
      <c r="H11" s="9">
        <f t="shared" si="1"/>
        <v>3412</v>
      </c>
      <c r="I11" s="10">
        <f t="shared" si="0"/>
        <v>1.2440557553156978E-3</v>
      </c>
    </row>
    <row r="12" spans="1:12" x14ac:dyDescent="0.2">
      <c r="A12" t="s">
        <v>18</v>
      </c>
      <c r="B12" s="8">
        <v>26939</v>
      </c>
      <c r="C12" s="11"/>
      <c r="D12" s="8"/>
      <c r="E12" s="8"/>
      <c r="F12" s="8"/>
      <c r="G12" s="8">
        <v>5000</v>
      </c>
      <c r="H12" s="9">
        <f t="shared" si="1"/>
        <v>31939</v>
      </c>
      <c r="I12" s="10">
        <f t="shared" si="0"/>
        <v>1.1645339029609634E-2</v>
      </c>
    </row>
    <row r="13" spans="1:12" x14ac:dyDescent="0.2">
      <c r="A13" t="s">
        <v>19</v>
      </c>
      <c r="B13" s="8"/>
      <c r="C13" s="11"/>
      <c r="D13" s="8"/>
      <c r="E13" s="8"/>
      <c r="F13" s="8"/>
      <c r="G13" s="8">
        <f>15000+5000</f>
        <v>20000</v>
      </c>
      <c r="H13" s="9">
        <f t="shared" si="1"/>
        <v>20000</v>
      </c>
      <c r="I13" s="10">
        <f t="shared" si="0"/>
        <v>7.2922377216629404E-3</v>
      </c>
      <c r="K13" s="51"/>
    </row>
    <row r="14" spans="1:12" x14ac:dyDescent="0.2">
      <c r="A14" s="7" t="s">
        <v>20</v>
      </c>
      <c r="B14" s="8"/>
      <c r="C14" s="11">
        <v>3412</v>
      </c>
      <c r="E14" s="8"/>
      <c r="F14" s="8"/>
      <c r="G14" s="8"/>
      <c r="H14" s="9">
        <f t="shared" si="1"/>
        <v>3412</v>
      </c>
      <c r="I14" s="10">
        <f t="shared" si="0"/>
        <v>1.2440557553156978E-3</v>
      </c>
    </row>
    <row r="15" spans="1:12" x14ac:dyDescent="0.2">
      <c r="A15" s="7" t="s">
        <v>21</v>
      </c>
      <c r="B15" s="8"/>
      <c r="C15" s="11">
        <v>3412</v>
      </c>
      <c r="E15" s="8"/>
      <c r="F15" s="8"/>
      <c r="G15" s="8"/>
      <c r="H15" s="9">
        <f t="shared" si="1"/>
        <v>3412</v>
      </c>
      <c r="I15" s="10">
        <f t="shared" si="0"/>
        <v>1.2440557553156978E-3</v>
      </c>
    </row>
    <row r="16" spans="1:12" x14ac:dyDescent="0.2">
      <c r="A16" t="s">
        <v>22</v>
      </c>
      <c r="B16" s="8"/>
      <c r="C16" s="11">
        <v>6823</v>
      </c>
      <c r="E16" s="8"/>
      <c r="F16" s="8"/>
      <c r="G16" s="8"/>
      <c r="H16" s="9">
        <f t="shared" si="1"/>
        <v>6823</v>
      </c>
      <c r="I16" s="10">
        <f t="shared" si="0"/>
        <v>2.4877468987453124E-3</v>
      </c>
    </row>
    <row r="17" spans="1:13" x14ac:dyDescent="0.2">
      <c r="A17" t="s">
        <v>23</v>
      </c>
      <c r="B17" s="8"/>
      <c r="C17" s="11"/>
      <c r="D17" s="8"/>
      <c r="E17" s="8"/>
      <c r="F17" s="8"/>
      <c r="G17" s="8">
        <v>25000</v>
      </c>
      <c r="H17" s="9">
        <f t="shared" si="1"/>
        <v>25000</v>
      </c>
      <c r="I17" s="10">
        <f t="shared" si="0"/>
        <v>9.1152971520786757E-3</v>
      </c>
    </row>
    <row r="18" spans="1:13" x14ac:dyDescent="0.2">
      <c r="A18" t="s">
        <v>24</v>
      </c>
      <c r="B18" s="8"/>
      <c r="C18" s="11">
        <v>6823</v>
      </c>
      <c r="E18" s="8"/>
      <c r="F18" s="8"/>
      <c r="G18" s="8"/>
      <c r="H18" s="9">
        <f t="shared" si="1"/>
        <v>6823</v>
      </c>
      <c r="I18" s="10">
        <f t="shared" si="0"/>
        <v>2.4877468987453124E-3</v>
      </c>
    </row>
    <row r="19" spans="1:13" x14ac:dyDescent="0.2">
      <c r="A19" t="s">
        <v>25</v>
      </c>
      <c r="B19" s="8"/>
      <c r="C19" s="11">
        <v>27288</v>
      </c>
      <c r="E19" s="8"/>
      <c r="F19" s="8"/>
      <c r="G19" s="8"/>
      <c r="H19" s="9">
        <f t="shared" si="1"/>
        <v>27288</v>
      </c>
      <c r="I19" s="10">
        <f t="shared" si="0"/>
        <v>9.9495291474369172E-3</v>
      </c>
    </row>
    <row r="20" spans="1:13" x14ac:dyDescent="0.2">
      <c r="A20" t="s">
        <v>26</v>
      </c>
      <c r="B20" s="8"/>
      <c r="C20" s="11">
        <v>9550</v>
      </c>
      <c r="D20" s="12">
        <v>22721</v>
      </c>
      <c r="E20" s="8"/>
      <c r="F20" s="8"/>
      <c r="G20" s="8"/>
      <c r="H20" s="9">
        <f t="shared" si="1"/>
        <v>32271</v>
      </c>
      <c r="I20" s="10">
        <f t="shared" si="0"/>
        <v>1.1766390175789239E-2</v>
      </c>
    </row>
    <row r="21" spans="1:13" x14ac:dyDescent="0.2">
      <c r="A21" t="s">
        <v>27</v>
      </c>
      <c r="B21" s="8"/>
      <c r="C21" s="11">
        <v>5457</v>
      </c>
      <c r="E21" s="8"/>
      <c r="F21" s="8"/>
      <c r="G21" s="8"/>
      <c r="H21" s="9">
        <f t="shared" si="1"/>
        <v>5457</v>
      </c>
      <c r="I21" s="10">
        <f t="shared" si="0"/>
        <v>1.9896870623557334E-3</v>
      </c>
    </row>
    <row r="22" spans="1:13" x14ac:dyDescent="0.2">
      <c r="A22" t="s">
        <v>28</v>
      </c>
      <c r="B22" s="8"/>
      <c r="C22" s="11"/>
      <c r="D22" s="8">
        <v>11312</v>
      </c>
      <c r="E22" s="8"/>
      <c r="F22" s="8"/>
      <c r="G22" s="8"/>
      <c r="H22" s="9">
        <f t="shared" si="1"/>
        <v>11312</v>
      </c>
      <c r="I22" s="10">
        <f t="shared" si="0"/>
        <v>4.1244896553725595E-3</v>
      </c>
    </row>
    <row r="23" spans="1:13" x14ac:dyDescent="0.2">
      <c r="A23" t="s">
        <v>29</v>
      </c>
      <c r="B23" s="8"/>
      <c r="C23" s="11"/>
      <c r="D23" s="8">
        <v>22627</v>
      </c>
      <c r="E23" s="8"/>
      <c r="F23" s="8"/>
      <c r="G23" s="8"/>
      <c r="H23" s="9">
        <f t="shared" si="1"/>
        <v>22627</v>
      </c>
      <c r="I23" s="10">
        <f t="shared" si="0"/>
        <v>8.2500731464033687E-3</v>
      </c>
    </row>
    <row r="24" spans="1:13" x14ac:dyDescent="0.2">
      <c r="A24" t="s">
        <v>30</v>
      </c>
      <c r="B24" s="8"/>
      <c r="C24" s="11"/>
      <c r="D24" s="8">
        <v>5680</v>
      </c>
      <c r="E24" s="8"/>
      <c r="F24" s="8"/>
      <c r="G24" s="8"/>
      <c r="H24" s="9">
        <f t="shared" si="1"/>
        <v>5680</v>
      </c>
      <c r="I24" s="10">
        <f t="shared" si="0"/>
        <v>2.0709955129522752E-3</v>
      </c>
    </row>
    <row r="25" spans="1:13" x14ac:dyDescent="0.2">
      <c r="A25" t="s">
        <v>31</v>
      </c>
      <c r="B25" s="8"/>
      <c r="C25" s="11">
        <v>6823</v>
      </c>
      <c r="E25" s="8"/>
      <c r="F25" s="8"/>
      <c r="G25" s="8"/>
      <c r="H25" s="9">
        <f t="shared" si="1"/>
        <v>6823</v>
      </c>
      <c r="I25" s="10">
        <f t="shared" si="0"/>
        <v>2.4877468987453124E-3</v>
      </c>
    </row>
    <row r="26" spans="1:13" x14ac:dyDescent="0.2">
      <c r="A26" t="s">
        <v>32</v>
      </c>
      <c r="B26" s="8"/>
      <c r="C26" s="11">
        <v>6823</v>
      </c>
      <c r="E26" s="8"/>
      <c r="F26" s="8"/>
      <c r="G26" s="8"/>
      <c r="H26" s="9">
        <f t="shared" si="1"/>
        <v>6823</v>
      </c>
      <c r="I26" s="10">
        <f t="shared" si="0"/>
        <v>2.4877468987453124E-3</v>
      </c>
    </row>
    <row r="27" spans="1:13" x14ac:dyDescent="0.2">
      <c r="A27" t="s">
        <v>33</v>
      </c>
      <c r="B27" s="8"/>
      <c r="C27" s="11">
        <v>6823</v>
      </c>
      <c r="E27" s="8"/>
      <c r="F27" s="8"/>
      <c r="G27" s="8"/>
      <c r="H27" s="9">
        <f t="shared" si="1"/>
        <v>6823</v>
      </c>
      <c r="I27" s="10">
        <f t="shared" si="0"/>
        <v>2.4877468987453124E-3</v>
      </c>
    </row>
    <row r="28" spans="1:13" x14ac:dyDescent="0.2">
      <c r="A28" t="s">
        <v>34</v>
      </c>
      <c r="B28" s="8"/>
      <c r="C28" s="11">
        <v>6823</v>
      </c>
      <c r="E28" s="8"/>
      <c r="F28" s="8"/>
      <c r="G28" s="8"/>
      <c r="H28" s="9">
        <f t="shared" si="1"/>
        <v>6823</v>
      </c>
      <c r="I28" s="10">
        <f t="shared" si="0"/>
        <v>2.4877468987453124E-3</v>
      </c>
    </row>
    <row r="29" spans="1:13" x14ac:dyDescent="0.2">
      <c r="A29" t="s">
        <v>35</v>
      </c>
      <c r="B29" s="8"/>
      <c r="C29" s="11">
        <v>13644</v>
      </c>
      <c r="D29" s="8">
        <v>11319</v>
      </c>
      <c r="E29" s="8"/>
      <c r="F29" s="8"/>
      <c r="G29" s="8"/>
      <c r="H29" s="9">
        <f t="shared" si="1"/>
        <v>24963</v>
      </c>
      <c r="I29" s="10">
        <f t="shared" si="0"/>
        <v>9.1018065122936004E-3</v>
      </c>
    </row>
    <row r="30" spans="1:13" x14ac:dyDescent="0.2">
      <c r="A30" t="s">
        <v>36</v>
      </c>
      <c r="B30" s="8">
        <v>10000</v>
      </c>
      <c r="C30" s="11">
        <v>4093</v>
      </c>
      <c r="E30" s="8"/>
      <c r="F30" s="8"/>
      <c r="G30" s="8">
        <v>5000</v>
      </c>
      <c r="H30" s="9">
        <f t="shared" si="1"/>
        <v>19093</v>
      </c>
      <c r="I30" s="10">
        <f t="shared" si="0"/>
        <v>6.9615347409855265E-3</v>
      </c>
    </row>
    <row r="31" spans="1:13" x14ac:dyDescent="0.2">
      <c r="A31" t="s">
        <v>37</v>
      </c>
      <c r="B31" s="8"/>
      <c r="C31" s="11">
        <v>6823</v>
      </c>
      <c r="E31" s="8"/>
      <c r="F31" s="8"/>
      <c r="G31" s="8"/>
      <c r="H31" s="9">
        <f t="shared" si="1"/>
        <v>6823</v>
      </c>
      <c r="I31" s="10">
        <f t="shared" si="0"/>
        <v>2.4877468987453124E-3</v>
      </c>
      <c r="M31" s="46"/>
    </row>
    <row r="32" spans="1:13" x14ac:dyDescent="0.2">
      <c r="B32" s="8"/>
      <c r="C32" s="11"/>
      <c r="E32" s="8"/>
      <c r="F32" s="8"/>
      <c r="G32" s="8"/>
      <c r="H32" s="9"/>
      <c r="I32" s="10"/>
      <c r="L32" s="1" t="s">
        <v>59</v>
      </c>
      <c r="M32" s="46"/>
    </row>
    <row r="33" spans="1:13" x14ac:dyDescent="0.2">
      <c r="A33" s="40" t="s">
        <v>38</v>
      </c>
      <c r="B33" s="41">
        <f>739977</f>
        <v>739977</v>
      </c>
      <c r="C33" s="42">
        <v>6823</v>
      </c>
      <c r="D33" s="13"/>
      <c r="E33" s="41">
        <v>49399</v>
      </c>
      <c r="F33" s="41"/>
      <c r="G33" s="41"/>
      <c r="H33" s="41">
        <f>SUM(B33:G33)</f>
        <v>796199</v>
      </c>
      <c r="I33" s="47">
        <f>H33/$H$62</f>
        <v>0.29030361908751556</v>
      </c>
      <c r="L33" s="60">
        <f>+I33+I34</f>
        <v>0.44055507277597528</v>
      </c>
    </row>
    <row r="34" spans="1:13" x14ac:dyDescent="0.2">
      <c r="A34" s="13" t="s">
        <v>39</v>
      </c>
      <c r="B34" s="41">
        <v>370686</v>
      </c>
      <c r="C34" s="42">
        <v>6823</v>
      </c>
      <c r="D34" s="13"/>
      <c r="E34" s="41">
        <v>34577</v>
      </c>
      <c r="F34" s="41"/>
      <c r="G34" s="41"/>
      <c r="H34" s="41">
        <f>SUM(B34:G34)</f>
        <v>412086</v>
      </c>
      <c r="I34" s="47">
        <f>H34/$H$62</f>
        <v>0.15025145368845974</v>
      </c>
      <c r="M34" s="46">
        <f>+L33+L35</f>
        <v>0.53997895887990011</v>
      </c>
    </row>
    <row r="35" spans="1:13" x14ac:dyDescent="0.2">
      <c r="A35" s="52" t="s">
        <v>53</v>
      </c>
      <c r="B35" s="53"/>
      <c r="C35" s="54"/>
      <c r="D35" s="52"/>
      <c r="E35" s="53"/>
      <c r="F35" s="53"/>
      <c r="G35" s="53">
        <f>(400000*1.15)/E4</f>
        <v>90894.720202339537</v>
      </c>
      <c r="H35" s="53">
        <f>SUM(B35:G35)</f>
        <v>90894.720202339537</v>
      </c>
      <c r="I35" s="55">
        <f>H35/$H$62</f>
        <v>3.314129536797495E-2</v>
      </c>
      <c r="L35" s="72">
        <f>+I35+I36</f>
        <v>9.9423886103924858E-2</v>
      </c>
    </row>
    <row r="36" spans="1:13" x14ac:dyDescent="0.2">
      <c r="A36" s="56" t="s">
        <v>54</v>
      </c>
      <c r="B36" s="53"/>
      <c r="C36" s="54"/>
      <c r="D36" s="52"/>
      <c r="E36" s="53"/>
      <c r="F36" s="53"/>
      <c r="G36" s="53">
        <f>G35*2</f>
        <v>181789.44040467907</v>
      </c>
      <c r="H36" s="53">
        <f>SUM(B36:G36)</f>
        <v>181789.44040467907</v>
      </c>
      <c r="I36" s="55">
        <f>H36/$H$62</f>
        <v>6.6282590735949901E-2</v>
      </c>
    </row>
    <row r="37" spans="1:13" x14ac:dyDescent="0.2">
      <c r="A37" s="7"/>
      <c r="B37" s="8"/>
      <c r="C37" s="11"/>
      <c r="E37" s="8"/>
      <c r="F37" s="8"/>
      <c r="G37" s="8"/>
      <c r="H37" s="9"/>
      <c r="I37" s="10"/>
    </row>
    <row r="38" spans="1:13" x14ac:dyDescent="0.2">
      <c r="A38" t="s">
        <v>40</v>
      </c>
      <c r="B38" s="8"/>
      <c r="C38" s="11"/>
      <c r="D38" s="8"/>
      <c r="E38" s="8">
        <v>9879</v>
      </c>
      <c r="F38" s="8"/>
      <c r="G38" s="8">
        <v>2914</v>
      </c>
      <c r="H38" s="9">
        <f t="shared" si="1"/>
        <v>12793</v>
      </c>
      <c r="I38" s="10">
        <f t="shared" ref="I38:I45" si="2">H38/$H$62</f>
        <v>4.6644798586616999E-3</v>
      </c>
      <c r="M38" s="46"/>
    </row>
    <row r="39" spans="1:13" x14ac:dyDescent="0.2">
      <c r="A39" t="s">
        <v>41</v>
      </c>
      <c r="B39" s="8">
        <v>26939</v>
      </c>
      <c r="C39" s="11"/>
      <c r="D39" s="8"/>
      <c r="E39" s="8"/>
      <c r="F39" s="8"/>
      <c r="G39" s="8">
        <v>2914</v>
      </c>
      <c r="H39" s="9">
        <f t="shared" si="1"/>
        <v>29853</v>
      </c>
      <c r="I39" s="10">
        <f t="shared" si="2"/>
        <v>1.0884758635240188E-2</v>
      </c>
      <c r="L39" s="51"/>
    </row>
    <row r="40" spans="1:13" x14ac:dyDescent="0.2">
      <c r="A40" t="s">
        <v>43</v>
      </c>
      <c r="B40" s="8"/>
      <c r="C40" s="11"/>
      <c r="D40" s="8"/>
      <c r="E40" s="8"/>
      <c r="F40" s="8"/>
      <c r="G40" s="8">
        <v>19483</v>
      </c>
      <c r="H40" s="9">
        <f t="shared" si="1"/>
        <v>19483</v>
      </c>
      <c r="I40" s="10">
        <f t="shared" si="2"/>
        <v>7.1037333765579542E-3</v>
      </c>
      <c r="L40" s="51"/>
    </row>
    <row r="41" spans="1:13" x14ac:dyDescent="0.2">
      <c r="A41" t="s">
        <v>63</v>
      </c>
      <c r="B41" s="8"/>
      <c r="C41" s="11"/>
      <c r="D41" s="8"/>
      <c r="E41" s="8"/>
      <c r="F41" s="8"/>
      <c r="G41" s="8">
        <v>77500</v>
      </c>
      <c r="H41" s="9">
        <f t="shared" si="1"/>
        <v>77500</v>
      </c>
      <c r="I41" s="10">
        <f t="shared" si="2"/>
        <v>2.8257421171443895E-2</v>
      </c>
      <c r="L41" s="51"/>
    </row>
    <row r="42" spans="1:13" x14ac:dyDescent="0.2">
      <c r="A42" t="s">
        <v>44</v>
      </c>
      <c r="B42" s="8">
        <v>16164</v>
      </c>
      <c r="C42" s="11"/>
      <c r="D42" s="8"/>
      <c r="E42" s="8"/>
      <c r="F42" s="8"/>
      <c r="G42" s="8">
        <f>15000+5000</f>
        <v>20000</v>
      </c>
      <c r="H42" s="9">
        <f t="shared" si="1"/>
        <v>36164</v>
      </c>
      <c r="I42" s="10">
        <f t="shared" si="2"/>
        <v>1.318582424831093E-2</v>
      </c>
      <c r="L42" s="51"/>
    </row>
    <row r="43" spans="1:13" x14ac:dyDescent="0.2">
      <c r="A43" t="s">
        <v>45</v>
      </c>
      <c r="B43" s="8"/>
      <c r="C43" s="11"/>
      <c r="D43" s="8"/>
      <c r="E43" s="8"/>
      <c r="F43" s="8"/>
      <c r="G43" s="8">
        <v>2914</v>
      </c>
      <c r="H43" s="9">
        <f t="shared" si="1"/>
        <v>2914</v>
      </c>
      <c r="I43" s="10">
        <f t="shared" si="2"/>
        <v>1.0624790360462904E-3</v>
      </c>
    </row>
    <row r="44" spans="1:13" x14ac:dyDescent="0.2">
      <c r="A44" t="s">
        <v>46</v>
      </c>
      <c r="B44" s="8"/>
      <c r="C44" s="11"/>
      <c r="D44" s="8"/>
      <c r="E44" s="8"/>
      <c r="F44" s="8"/>
      <c r="G44" s="8">
        <v>0</v>
      </c>
      <c r="H44" s="9">
        <f t="shared" si="1"/>
        <v>0</v>
      </c>
      <c r="I44" s="10">
        <f t="shared" si="2"/>
        <v>0</v>
      </c>
    </row>
    <row r="45" spans="1:13" x14ac:dyDescent="0.2">
      <c r="A45" t="s">
        <v>47</v>
      </c>
      <c r="B45" s="8"/>
      <c r="C45" s="11">
        <v>6823</v>
      </c>
      <c r="E45" s="8"/>
      <c r="F45" s="8"/>
      <c r="G45" s="8"/>
      <c r="H45" s="9">
        <f t="shared" si="1"/>
        <v>6823</v>
      </c>
      <c r="I45" s="10">
        <f t="shared" si="2"/>
        <v>2.4877468987453124E-3</v>
      </c>
    </row>
    <row r="46" spans="1:13" x14ac:dyDescent="0.2">
      <c r="B46" s="8"/>
      <c r="C46" s="11"/>
      <c r="E46" s="8"/>
      <c r="F46" s="8"/>
      <c r="G46" s="8"/>
      <c r="H46" s="9"/>
      <c r="I46" s="10"/>
    </row>
    <row r="47" spans="1:13" x14ac:dyDescent="0.2">
      <c r="A47" t="s">
        <v>58</v>
      </c>
      <c r="B47" s="8"/>
      <c r="C47" s="11"/>
      <c r="E47" s="8"/>
      <c r="F47" s="8"/>
      <c r="G47" s="8">
        <v>30000</v>
      </c>
      <c r="H47" s="9">
        <f>SUM(B47:G47)</f>
        <v>30000</v>
      </c>
      <c r="I47" s="10">
        <f>H47/$H$62</f>
        <v>1.0938356582494412E-2</v>
      </c>
      <c r="L47" s="51"/>
    </row>
    <row r="48" spans="1:13" x14ac:dyDescent="0.2">
      <c r="A48" t="s">
        <v>57</v>
      </c>
      <c r="B48" s="8"/>
      <c r="C48" s="11"/>
      <c r="E48" s="8"/>
      <c r="F48" s="8"/>
      <c r="G48" s="8">
        <v>2500</v>
      </c>
      <c r="H48" s="9">
        <f t="shared" ref="H48:H50" si="3">SUM(B48:G48)</f>
        <v>2500</v>
      </c>
      <c r="I48" s="10">
        <f>H48/$H$62</f>
        <v>9.1152971520786755E-4</v>
      </c>
      <c r="L48" s="51"/>
    </row>
    <row r="49" spans="1:12" x14ac:dyDescent="0.2">
      <c r="A49" t="s">
        <v>61</v>
      </c>
      <c r="B49" s="8"/>
      <c r="C49" s="11"/>
      <c r="E49" s="8"/>
      <c r="F49" s="8"/>
      <c r="G49" s="8">
        <v>5000</v>
      </c>
      <c r="H49" s="9">
        <f t="shared" si="3"/>
        <v>5000</v>
      </c>
      <c r="I49" s="10">
        <f>H49/$H$62</f>
        <v>1.8230594304157351E-3</v>
      </c>
      <c r="L49" s="51"/>
    </row>
    <row r="50" spans="1:12" x14ac:dyDescent="0.2">
      <c r="A50" t="s">
        <v>62</v>
      </c>
      <c r="B50" s="8"/>
      <c r="C50" s="11"/>
      <c r="E50" s="8"/>
      <c r="F50" s="8"/>
      <c r="G50" s="8">
        <v>1000</v>
      </c>
      <c r="H50" s="9">
        <f t="shared" si="3"/>
        <v>1000</v>
      </c>
      <c r="I50" s="10">
        <f>H50/$H$62</f>
        <v>3.6461188608314705E-4</v>
      </c>
      <c r="L50" s="51"/>
    </row>
    <row r="51" spans="1:12" x14ac:dyDescent="0.2">
      <c r="B51" s="8"/>
      <c r="C51" s="11"/>
      <c r="E51" s="8"/>
      <c r="F51" s="8"/>
      <c r="G51" s="8"/>
      <c r="H51" s="9"/>
      <c r="I51" s="10"/>
      <c r="L51" s="51"/>
    </row>
    <row r="52" spans="1:12" x14ac:dyDescent="0.2">
      <c r="B52" s="8"/>
      <c r="C52" s="11"/>
      <c r="E52" s="8"/>
      <c r="F52" s="8"/>
      <c r="G52" s="8"/>
      <c r="H52" s="9"/>
      <c r="I52" s="10"/>
    </row>
    <row r="53" spans="1:12" x14ac:dyDescent="0.2">
      <c r="A53" s="57" t="s">
        <v>65</v>
      </c>
      <c r="B53" s="17"/>
      <c r="C53" s="15"/>
      <c r="D53" s="17"/>
      <c r="E53" s="17"/>
      <c r="F53" s="17"/>
      <c r="G53" s="15">
        <f>((250000)*1.15)/E4</f>
        <v>56809.200126462216</v>
      </c>
      <c r="H53" s="15">
        <f>SUM(B53:G53)</f>
        <v>56809.200126462216</v>
      </c>
      <c r="I53" s="48">
        <f>H53/$H$62</f>
        <v>2.0713309604984343E-2</v>
      </c>
      <c r="L53" s="95"/>
    </row>
    <row r="54" spans="1:12" x14ac:dyDescent="0.2">
      <c r="A54" s="57" t="s">
        <v>66</v>
      </c>
      <c r="B54" s="17"/>
      <c r="C54" s="15"/>
      <c r="D54" s="17"/>
      <c r="E54" s="17"/>
      <c r="F54" s="17"/>
      <c r="G54" s="15">
        <f>+G53*2</f>
        <v>113618.40025292443</v>
      </c>
      <c r="H54" s="15">
        <f>SUM(B54:G54)</f>
        <v>113618.40025292443</v>
      </c>
      <c r="I54" s="48">
        <f>H54/$H$62</f>
        <v>4.1426619209968686E-2</v>
      </c>
    </row>
    <row r="55" spans="1:12" x14ac:dyDescent="0.2">
      <c r="A55" s="43" t="s">
        <v>64</v>
      </c>
      <c r="B55" s="15"/>
      <c r="C55" s="16"/>
      <c r="D55" s="17"/>
      <c r="E55" s="15"/>
      <c r="F55" s="15"/>
      <c r="G55" s="94"/>
      <c r="H55" s="15">
        <f>SUM(B55:G55)</f>
        <v>0</v>
      </c>
      <c r="I55" s="48">
        <f>H55/$H$62</f>
        <v>0</v>
      </c>
    </row>
    <row r="56" spans="1:12" x14ac:dyDescent="0.2">
      <c r="A56" s="58"/>
      <c r="B56" s="8"/>
      <c r="C56" s="11"/>
      <c r="E56" s="8"/>
      <c r="F56" s="8"/>
      <c r="G56" s="8"/>
      <c r="H56" s="8"/>
      <c r="I56" s="59"/>
      <c r="L56" s="1" t="s">
        <v>60</v>
      </c>
    </row>
    <row r="57" spans="1:12" x14ac:dyDescent="0.2">
      <c r="A57" s="62" t="s">
        <v>77</v>
      </c>
      <c r="B57" s="44"/>
      <c r="C57" s="45"/>
      <c r="D57" s="44"/>
      <c r="E57" s="44"/>
      <c r="F57" s="44"/>
      <c r="G57" s="45">
        <f>((564559.01-400000)*1.15)/E4</f>
        <v>37393.86292680999</v>
      </c>
      <c r="H57" s="45">
        <f>SUM(B57:G57)</f>
        <v>37393.86292680999</v>
      </c>
      <c r="I57" s="63">
        <f>H57/$H$62</f>
        <v>1.3634246889678859E-2</v>
      </c>
      <c r="L57" s="64">
        <f>I57+I58+I59</f>
        <v>4.0902740669036576E-2</v>
      </c>
    </row>
    <row r="58" spans="1:12" x14ac:dyDescent="0.2">
      <c r="A58" s="62" t="s">
        <v>13</v>
      </c>
      <c r="B58" s="44"/>
      <c r="C58" s="45"/>
      <c r="D58" s="44"/>
      <c r="E58" s="44"/>
      <c r="F58" s="44"/>
      <c r="G58" s="45">
        <f>+G57*2</f>
        <v>74787.725853619981</v>
      </c>
      <c r="H58" s="45">
        <f t="shared" ref="H58" si="4">SUM(B58:G58)</f>
        <v>74787.725853619981</v>
      </c>
      <c r="I58" s="63">
        <f>H58/$H$62</f>
        <v>2.7268493779357719E-2</v>
      </c>
    </row>
    <row r="59" spans="1:12" x14ac:dyDescent="0.2">
      <c r="A59" s="7"/>
      <c r="C59" s="8"/>
      <c r="G59" s="8"/>
      <c r="H59" s="9"/>
      <c r="I59" s="10"/>
    </row>
    <row r="60" spans="1:12" ht="16" thickBot="1" x14ac:dyDescent="0.25">
      <c r="B60" s="8"/>
      <c r="C60" s="11"/>
      <c r="E60" s="8"/>
      <c r="F60" s="8"/>
      <c r="G60" s="8"/>
      <c r="H60" s="9"/>
      <c r="I60" s="18"/>
    </row>
    <row r="61" spans="1:12" ht="16" thickTop="1" x14ac:dyDescent="0.2">
      <c r="A61" s="19" t="s">
        <v>50</v>
      </c>
      <c r="B61" s="20"/>
      <c r="C61" s="20"/>
      <c r="D61" s="20"/>
      <c r="E61" s="20"/>
      <c r="F61" s="20"/>
      <c r="G61" s="21">
        <v>232911</v>
      </c>
      <c r="H61" s="22">
        <f>G61</f>
        <v>232911</v>
      </c>
      <c r="I61" s="23">
        <f>H61/$H$62</f>
        <v>8.4922118999511867E-2</v>
      </c>
    </row>
    <row r="62" spans="1:12" x14ac:dyDescent="0.2">
      <c r="A62" s="24" t="s">
        <v>51</v>
      </c>
      <c r="B62" s="25">
        <f t="shared" ref="B62:E62" si="5">SUM(B5:B61)</f>
        <v>1190705</v>
      </c>
      <c r="C62" s="25">
        <f t="shared" si="5"/>
        <v>141910</v>
      </c>
      <c r="D62" s="25">
        <f t="shared" si="5"/>
        <v>96328</v>
      </c>
      <c r="E62" s="25">
        <f t="shared" si="5"/>
        <v>306270</v>
      </c>
      <c r="F62" s="25">
        <f>SUM(F5:F61)</f>
        <v>0</v>
      </c>
      <c r="G62" s="25">
        <f>SUM(G5:G61)</f>
        <v>1007429.3497668352</v>
      </c>
      <c r="H62" s="25">
        <f>SUM(H5:H61)</f>
        <v>2742642.3497668351</v>
      </c>
      <c r="I62" s="26">
        <f>SUM(I5:I61)</f>
        <v>1</v>
      </c>
    </row>
    <row r="63" spans="1:12" x14ac:dyDescent="0.2">
      <c r="C63" s="27"/>
      <c r="D63" s="27"/>
      <c r="E63" s="27"/>
      <c r="F63" s="27"/>
    </row>
    <row r="65" spans="1:10" x14ac:dyDescent="0.2">
      <c r="H65" s="31"/>
    </row>
    <row r="75" spans="1:10" s="1" customFormat="1" x14ac:dyDescent="0.2">
      <c r="A75"/>
      <c r="B75"/>
      <c r="C75"/>
      <c r="D75"/>
      <c r="E75"/>
      <c r="F75"/>
      <c r="G75"/>
      <c r="H75"/>
      <c r="I75"/>
      <c r="J75"/>
    </row>
    <row r="76" spans="1:10" s="1" customFormat="1" x14ac:dyDescent="0.2">
      <c r="A76"/>
      <c r="B76"/>
      <c r="C76"/>
      <c r="D76"/>
      <c r="E76"/>
      <c r="F76"/>
      <c r="G76"/>
      <c r="H76"/>
      <c r="I76"/>
      <c r="J76"/>
    </row>
    <row r="77" spans="1:10" s="1" customFormat="1" x14ac:dyDescent="0.2">
      <c r="A77"/>
      <c r="B77"/>
      <c r="C77"/>
      <c r="D77"/>
      <c r="E77"/>
      <c r="F77"/>
      <c r="G77"/>
      <c r="H77"/>
      <c r="I77"/>
      <c r="J77"/>
    </row>
  </sheetData>
  <mergeCells count="1">
    <mergeCell ref="A1:I1"/>
  </mergeCells>
  <pageMargins left="0.7" right="0.7" top="0.75" bottom="0.75" header="0.3" footer="0.3"/>
  <pageSetup scale="4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D3AE-B8B2-4AFA-A4F6-D4F04A95E702}">
  <sheetPr>
    <pageSetUpPr fitToPage="1"/>
  </sheetPr>
  <dimension ref="A1:U80"/>
  <sheetViews>
    <sheetView tabSelected="1" zoomScale="90" zoomScaleNormal="90" workbookViewId="0">
      <selection activeCell="S65" sqref="S65"/>
    </sheetView>
  </sheetViews>
  <sheetFormatPr baseColWidth="10" defaultColWidth="8.83203125" defaultRowHeight="15" x14ac:dyDescent="0.2"/>
  <cols>
    <col min="1" max="1" width="51.83203125" customWidth="1"/>
    <col min="2" max="8" width="15.33203125" customWidth="1"/>
    <col min="9" max="9" width="3" customWidth="1"/>
    <col min="10" max="11" width="15.33203125" customWidth="1"/>
    <col min="12" max="12" width="2.6640625" customWidth="1"/>
    <col min="13" max="14" width="15.33203125" customWidth="1"/>
    <col min="15" max="15" width="2.6640625" customWidth="1"/>
    <col min="16" max="16" width="23.83203125" customWidth="1"/>
    <col min="17" max="17" width="26.83203125" customWidth="1"/>
    <col min="18" max="18" width="12.33203125" customWidth="1"/>
    <col min="20" max="20" width="12.1640625" style="1" customWidth="1"/>
  </cols>
  <sheetData>
    <row r="1" spans="1:19" ht="69" customHeight="1" thickBot="1" x14ac:dyDescent="0.25">
      <c r="A1" s="111" t="s">
        <v>76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3"/>
    </row>
    <row r="2" spans="1:19" x14ac:dyDescent="0.2">
      <c r="F2" s="106"/>
      <c r="I2" s="74"/>
      <c r="O2" s="74"/>
    </row>
    <row r="3" spans="1:19" ht="48" x14ac:dyDescent="0.2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65" t="s">
        <v>68</v>
      </c>
      <c r="G3" s="4" t="s">
        <v>5</v>
      </c>
      <c r="H3" s="4" t="s">
        <v>73</v>
      </c>
      <c r="I3" s="75"/>
      <c r="J3" s="4" t="s">
        <v>74</v>
      </c>
      <c r="K3" s="4" t="s">
        <v>69</v>
      </c>
      <c r="L3" s="4"/>
      <c r="M3" s="4"/>
      <c r="N3" s="4"/>
      <c r="O3" s="75"/>
      <c r="P3" s="4" t="s">
        <v>6</v>
      </c>
      <c r="Q3" s="4" t="s">
        <v>7</v>
      </c>
    </row>
    <row r="4" spans="1:19" x14ac:dyDescent="0.2">
      <c r="A4" s="5" t="s">
        <v>8</v>
      </c>
      <c r="B4" s="3"/>
      <c r="C4" s="6">
        <v>3.9327999999999999</v>
      </c>
      <c r="D4" s="6">
        <v>4.5547000000000004</v>
      </c>
      <c r="E4" s="6">
        <v>5.0608000000000004</v>
      </c>
      <c r="F4" s="71">
        <v>5.0608000000000004</v>
      </c>
      <c r="G4" s="4"/>
      <c r="H4" s="4"/>
      <c r="I4" s="75"/>
      <c r="J4" s="4"/>
      <c r="K4" s="4"/>
      <c r="L4" s="4"/>
      <c r="M4" s="4"/>
      <c r="N4" s="4"/>
      <c r="O4" s="75"/>
      <c r="P4" s="4"/>
      <c r="Q4" s="4"/>
    </row>
    <row r="5" spans="1:19" x14ac:dyDescent="0.2">
      <c r="A5" s="7" t="s">
        <v>9</v>
      </c>
      <c r="E5" s="8">
        <v>148197</v>
      </c>
      <c r="F5" s="8"/>
      <c r="G5" s="8"/>
      <c r="I5" s="74"/>
      <c r="J5" s="78">
        <f>SUM(B5:G5)</f>
        <v>148197</v>
      </c>
      <c r="K5" s="73">
        <f t="shared" ref="K5:K30" si="0">J5/$J$69</f>
        <v>4.7662354309312704E-2</v>
      </c>
      <c r="O5" s="74"/>
      <c r="P5" s="9">
        <f>SUM(B5:H5)</f>
        <v>148197</v>
      </c>
      <c r="Q5" s="10">
        <f t="shared" ref="Q5:Q30" si="1">P5/$P$69</f>
        <v>4.3851892471686194E-2</v>
      </c>
      <c r="R5" s="109">
        <f>Q5+Q65</f>
        <v>8.7704055213021784E-2</v>
      </c>
      <c r="S5" s="51" t="s">
        <v>89</v>
      </c>
    </row>
    <row r="6" spans="1:19" x14ac:dyDescent="0.2">
      <c r="A6" s="7" t="s">
        <v>10</v>
      </c>
      <c r="E6" s="8">
        <v>49399</v>
      </c>
      <c r="F6" s="8"/>
      <c r="G6" s="8"/>
      <c r="I6" s="74"/>
      <c r="J6" s="78">
        <f t="shared" ref="J6:J31" si="2">SUM(B6:G6)</f>
        <v>49399</v>
      </c>
      <c r="K6" s="73">
        <f t="shared" si="0"/>
        <v>1.5887451436437567E-2</v>
      </c>
      <c r="O6" s="74"/>
      <c r="P6" s="9">
        <f t="shared" ref="P6:P30" si="3">SUM(B6:H6)</f>
        <v>49399</v>
      </c>
      <c r="Q6" s="10">
        <f t="shared" si="1"/>
        <v>1.4617297490562065E-2</v>
      </c>
      <c r="R6" s="110">
        <f>Q6+Q39+Q40</f>
        <v>4.3314829070698925E-2</v>
      </c>
      <c r="S6" s="51" t="s">
        <v>81</v>
      </c>
    </row>
    <row r="7" spans="1:19" x14ac:dyDescent="0.2">
      <c r="A7" s="7" t="s">
        <v>11</v>
      </c>
      <c r="C7" s="8"/>
      <c r="E7" s="8">
        <v>14819</v>
      </c>
      <c r="F7" s="8"/>
      <c r="G7" s="8"/>
      <c r="I7" s="74"/>
      <c r="J7" s="78">
        <f t="shared" si="2"/>
        <v>14819</v>
      </c>
      <c r="K7" s="73">
        <f t="shared" si="0"/>
        <v>4.7660103005439042E-3</v>
      </c>
      <c r="O7" s="74"/>
      <c r="P7" s="9">
        <f t="shared" si="3"/>
        <v>14819</v>
      </c>
      <c r="Q7" s="10">
        <f t="shared" si="1"/>
        <v>4.3849821152784317E-3</v>
      </c>
      <c r="S7" s="51"/>
    </row>
    <row r="8" spans="1:19" x14ac:dyDescent="0.2">
      <c r="A8" t="s">
        <v>14</v>
      </c>
      <c r="B8" s="8"/>
      <c r="C8" s="8"/>
      <c r="D8" s="8">
        <v>16988</v>
      </c>
      <c r="E8" s="8"/>
      <c r="F8" s="8"/>
      <c r="G8" s="8"/>
      <c r="H8" s="8"/>
      <c r="I8" s="76"/>
      <c r="J8" s="78">
        <f t="shared" si="2"/>
        <v>16988</v>
      </c>
      <c r="K8" s="73">
        <f t="shared" si="0"/>
        <v>5.463592886540242E-3</v>
      </c>
      <c r="L8" s="8"/>
      <c r="M8" s="8"/>
      <c r="N8" s="8"/>
      <c r="O8" s="76"/>
      <c r="P8" s="9">
        <f t="shared" si="3"/>
        <v>16988</v>
      </c>
      <c r="Q8" s="10">
        <f t="shared" si="1"/>
        <v>5.0267950721607389E-3</v>
      </c>
      <c r="S8" s="51"/>
    </row>
    <row r="9" spans="1:19" x14ac:dyDescent="0.2">
      <c r="A9" t="s">
        <v>15</v>
      </c>
      <c r="B9" s="8"/>
      <c r="C9" s="8"/>
      <c r="D9" s="8">
        <v>5681</v>
      </c>
      <c r="E9" s="8"/>
      <c r="F9" s="8"/>
      <c r="G9" s="8"/>
      <c r="H9" s="8"/>
      <c r="I9" s="76"/>
      <c r="J9" s="78">
        <f t="shared" si="2"/>
        <v>5681</v>
      </c>
      <c r="K9" s="73">
        <f t="shared" si="0"/>
        <v>1.827093900896816E-3</v>
      </c>
      <c r="L9" s="8"/>
      <c r="M9" s="8"/>
      <c r="N9" s="8"/>
      <c r="O9" s="76"/>
      <c r="P9" s="9">
        <f t="shared" si="3"/>
        <v>5681</v>
      </c>
      <c r="Q9" s="10">
        <f t="shared" si="1"/>
        <v>1.6810232402251683E-3</v>
      </c>
      <c r="S9" s="51"/>
    </row>
    <row r="10" spans="1:19" x14ac:dyDescent="0.2">
      <c r="A10" t="s">
        <v>16</v>
      </c>
      <c r="B10" s="8"/>
      <c r="C10" s="11">
        <v>3412</v>
      </c>
      <c r="E10" s="8"/>
      <c r="F10" s="8"/>
      <c r="G10" s="8"/>
      <c r="H10" s="8"/>
      <c r="I10" s="76"/>
      <c r="J10" s="78">
        <f t="shared" si="2"/>
        <v>3412</v>
      </c>
      <c r="K10" s="73">
        <f t="shared" si="0"/>
        <v>1.0973498309910115E-3</v>
      </c>
      <c r="L10" s="8"/>
      <c r="M10" s="8"/>
      <c r="N10" s="8"/>
      <c r="O10" s="76"/>
      <c r="P10" s="9">
        <f t="shared" si="3"/>
        <v>3412</v>
      </c>
      <c r="Q10" s="10">
        <f t="shared" si="1"/>
        <v>1.0096200133160138E-3</v>
      </c>
      <c r="S10" s="51"/>
    </row>
    <row r="11" spans="1:19" x14ac:dyDescent="0.2">
      <c r="A11" t="s">
        <v>17</v>
      </c>
      <c r="B11" s="8"/>
      <c r="C11" s="11">
        <v>3412</v>
      </c>
      <c r="E11" s="8"/>
      <c r="F11" s="8"/>
      <c r="G11" s="8"/>
      <c r="H11" s="8"/>
      <c r="I11" s="76"/>
      <c r="J11" s="78">
        <f t="shared" si="2"/>
        <v>3412</v>
      </c>
      <c r="K11" s="73">
        <f t="shared" si="0"/>
        <v>1.0973498309910115E-3</v>
      </c>
      <c r="L11" s="8"/>
      <c r="M11" s="8"/>
      <c r="N11" s="8"/>
      <c r="O11" s="76"/>
      <c r="P11" s="9">
        <f t="shared" si="3"/>
        <v>3412</v>
      </c>
      <c r="Q11" s="10">
        <f t="shared" si="1"/>
        <v>1.0096200133160138E-3</v>
      </c>
      <c r="S11" s="51"/>
    </row>
    <row r="12" spans="1:19" x14ac:dyDescent="0.2">
      <c r="A12" t="s">
        <v>18</v>
      </c>
      <c r="B12" s="8">
        <v>26939</v>
      </c>
      <c r="C12" s="11"/>
      <c r="D12" s="8"/>
      <c r="E12" s="8"/>
      <c r="F12" s="8"/>
      <c r="G12" s="8">
        <v>5000</v>
      </c>
      <c r="I12" s="76"/>
      <c r="J12" s="78">
        <f t="shared" si="2"/>
        <v>31939</v>
      </c>
      <c r="K12" s="73">
        <f t="shared" si="0"/>
        <v>1.0272056345844643E-2</v>
      </c>
      <c r="L12" s="8"/>
      <c r="M12" s="8"/>
      <c r="N12" s="8"/>
      <c r="O12" s="76"/>
      <c r="P12" s="9">
        <f t="shared" ref="P12:P29" si="4">SUM(B12:G12)</f>
        <v>31939</v>
      </c>
      <c r="Q12" s="10">
        <f t="shared" si="1"/>
        <v>9.4508363438746083E-3</v>
      </c>
      <c r="S12" s="51"/>
    </row>
    <row r="13" spans="1:19" x14ac:dyDescent="0.2">
      <c r="A13" t="s">
        <v>19</v>
      </c>
      <c r="B13" s="8"/>
      <c r="C13" s="11"/>
      <c r="D13" s="8"/>
      <c r="E13" s="8"/>
      <c r="F13" s="8"/>
      <c r="G13" s="8">
        <f>15000+5000</f>
        <v>20000</v>
      </c>
      <c r="I13" s="76"/>
      <c r="J13" s="78">
        <f t="shared" si="2"/>
        <v>20000</v>
      </c>
      <c r="K13" s="73">
        <f t="shared" si="0"/>
        <v>6.4322967818933856E-3</v>
      </c>
      <c r="L13" s="8"/>
      <c r="M13" s="8"/>
      <c r="N13" s="8"/>
      <c r="O13" s="76"/>
      <c r="P13" s="9">
        <f t="shared" si="4"/>
        <v>20000</v>
      </c>
      <c r="Q13" s="10">
        <f t="shared" si="1"/>
        <v>5.9180540053693654E-3</v>
      </c>
      <c r="S13" s="51"/>
    </row>
    <row r="14" spans="1:19" x14ac:dyDescent="0.2">
      <c r="A14" s="7" t="s">
        <v>20</v>
      </c>
      <c r="B14" s="8"/>
      <c r="C14" s="11">
        <v>3412</v>
      </c>
      <c r="E14" s="8"/>
      <c r="F14" s="8"/>
      <c r="G14" s="8"/>
      <c r="I14" s="76"/>
      <c r="J14" s="78">
        <f t="shared" si="2"/>
        <v>3412</v>
      </c>
      <c r="K14" s="73">
        <f t="shared" si="0"/>
        <v>1.0973498309910115E-3</v>
      </c>
      <c r="L14" s="8"/>
      <c r="M14" s="8"/>
      <c r="N14" s="8"/>
      <c r="O14" s="76"/>
      <c r="P14" s="9">
        <f t="shared" si="4"/>
        <v>3412</v>
      </c>
      <c r="Q14" s="10">
        <f t="shared" si="1"/>
        <v>1.0096200133160138E-3</v>
      </c>
      <c r="S14" s="51"/>
    </row>
    <row r="15" spans="1:19" x14ac:dyDescent="0.2">
      <c r="A15" s="7" t="s">
        <v>21</v>
      </c>
      <c r="B15" s="8"/>
      <c r="C15" s="11">
        <v>3412</v>
      </c>
      <c r="E15" s="8"/>
      <c r="F15" s="8"/>
      <c r="G15" s="8"/>
      <c r="I15" s="76"/>
      <c r="J15" s="78">
        <f t="shared" si="2"/>
        <v>3412</v>
      </c>
      <c r="K15" s="73">
        <f t="shared" si="0"/>
        <v>1.0973498309910115E-3</v>
      </c>
      <c r="L15" s="8"/>
      <c r="M15" s="8"/>
      <c r="N15" s="8"/>
      <c r="O15" s="76"/>
      <c r="P15" s="9">
        <f t="shared" si="4"/>
        <v>3412</v>
      </c>
      <c r="Q15" s="10">
        <f t="shared" si="1"/>
        <v>1.0096200133160138E-3</v>
      </c>
      <c r="S15" s="51"/>
    </row>
    <row r="16" spans="1:19" x14ac:dyDescent="0.2">
      <c r="A16" t="s">
        <v>22</v>
      </c>
      <c r="B16" s="8"/>
      <c r="C16" s="11">
        <v>6823</v>
      </c>
      <c r="E16" s="8"/>
      <c r="F16" s="8"/>
      <c r="G16" s="8"/>
      <c r="I16" s="76"/>
      <c r="J16" s="78">
        <f t="shared" si="2"/>
        <v>6823</v>
      </c>
      <c r="K16" s="73">
        <f t="shared" si="0"/>
        <v>2.1943780471429283E-3</v>
      </c>
      <c r="L16" s="8"/>
      <c r="M16" s="8"/>
      <c r="N16" s="8"/>
      <c r="O16" s="76"/>
      <c r="P16" s="9">
        <f t="shared" si="4"/>
        <v>6823</v>
      </c>
      <c r="Q16" s="10">
        <f t="shared" si="1"/>
        <v>2.0189441239317589E-3</v>
      </c>
      <c r="S16" s="51"/>
    </row>
    <row r="17" spans="1:21" x14ac:dyDescent="0.2">
      <c r="A17" t="s">
        <v>24</v>
      </c>
      <c r="B17" s="8"/>
      <c r="C17" s="11">
        <v>6823</v>
      </c>
      <c r="E17" s="8"/>
      <c r="F17" s="8"/>
      <c r="G17" s="8"/>
      <c r="I17" s="76"/>
      <c r="J17" s="78">
        <f t="shared" si="2"/>
        <v>6823</v>
      </c>
      <c r="K17" s="73">
        <f t="shared" si="0"/>
        <v>2.1943780471429283E-3</v>
      </c>
      <c r="L17" s="8"/>
      <c r="M17" s="8"/>
      <c r="N17" s="8"/>
      <c r="O17" s="76"/>
      <c r="P17" s="9">
        <f t="shared" si="4"/>
        <v>6823</v>
      </c>
      <c r="Q17" s="10">
        <f t="shared" si="1"/>
        <v>2.0189441239317589E-3</v>
      </c>
      <c r="S17" s="51"/>
    </row>
    <row r="18" spans="1:21" x14ac:dyDescent="0.2">
      <c r="A18" t="s">
        <v>25</v>
      </c>
      <c r="B18" s="8"/>
      <c r="C18" s="11">
        <v>27288</v>
      </c>
      <c r="E18" s="8"/>
      <c r="F18" s="8"/>
      <c r="G18" s="8"/>
      <c r="I18" s="76"/>
      <c r="J18" s="78">
        <f t="shared" si="2"/>
        <v>27288</v>
      </c>
      <c r="K18" s="73">
        <f t="shared" si="0"/>
        <v>8.7762257292153343E-3</v>
      </c>
      <c r="L18" s="8"/>
      <c r="M18" s="8"/>
      <c r="N18" s="8"/>
      <c r="O18" s="76"/>
      <c r="P18" s="9">
        <f t="shared" si="4"/>
        <v>27288</v>
      </c>
      <c r="Q18" s="10">
        <f t="shared" si="1"/>
        <v>8.0745928849259626E-3</v>
      </c>
      <c r="S18" s="51"/>
    </row>
    <row r="19" spans="1:21" x14ac:dyDescent="0.2">
      <c r="A19" t="s">
        <v>26</v>
      </c>
      <c r="B19" s="8"/>
      <c r="C19" s="11">
        <v>9550</v>
      </c>
      <c r="D19" s="12">
        <v>22721</v>
      </c>
      <c r="E19" s="8"/>
      <c r="F19" s="8"/>
      <c r="G19" s="8"/>
      <c r="I19" s="76"/>
      <c r="J19" s="78">
        <f t="shared" si="2"/>
        <v>32271</v>
      </c>
      <c r="K19" s="73">
        <f t="shared" si="0"/>
        <v>1.0378832472424071E-2</v>
      </c>
      <c r="L19" s="8"/>
      <c r="M19" s="8"/>
      <c r="N19" s="8"/>
      <c r="O19" s="76"/>
      <c r="P19" s="9">
        <f t="shared" si="4"/>
        <v>32271</v>
      </c>
      <c r="Q19" s="10">
        <f t="shared" si="1"/>
        <v>9.5490760403637402E-3</v>
      </c>
      <c r="S19" s="51"/>
    </row>
    <row r="20" spans="1:21" x14ac:dyDescent="0.2">
      <c r="A20" t="s">
        <v>27</v>
      </c>
      <c r="B20" s="8"/>
      <c r="C20" s="11">
        <v>5457</v>
      </c>
      <c r="E20" s="8"/>
      <c r="F20" s="8"/>
      <c r="G20" s="8"/>
      <c r="I20" s="76"/>
      <c r="J20" s="78">
        <f t="shared" si="2"/>
        <v>5457</v>
      </c>
      <c r="K20" s="73">
        <f t="shared" si="0"/>
        <v>1.7550521769396103E-3</v>
      </c>
      <c r="L20" s="8"/>
      <c r="M20" s="8"/>
      <c r="N20" s="8"/>
      <c r="O20" s="76"/>
      <c r="P20" s="9">
        <f t="shared" si="4"/>
        <v>5457</v>
      </c>
      <c r="Q20" s="10">
        <f t="shared" si="1"/>
        <v>1.6147410353650315E-3</v>
      </c>
      <c r="S20" s="51"/>
    </row>
    <row r="21" spans="1:21" x14ac:dyDescent="0.2">
      <c r="A21" t="s">
        <v>28</v>
      </c>
      <c r="B21" s="8"/>
      <c r="C21" s="11"/>
      <c r="D21" s="8">
        <v>11312</v>
      </c>
      <c r="E21" s="8"/>
      <c r="F21" s="8"/>
      <c r="G21" s="8"/>
      <c r="I21" s="76"/>
      <c r="J21" s="78">
        <f t="shared" si="2"/>
        <v>11312</v>
      </c>
      <c r="K21" s="73">
        <f t="shared" si="0"/>
        <v>3.6381070598388988E-3</v>
      </c>
      <c r="L21" s="8"/>
      <c r="M21" s="8"/>
      <c r="N21" s="8"/>
      <c r="O21" s="76"/>
      <c r="P21" s="9">
        <f t="shared" si="4"/>
        <v>11312</v>
      </c>
      <c r="Q21" s="10">
        <f t="shared" si="1"/>
        <v>3.3472513454369133E-3</v>
      </c>
      <c r="S21" s="51"/>
    </row>
    <row r="22" spans="1:21" x14ac:dyDescent="0.2">
      <c r="A22" t="s">
        <v>29</v>
      </c>
      <c r="B22" s="8"/>
      <c r="C22" s="11"/>
      <c r="D22" s="8">
        <v>22627</v>
      </c>
      <c r="E22" s="8"/>
      <c r="F22" s="8"/>
      <c r="G22" s="8"/>
      <c r="I22" s="76"/>
      <c r="J22" s="78">
        <f t="shared" si="2"/>
        <v>22627</v>
      </c>
      <c r="K22" s="73">
        <f t="shared" si="0"/>
        <v>7.2771789641950819E-3</v>
      </c>
      <c r="L22" s="8"/>
      <c r="M22" s="8"/>
      <c r="N22" s="8"/>
      <c r="O22" s="76"/>
      <c r="P22" s="9">
        <f t="shared" si="4"/>
        <v>22627</v>
      </c>
      <c r="Q22" s="10">
        <f t="shared" si="1"/>
        <v>6.6953903989746318E-3</v>
      </c>
      <c r="S22" s="51"/>
    </row>
    <row r="23" spans="1:21" x14ac:dyDescent="0.2">
      <c r="A23" t="s">
        <v>30</v>
      </c>
      <c r="B23" s="8"/>
      <c r="C23" s="11"/>
      <c r="D23" s="8">
        <v>5680</v>
      </c>
      <c r="E23" s="8"/>
      <c r="F23" s="8"/>
      <c r="G23" s="8"/>
      <c r="I23" s="76"/>
      <c r="J23" s="78">
        <f t="shared" si="2"/>
        <v>5680</v>
      </c>
      <c r="K23" s="73">
        <f t="shared" si="0"/>
        <v>1.8267722860577215E-3</v>
      </c>
      <c r="L23" s="8"/>
      <c r="M23" s="8"/>
      <c r="N23" s="8"/>
      <c r="O23" s="76"/>
      <c r="P23" s="9">
        <f t="shared" si="4"/>
        <v>5680</v>
      </c>
      <c r="Q23" s="10">
        <f t="shared" si="1"/>
        <v>1.6807273375248999E-3</v>
      </c>
      <c r="S23" s="51"/>
    </row>
    <row r="24" spans="1:21" x14ac:dyDescent="0.2">
      <c r="A24" t="s">
        <v>31</v>
      </c>
      <c r="B24" s="8"/>
      <c r="C24" s="11">
        <v>6823</v>
      </c>
      <c r="E24" s="8"/>
      <c r="F24" s="8"/>
      <c r="G24" s="8"/>
      <c r="I24" s="76"/>
      <c r="J24" s="78">
        <f t="shared" si="2"/>
        <v>6823</v>
      </c>
      <c r="K24" s="73">
        <f t="shared" si="0"/>
        <v>2.1943780471429283E-3</v>
      </c>
      <c r="L24" s="8"/>
      <c r="M24" s="8"/>
      <c r="N24" s="8"/>
      <c r="O24" s="76"/>
      <c r="P24" s="9">
        <f t="shared" si="4"/>
        <v>6823</v>
      </c>
      <c r="Q24" s="10">
        <f t="shared" si="1"/>
        <v>2.0189441239317589E-3</v>
      </c>
      <c r="S24" s="51"/>
    </row>
    <row r="25" spans="1:21" x14ac:dyDescent="0.2">
      <c r="A25" t="s">
        <v>32</v>
      </c>
      <c r="B25" s="8"/>
      <c r="C25" s="11">
        <v>6823</v>
      </c>
      <c r="E25" s="8"/>
      <c r="F25" s="8"/>
      <c r="G25" s="8"/>
      <c r="I25" s="76"/>
      <c r="J25" s="78">
        <f t="shared" si="2"/>
        <v>6823</v>
      </c>
      <c r="K25" s="73">
        <f t="shared" si="0"/>
        <v>2.1943780471429283E-3</v>
      </c>
      <c r="L25" s="8"/>
      <c r="M25" s="8"/>
      <c r="N25" s="8"/>
      <c r="O25" s="76"/>
      <c r="P25" s="9">
        <f t="shared" si="4"/>
        <v>6823</v>
      </c>
      <c r="Q25" s="10">
        <f t="shared" si="1"/>
        <v>2.0189441239317589E-3</v>
      </c>
      <c r="S25" s="51"/>
    </row>
    <row r="26" spans="1:21" x14ac:dyDescent="0.2">
      <c r="A26" t="s">
        <v>33</v>
      </c>
      <c r="B26" s="8"/>
      <c r="C26" s="11">
        <v>6823</v>
      </c>
      <c r="E26" s="8"/>
      <c r="F26" s="8"/>
      <c r="G26" s="8"/>
      <c r="I26" s="76"/>
      <c r="J26" s="78">
        <f t="shared" si="2"/>
        <v>6823</v>
      </c>
      <c r="K26" s="73">
        <f t="shared" si="0"/>
        <v>2.1943780471429283E-3</v>
      </c>
      <c r="L26" s="8"/>
      <c r="M26" s="8"/>
      <c r="N26" s="8"/>
      <c r="O26" s="76"/>
      <c r="P26" s="9">
        <f t="shared" si="4"/>
        <v>6823</v>
      </c>
      <c r="Q26" s="10">
        <f t="shared" si="1"/>
        <v>2.0189441239317589E-3</v>
      </c>
      <c r="S26" s="51"/>
    </row>
    <row r="27" spans="1:21" x14ac:dyDescent="0.2">
      <c r="A27" t="s">
        <v>34</v>
      </c>
      <c r="B27" s="8"/>
      <c r="C27" s="11">
        <v>6823</v>
      </c>
      <c r="E27" s="8"/>
      <c r="F27" s="8"/>
      <c r="G27" s="8"/>
      <c r="I27" s="76"/>
      <c r="J27" s="78">
        <f t="shared" si="2"/>
        <v>6823</v>
      </c>
      <c r="K27" s="73">
        <f t="shared" si="0"/>
        <v>2.1943780471429283E-3</v>
      </c>
      <c r="L27" s="8"/>
      <c r="M27" s="8"/>
      <c r="N27" s="8"/>
      <c r="O27" s="76"/>
      <c r="P27" s="9">
        <f t="shared" si="4"/>
        <v>6823</v>
      </c>
      <c r="Q27" s="10">
        <f t="shared" si="1"/>
        <v>2.0189441239317589E-3</v>
      </c>
      <c r="S27" s="51"/>
    </row>
    <row r="28" spans="1:21" x14ac:dyDescent="0.2">
      <c r="A28" t="s">
        <v>35</v>
      </c>
      <c r="B28" s="8"/>
      <c r="C28" s="11">
        <v>13644</v>
      </c>
      <c r="D28" s="8">
        <v>11319</v>
      </c>
      <c r="E28" s="8"/>
      <c r="F28" s="8"/>
      <c r="G28" s="8"/>
      <c r="I28" s="76"/>
      <c r="J28" s="78">
        <f t="shared" si="2"/>
        <v>24963</v>
      </c>
      <c r="K28" s="73">
        <f t="shared" si="0"/>
        <v>8.0284712283202296E-3</v>
      </c>
      <c r="L28" s="8"/>
      <c r="M28" s="8"/>
      <c r="N28" s="8"/>
      <c r="O28" s="76"/>
      <c r="P28" s="9">
        <f t="shared" si="4"/>
        <v>24963</v>
      </c>
      <c r="Q28" s="10">
        <f t="shared" si="1"/>
        <v>7.3866191068017737E-3</v>
      </c>
      <c r="S28" s="51"/>
    </row>
    <row r="29" spans="1:21" x14ac:dyDescent="0.2">
      <c r="A29" t="s">
        <v>36</v>
      </c>
      <c r="B29" s="8">
        <v>10000</v>
      </c>
      <c r="C29" s="11">
        <v>4093</v>
      </c>
      <c r="E29" s="8"/>
      <c r="F29" s="8"/>
      <c r="G29" s="8">
        <v>5000</v>
      </c>
      <c r="I29" s="76"/>
      <c r="J29" s="78">
        <f t="shared" si="2"/>
        <v>19093</v>
      </c>
      <c r="K29" s="73">
        <f t="shared" si="0"/>
        <v>6.1405921228345206E-3</v>
      </c>
      <c r="L29" s="8"/>
      <c r="M29" s="8"/>
      <c r="N29" s="8"/>
      <c r="O29" s="76"/>
      <c r="P29" s="9">
        <f t="shared" si="4"/>
        <v>19093</v>
      </c>
      <c r="Q29" s="10">
        <f t="shared" si="1"/>
        <v>5.649670256225865E-3</v>
      </c>
      <c r="S29" s="51"/>
    </row>
    <row r="30" spans="1:21" x14ac:dyDescent="0.2">
      <c r="A30" t="s">
        <v>37</v>
      </c>
      <c r="B30" s="8"/>
      <c r="C30" s="11">
        <v>6823</v>
      </c>
      <c r="E30" s="8"/>
      <c r="F30" s="8"/>
      <c r="G30" s="8"/>
      <c r="H30" s="8"/>
      <c r="I30" s="76"/>
      <c r="J30" s="78">
        <f t="shared" si="2"/>
        <v>6823</v>
      </c>
      <c r="K30" s="73">
        <f t="shared" si="0"/>
        <v>2.1943780471429283E-3</v>
      </c>
      <c r="L30" s="8"/>
      <c r="M30" s="8"/>
      <c r="N30" s="8"/>
      <c r="O30" s="76"/>
      <c r="P30" s="9">
        <f t="shared" si="3"/>
        <v>6823</v>
      </c>
      <c r="Q30" s="10">
        <f t="shared" si="1"/>
        <v>2.0189441239317589E-3</v>
      </c>
      <c r="S30" s="51"/>
      <c r="U30" s="46"/>
    </row>
    <row r="31" spans="1:21" x14ac:dyDescent="0.2">
      <c r="B31" s="8"/>
      <c r="C31" s="11"/>
      <c r="E31" s="8"/>
      <c r="F31" s="8"/>
      <c r="G31" s="8"/>
      <c r="H31" s="8"/>
      <c r="I31" s="76"/>
      <c r="J31" s="78">
        <f t="shared" si="2"/>
        <v>0</v>
      </c>
      <c r="K31" s="73"/>
      <c r="L31" s="8"/>
      <c r="M31" s="1" t="s">
        <v>59</v>
      </c>
      <c r="N31" s="46"/>
      <c r="O31" s="76"/>
      <c r="P31" s="9"/>
      <c r="Q31" s="10"/>
      <c r="S31" s="51"/>
      <c r="T31" s="46"/>
    </row>
    <row r="32" spans="1:21" x14ac:dyDescent="0.2">
      <c r="A32" s="40" t="s">
        <v>38</v>
      </c>
      <c r="B32" s="41">
        <f>739977</f>
        <v>739977</v>
      </c>
      <c r="C32" s="42">
        <v>6823</v>
      </c>
      <c r="D32" s="13"/>
      <c r="E32" s="41">
        <v>49399</v>
      </c>
      <c r="F32" s="41"/>
      <c r="G32" s="41"/>
      <c r="H32" s="41"/>
      <c r="I32" s="76"/>
      <c r="J32" s="82">
        <f>SUM(B32:G32)</f>
        <v>796199</v>
      </c>
      <c r="K32" s="83">
        <f>J32/$J$69</f>
        <v>0.25606941327233657</v>
      </c>
      <c r="L32" s="41"/>
      <c r="M32" s="84">
        <f>+K32+K33</f>
        <v>0.38860238585550244</v>
      </c>
      <c r="N32" s="84">
        <f>M32+M34</f>
        <v>0.47630165829279369</v>
      </c>
      <c r="O32" s="76"/>
      <c r="P32" s="41">
        <f>SUM(B32:H32)</f>
        <v>796199</v>
      </c>
      <c r="Q32" s="101">
        <f>P32/$P$69</f>
        <v>0.23559743405105418</v>
      </c>
      <c r="R32" s="99">
        <f>SUM(Q32:Q35)</f>
        <v>0.43822277363794371</v>
      </c>
      <c r="S32" s="97" t="s">
        <v>90</v>
      </c>
      <c r="T32"/>
    </row>
    <row r="33" spans="1:21" x14ac:dyDescent="0.2">
      <c r="A33" s="13" t="s">
        <v>39</v>
      </c>
      <c r="B33" s="41">
        <v>370686</v>
      </c>
      <c r="C33" s="42">
        <v>6823</v>
      </c>
      <c r="D33" s="13"/>
      <c r="E33" s="41">
        <v>34577</v>
      </c>
      <c r="F33" s="41"/>
      <c r="G33" s="41"/>
      <c r="H33" s="41"/>
      <c r="I33" s="76"/>
      <c r="J33" s="82">
        <f>SUM(B33:G33)</f>
        <v>412086</v>
      </c>
      <c r="K33" s="83">
        <f>J33/$J$69</f>
        <v>0.13253297258316588</v>
      </c>
      <c r="L33" s="41"/>
      <c r="M33" s="85"/>
      <c r="N33" s="100"/>
      <c r="O33" s="76"/>
      <c r="P33" s="41">
        <f>SUM(B33:H33)</f>
        <v>412086</v>
      </c>
      <c r="Q33" s="101">
        <f>P33/$P$69</f>
        <v>0.12193736014283202</v>
      </c>
      <c r="S33" s="51"/>
      <c r="T33" s="97"/>
    </row>
    <row r="34" spans="1:21" x14ac:dyDescent="0.2">
      <c r="A34" s="52" t="s">
        <v>53</v>
      </c>
      <c r="B34" s="53"/>
      <c r="C34" s="54"/>
      <c r="D34" s="52"/>
      <c r="E34" s="53"/>
      <c r="F34" s="53">
        <f>(400000*1.15)/E4</f>
        <v>90894.720202339537</v>
      </c>
      <c r="G34" s="53"/>
      <c r="H34" s="52"/>
      <c r="I34" s="74"/>
      <c r="J34" s="80">
        <f>SUM(B34:G34)</f>
        <v>90894.720202339537</v>
      </c>
      <c r="K34" s="81">
        <f>J34/$J$69</f>
        <v>2.9233090812430414E-2</v>
      </c>
      <c r="L34" s="52"/>
      <c r="M34" s="72">
        <f>+K34+K35</f>
        <v>8.769927243729124E-2</v>
      </c>
      <c r="N34" s="52"/>
      <c r="O34" s="74"/>
      <c r="P34" s="53">
        <f>SUM(B34:F34)</f>
        <v>90894.720202339537</v>
      </c>
      <c r="Q34" s="102">
        <f>P34/$P$69</f>
        <v>2.6895993148019163E-2</v>
      </c>
      <c r="S34" s="97"/>
      <c r="T34"/>
    </row>
    <row r="35" spans="1:21" x14ac:dyDescent="0.2">
      <c r="A35" s="56" t="s">
        <v>54</v>
      </c>
      <c r="B35" s="53"/>
      <c r="C35" s="54"/>
      <c r="D35" s="52"/>
      <c r="E35" s="53"/>
      <c r="F35" s="53">
        <f>F34*2</f>
        <v>181789.44040467907</v>
      </c>
      <c r="G35" s="53"/>
      <c r="H35" s="52"/>
      <c r="I35" s="74"/>
      <c r="J35" s="80">
        <f>SUM(B35:G35)</f>
        <v>181789.44040467907</v>
      </c>
      <c r="K35" s="81">
        <f>J35/$J$69</f>
        <v>5.8466181624860829E-2</v>
      </c>
      <c r="L35" s="52"/>
      <c r="M35" s="52"/>
      <c r="N35" s="52"/>
      <c r="O35" s="74"/>
      <c r="P35" s="53">
        <f>SUM(B35:F35)</f>
        <v>181789.44040467907</v>
      </c>
      <c r="Q35" s="102">
        <f>P35/$P$69</f>
        <v>5.3791986296038326E-2</v>
      </c>
      <c r="S35" s="51"/>
    </row>
    <row r="36" spans="1:21" x14ac:dyDescent="0.2">
      <c r="A36" s="7"/>
      <c r="B36" s="8"/>
      <c r="C36" s="11"/>
      <c r="E36" s="8"/>
      <c r="F36" s="8"/>
      <c r="G36" s="8"/>
      <c r="H36" s="8"/>
      <c r="I36" s="76"/>
      <c r="J36" s="78"/>
      <c r="K36" s="73"/>
      <c r="L36" s="8"/>
      <c r="M36" s="8"/>
      <c r="N36" s="8"/>
      <c r="O36" s="76"/>
      <c r="P36" s="9"/>
      <c r="Q36" s="10"/>
      <c r="S36" s="51"/>
    </row>
    <row r="37" spans="1:21" x14ac:dyDescent="0.2">
      <c r="A37" t="s">
        <v>40</v>
      </c>
      <c r="B37" s="8"/>
      <c r="C37" s="11"/>
      <c r="D37" s="8"/>
      <c r="E37" s="8">
        <v>9879</v>
      </c>
      <c r="F37" s="8"/>
      <c r="G37" s="8">
        <v>2914</v>
      </c>
      <c r="I37" s="76"/>
      <c r="J37" s="78">
        <f t="shared" ref="J37:J50" si="5">SUM(B37:G37)</f>
        <v>12793</v>
      </c>
      <c r="K37" s="73">
        <f t="shared" ref="K37:K44" si="6">J37/$J$69</f>
        <v>4.1144186365381042E-3</v>
      </c>
      <c r="L37" s="8"/>
      <c r="M37" s="8"/>
      <c r="N37" s="8"/>
      <c r="O37" s="76"/>
      <c r="P37" s="9">
        <f t="shared" ref="P37:P44" si="7">SUM(B37:G37)</f>
        <v>12793</v>
      </c>
      <c r="Q37" s="10">
        <f t="shared" ref="Q37:Q44" si="8">P37/$P$69</f>
        <v>3.7854832445345147E-3</v>
      </c>
      <c r="S37" s="51"/>
      <c r="U37" s="46"/>
    </row>
    <row r="38" spans="1:21" x14ac:dyDescent="0.2">
      <c r="A38" t="s">
        <v>41</v>
      </c>
      <c r="B38" s="8">
        <v>26939</v>
      </c>
      <c r="C38" s="11"/>
      <c r="D38" s="8"/>
      <c r="E38" s="8"/>
      <c r="F38" s="8"/>
      <c r="G38" s="8">
        <v>2914</v>
      </c>
      <c r="I38" s="76"/>
      <c r="J38" s="78">
        <f t="shared" si="5"/>
        <v>29853</v>
      </c>
      <c r="K38" s="73">
        <f t="shared" si="6"/>
        <v>9.6011677914931617E-3</v>
      </c>
      <c r="L38" s="8"/>
      <c r="M38" s="8"/>
      <c r="N38" s="8"/>
      <c r="O38" s="76"/>
      <c r="P38" s="9">
        <f t="shared" si="7"/>
        <v>29853</v>
      </c>
      <c r="Q38" s="10">
        <f t="shared" si="8"/>
        <v>8.8335833111145828E-3</v>
      </c>
      <c r="S38" s="51"/>
      <c r="T38" s="51"/>
    </row>
    <row r="39" spans="1:21" x14ac:dyDescent="0.2">
      <c r="A39" t="s">
        <v>43</v>
      </c>
      <c r="B39" s="8"/>
      <c r="C39" s="11"/>
      <c r="D39" s="8"/>
      <c r="E39" s="8"/>
      <c r="F39" s="8"/>
      <c r="G39" s="8">
        <v>19483</v>
      </c>
      <c r="I39" s="76"/>
      <c r="J39" s="78">
        <f t="shared" si="5"/>
        <v>19483</v>
      </c>
      <c r="K39" s="73">
        <f t="shared" si="6"/>
        <v>6.2660219100814417E-3</v>
      </c>
      <c r="L39" s="8"/>
      <c r="M39" s="8"/>
      <c r="N39" s="8"/>
      <c r="O39" s="76"/>
      <c r="P39" s="9">
        <f t="shared" si="7"/>
        <v>19483</v>
      </c>
      <c r="Q39" s="10">
        <f t="shared" si="8"/>
        <v>5.7650723093305677E-3</v>
      </c>
      <c r="S39" s="51"/>
      <c r="T39" s="51"/>
    </row>
    <row r="40" spans="1:21" x14ac:dyDescent="0.2">
      <c r="A40" s="105" t="s">
        <v>78</v>
      </c>
      <c r="B40" s="8"/>
      <c r="C40" s="11"/>
      <c r="D40" s="8"/>
      <c r="E40" s="8"/>
      <c r="F40" s="8"/>
      <c r="G40" s="8">
        <v>77500</v>
      </c>
      <c r="I40" s="76"/>
      <c r="J40" s="78">
        <f t="shared" si="5"/>
        <v>77500</v>
      </c>
      <c r="K40" s="73">
        <f t="shared" si="6"/>
        <v>2.4925150029836869E-2</v>
      </c>
      <c r="L40" s="8"/>
      <c r="M40" s="8"/>
      <c r="N40" s="8"/>
      <c r="O40" s="76"/>
      <c r="P40" s="9">
        <f t="shared" si="7"/>
        <v>77500</v>
      </c>
      <c r="Q40" s="10">
        <f t="shared" si="8"/>
        <v>2.2932459270806293E-2</v>
      </c>
      <c r="S40" s="51"/>
      <c r="T40" s="51"/>
    </row>
    <row r="41" spans="1:21" x14ac:dyDescent="0.2">
      <c r="A41" t="s">
        <v>44</v>
      </c>
      <c r="B41" s="8">
        <v>16164</v>
      </c>
      <c r="C41" s="11"/>
      <c r="D41" s="8"/>
      <c r="E41" s="8"/>
      <c r="F41" s="108"/>
      <c r="G41" s="8">
        <f>20000+4940</f>
        <v>24940</v>
      </c>
      <c r="H41" s="78"/>
      <c r="I41" s="76"/>
      <c r="J41" s="78">
        <f t="shared" si="5"/>
        <v>41104</v>
      </c>
      <c r="K41" s="73">
        <f t="shared" si="6"/>
        <v>1.3219656346147286E-2</v>
      </c>
      <c r="L41" s="8"/>
      <c r="M41" s="8"/>
      <c r="N41" s="8"/>
      <c r="O41" s="76"/>
      <c r="P41" s="9">
        <f t="shared" si="7"/>
        <v>41104</v>
      </c>
      <c r="Q41" s="10">
        <f t="shared" si="8"/>
        <v>1.216278459183512E-2</v>
      </c>
      <c r="S41" s="51"/>
      <c r="T41" s="51"/>
    </row>
    <row r="42" spans="1:21" x14ac:dyDescent="0.2">
      <c r="A42" t="s">
        <v>45</v>
      </c>
      <c r="B42" s="8"/>
      <c r="C42" s="11"/>
      <c r="D42" s="8"/>
      <c r="E42" s="8"/>
      <c r="F42" s="8"/>
      <c r="G42" s="8">
        <v>2914</v>
      </c>
      <c r="H42" s="78"/>
      <c r="I42" s="76"/>
      <c r="J42" s="78">
        <f t="shared" si="5"/>
        <v>2914</v>
      </c>
      <c r="K42" s="73">
        <f t="shared" si="6"/>
        <v>9.3718564112186631E-4</v>
      </c>
      <c r="L42" s="8"/>
      <c r="M42" s="8"/>
      <c r="N42" s="8"/>
      <c r="O42" s="76"/>
      <c r="P42" s="9">
        <f t="shared" si="7"/>
        <v>2914</v>
      </c>
      <c r="Q42" s="10">
        <f t="shared" si="8"/>
        <v>8.6226046858231661E-4</v>
      </c>
      <c r="S42" s="51"/>
    </row>
    <row r="43" spans="1:21" x14ac:dyDescent="0.2">
      <c r="A43" t="s">
        <v>46</v>
      </c>
      <c r="B43" s="8"/>
      <c r="C43" s="11"/>
      <c r="D43" s="8"/>
      <c r="E43" s="8"/>
      <c r="F43" s="8"/>
      <c r="G43" s="8"/>
      <c r="H43" s="78"/>
      <c r="I43" s="76"/>
      <c r="J43" s="78">
        <f t="shared" si="5"/>
        <v>0</v>
      </c>
      <c r="K43" s="73">
        <f t="shared" si="6"/>
        <v>0</v>
      </c>
      <c r="L43" s="8"/>
      <c r="M43" s="8"/>
      <c r="N43" s="8"/>
      <c r="O43" s="76"/>
      <c r="P43" s="9">
        <f t="shared" si="7"/>
        <v>0</v>
      </c>
      <c r="Q43" s="10">
        <f t="shared" si="8"/>
        <v>0</v>
      </c>
      <c r="S43" s="51"/>
    </row>
    <row r="44" spans="1:21" x14ac:dyDescent="0.2">
      <c r="A44" t="s">
        <v>47</v>
      </c>
      <c r="B44" s="8"/>
      <c r="C44" s="11">
        <v>6823</v>
      </c>
      <c r="E44" s="8"/>
      <c r="F44" s="8"/>
      <c r="G44" s="8"/>
      <c r="H44" s="78"/>
      <c r="I44" s="76"/>
      <c r="J44" s="78">
        <f t="shared" si="5"/>
        <v>6823</v>
      </c>
      <c r="K44" s="73">
        <f t="shared" si="6"/>
        <v>2.1943780471429283E-3</v>
      </c>
      <c r="L44" s="8"/>
      <c r="M44" s="8"/>
      <c r="N44" s="8"/>
      <c r="O44" s="76"/>
      <c r="P44" s="9">
        <f t="shared" si="7"/>
        <v>6823</v>
      </c>
      <c r="Q44" s="10">
        <f t="shared" si="8"/>
        <v>2.0189441239317589E-3</v>
      </c>
      <c r="S44" s="51"/>
    </row>
    <row r="45" spans="1:21" x14ac:dyDescent="0.2">
      <c r="B45" s="8"/>
      <c r="C45" s="11"/>
      <c r="E45" s="8"/>
      <c r="F45" s="8"/>
      <c r="G45" s="8"/>
      <c r="H45" s="78"/>
      <c r="I45" s="76"/>
      <c r="J45" s="78">
        <f t="shared" si="5"/>
        <v>0</v>
      </c>
      <c r="K45" s="73"/>
      <c r="L45" s="8"/>
      <c r="M45" s="8"/>
      <c r="N45" s="8"/>
      <c r="O45" s="76"/>
      <c r="P45" s="9"/>
      <c r="Q45" s="10"/>
      <c r="S45" s="51"/>
    </row>
    <row r="46" spans="1:21" x14ac:dyDescent="0.2">
      <c r="A46" t="s">
        <v>58</v>
      </c>
      <c r="B46" s="8"/>
      <c r="C46" s="11"/>
      <c r="E46" s="8"/>
      <c r="F46" s="108"/>
      <c r="G46" s="8">
        <f>52350</f>
        <v>52350</v>
      </c>
      <c r="H46" s="78"/>
      <c r="I46" s="76"/>
      <c r="J46" s="78">
        <f t="shared" si="5"/>
        <v>52350</v>
      </c>
      <c r="K46" s="73">
        <f t="shared" ref="K46:K51" si="9">J46/$J$69</f>
        <v>1.6836536826605936E-2</v>
      </c>
      <c r="L46" s="8"/>
      <c r="M46" s="8"/>
      <c r="N46" s="8"/>
      <c r="O46" s="76"/>
      <c r="P46" s="9">
        <f t="shared" ref="P46:P51" si="10">SUM(B46:G46)</f>
        <v>52350</v>
      </c>
      <c r="Q46" s="10">
        <f t="shared" ref="Q46:Q51" si="11">P46/$P$69</f>
        <v>1.5490506359054315E-2</v>
      </c>
      <c r="S46" s="51"/>
      <c r="T46" s="51"/>
    </row>
    <row r="47" spans="1:21" x14ac:dyDescent="0.2">
      <c r="A47" t="s">
        <v>57</v>
      </c>
      <c r="B47" s="8"/>
      <c r="C47" s="11"/>
      <c r="E47" s="8"/>
      <c r="F47" s="8"/>
      <c r="G47" s="8">
        <v>0</v>
      </c>
      <c r="I47" s="76"/>
      <c r="J47" s="78">
        <f t="shared" si="5"/>
        <v>0</v>
      </c>
      <c r="K47" s="73">
        <f t="shared" si="9"/>
        <v>0</v>
      </c>
      <c r="L47" s="8"/>
      <c r="M47" s="8"/>
      <c r="N47" s="8"/>
      <c r="O47" s="76"/>
      <c r="P47" s="9">
        <f t="shared" si="10"/>
        <v>0</v>
      </c>
      <c r="Q47" s="10">
        <f t="shared" si="11"/>
        <v>0</v>
      </c>
      <c r="S47" s="51"/>
      <c r="T47" s="51"/>
    </row>
    <row r="48" spans="1:21" x14ac:dyDescent="0.2">
      <c r="A48" t="s">
        <v>61</v>
      </c>
      <c r="B48" s="8"/>
      <c r="C48" s="11"/>
      <c r="E48" s="8"/>
      <c r="F48" s="8"/>
      <c r="G48" s="8">
        <v>5000</v>
      </c>
      <c r="I48" s="76"/>
      <c r="J48" s="78">
        <f t="shared" si="5"/>
        <v>5000</v>
      </c>
      <c r="K48" s="73">
        <f t="shared" si="9"/>
        <v>1.6080741954733464E-3</v>
      </c>
      <c r="L48" s="8"/>
      <c r="M48" s="8"/>
      <c r="N48" s="8"/>
      <c r="O48" s="76"/>
      <c r="P48" s="9">
        <f t="shared" si="10"/>
        <v>5000</v>
      </c>
      <c r="Q48" s="10">
        <f t="shared" si="11"/>
        <v>1.4795135013423413E-3</v>
      </c>
      <c r="S48" s="51"/>
      <c r="T48" s="51"/>
    </row>
    <row r="49" spans="1:20" x14ac:dyDescent="0.2">
      <c r="A49" t="s">
        <v>62</v>
      </c>
      <c r="B49" s="8"/>
      <c r="C49" s="11"/>
      <c r="E49" s="8"/>
      <c r="F49" s="8"/>
      <c r="G49" s="8">
        <f>4940/2</f>
        <v>2470</v>
      </c>
      <c r="I49" s="76"/>
      <c r="J49" s="78">
        <f t="shared" si="5"/>
        <v>2470</v>
      </c>
      <c r="K49" s="73">
        <f t="shared" si="9"/>
        <v>7.9438865256383309E-4</v>
      </c>
      <c r="L49" s="8"/>
      <c r="M49" s="8"/>
      <c r="N49" s="8"/>
      <c r="O49" s="76"/>
      <c r="P49" s="9">
        <f t="shared" si="10"/>
        <v>2470</v>
      </c>
      <c r="Q49" s="10">
        <f t="shared" si="11"/>
        <v>7.3087966966311666E-4</v>
      </c>
      <c r="S49" s="51"/>
      <c r="T49" s="51"/>
    </row>
    <row r="50" spans="1:20" x14ac:dyDescent="0.2">
      <c r="A50" t="s">
        <v>80</v>
      </c>
      <c r="B50" s="8"/>
      <c r="C50" s="11"/>
      <c r="E50" s="8"/>
      <c r="F50" s="8"/>
      <c r="G50" s="8">
        <v>45000</v>
      </c>
      <c r="I50" s="76"/>
      <c r="J50" s="78">
        <f t="shared" si="5"/>
        <v>45000</v>
      </c>
      <c r="K50" s="73">
        <f t="shared" si="9"/>
        <v>1.4472667759260116E-2</v>
      </c>
      <c r="L50" s="8"/>
      <c r="M50" s="8"/>
      <c r="N50" s="8"/>
      <c r="O50" s="76"/>
      <c r="P50" s="9">
        <f t="shared" si="10"/>
        <v>45000</v>
      </c>
      <c r="Q50" s="10">
        <f t="shared" si="11"/>
        <v>1.3315621512081072E-2</v>
      </c>
      <c r="S50" s="51"/>
      <c r="T50" s="51"/>
    </row>
    <row r="51" spans="1:20" x14ac:dyDescent="0.2">
      <c r="A51" t="s">
        <v>79</v>
      </c>
      <c r="B51" s="8"/>
      <c r="C51" s="11"/>
      <c r="E51" s="8"/>
      <c r="F51" s="8"/>
      <c r="G51" s="8">
        <v>0</v>
      </c>
      <c r="I51" s="76"/>
      <c r="J51" s="78">
        <f t="shared" ref="J51" si="12">SUM(B51:G51)</f>
        <v>0</v>
      </c>
      <c r="K51" s="73">
        <f t="shared" si="9"/>
        <v>0</v>
      </c>
      <c r="L51" s="8"/>
      <c r="M51" s="8"/>
      <c r="N51" s="8"/>
      <c r="O51" s="76"/>
      <c r="P51" s="9">
        <f t="shared" si="10"/>
        <v>0</v>
      </c>
      <c r="Q51" s="10">
        <f t="shared" si="11"/>
        <v>0</v>
      </c>
      <c r="S51" s="51"/>
      <c r="T51" s="51"/>
    </row>
    <row r="52" spans="1:20" x14ac:dyDescent="0.2">
      <c r="A52" t="s">
        <v>83</v>
      </c>
      <c r="B52" s="8"/>
      <c r="C52" s="11"/>
      <c r="E52" s="8"/>
      <c r="F52" s="8"/>
      <c r="G52" s="8">
        <f>4940*2</f>
        <v>9880</v>
      </c>
      <c r="I52" s="76"/>
      <c r="J52" s="78"/>
      <c r="K52" s="73"/>
      <c r="L52" s="8"/>
      <c r="M52" s="8"/>
      <c r="N52" s="8"/>
      <c r="O52" s="76"/>
      <c r="P52" s="9"/>
      <c r="Q52" s="10"/>
      <c r="S52" s="51"/>
      <c r="T52" s="51"/>
    </row>
    <row r="53" spans="1:20" x14ac:dyDescent="0.2">
      <c r="A53" t="s">
        <v>84</v>
      </c>
      <c r="B53" s="8"/>
      <c r="C53" s="11"/>
      <c r="E53" s="8"/>
      <c r="F53" s="8"/>
      <c r="G53" s="8">
        <f>4940/2</f>
        <v>2470</v>
      </c>
      <c r="I53" s="76"/>
      <c r="J53" s="78"/>
      <c r="K53" s="73"/>
      <c r="L53" s="8"/>
      <c r="M53" s="8"/>
      <c r="N53" s="8"/>
      <c r="O53" s="76"/>
      <c r="P53" s="9"/>
      <c r="Q53" s="10"/>
      <c r="S53" s="51"/>
      <c r="T53" s="51"/>
    </row>
    <row r="54" spans="1:20" x14ac:dyDescent="0.2">
      <c r="A54" t="s">
        <v>85</v>
      </c>
      <c r="B54" s="8"/>
      <c r="C54" s="11"/>
      <c r="E54" s="8"/>
      <c r="F54" s="8"/>
      <c r="G54" s="8">
        <f>4940/2</f>
        <v>2470</v>
      </c>
      <c r="I54" s="76"/>
      <c r="J54" s="78"/>
      <c r="K54" s="73"/>
      <c r="L54" s="8"/>
      <c r="M54" s="8"/>
      <c r="N54" s="8"/>
      <c r="O54" s="76"/>
      <c r="P54" s="9"/>
      <c r="Q54" s="10"/>
      <c r="S54" s="51"/>
      <c r="T54" s="51"/>
    </row>
    <row r="55" spans="1:20" x14ac:dyDescent="0.2">
      <c r="B55" s="8"/>
      <c r="C55" s="11"/>
      <c r="E55" s="8"/>
      <c r="F55" s="8"/>
      <c r="G55" s="8"/>
      <c r="H55" s="8"/>
      <c r="I55" s="76"/>
      <c r="J55" s="78"/>
      <c r="K55" s="73"/>
      <c r="L55" s="8"/>
      <c r="M55" s="8"/>
      <c r="N55" s="8"/>
      <c r="O55" s="76"/>
      <c r="P55" s="9"/>
      <c r="Q55" s="10"/>
      <c r="S55" s="51"/>
      <c r="T55" s="51"/>
    </row>
    <row r="56" spans="1:20" x14ac:dyDescent="0.2">
      <c r="B56" s="8"/>
      <c r="C56" s="11"/>
      <c r="E56" s="8"/>
      <c r="F56" s="8"/>
      <c r="G56" s="8"/>
      <c r="H56" s="8"/>
      <c r="I56" s="76"/>
      <c r="J56" s="78"/>
      <c r="K56" s="73"/>
      <c r="L56" s="8"/>
      <c r="M56" s="1" t="s">
        <v>67</v>
      </c>
      <c r="N56" s="8"/>
      <c r="O56" s="76"/>
      <c r="P56" s="9"/>
      <c r="Q56" s="10"/>
      <c r="S56" s="51"/>
    </row>
    <row r="57" spans="1:20" x14ac:dyDescent="0.2">
      <c r="A57" s="57" t="s">
        <v>65</v>
      </c>
      <c r="B57" s="17"/>
      <c r="C57" s="15"/>
      <c r="D57" s="17"/>
      <c r="E57" s="17"/>
      <c r="F57" s="15">
        <f>((250000)*1.15)/E4</f>
        <v>56809.200126462216</v>
      </c>
      <c r="G57" s="15"/>
      <c r="H57" s="17"/>
      <c r="I57" s="74"/>
      <c r="J57" s="86">
        <f>SUM(B57:G57)</f>
        <v>56809.200126462216</v>
      </c>
      <c r="K57" s="87">
        <f>J57/$J$69</f>
        <v>1.8270681757769011E-2</v>
      </c>
      <c r="L57" s="17"/>
      <c r="M57" s="61">
        <f>K57+K58+K59</f>
        <v>1.8270681757769011E-2</v>
      </c>
      <c r="N57" s="17"/>
      <c r="O57" s="74"/>
      <c r="P57" s="15">
        <f>SUM(B57:F57)</f>
        <v>56809.200126462216</v>
      </c>
      <c r="Q57" s="48">
        <f>P57/$P$69</f>
        <v>1.6809995717511978E-2</v>
      </c>
      <c r="R57" s="103">
        <f>SUM(Q57:Q58)</f>
        <v>1.6809995717511978E-2</v>
      </c>
      <c r="S57" s="97" t="s">
        <v>91</v>
      </c>
    </row>
    <row r="58" spans="1:20" x14ac:dyDescent="0.2">
      <c r="A58" s="57" t="s">
        <v>66</v>
      </c>
      <c r="B58" s="17"/>
      <c r="C58" s="15"/>
      <c r="D58" s="17"/>
      <c r="E58" s="17"/>
      <c r="F58" s="15"/>
      <c r="G58" s="15"/>
      <c r="H58" s="17"/>
      <c r="I58" s="74"/>
      <c r="J58" s="86">
        <f t="shared" ref="J58:J59" si="13">SUM(B58:G58)</f>
        <v>0</v>
      </c>
      <c r="K58" s="87">
        <f>J58/$J$69</f>
        <v>0</v>
      </c>
      <c r="L58" s="17"/>
      <c r="M58" s="88"/>
      <c r="N58" s="17"/>
      <c r="O58" s="74"/>
      <c r="P58" s="15">
        <f>SUM(B58:F58)</f>
        <v>0</v>
      </c>
      <c r="Q58" s="48">
        <f>P58/$P$69</f>
        <v>0</v>
      </c>
      <c r="S58" s="51"/>
    </row>
    <row r="59" spans="1:20" x14ac:dyDescent="0.2">
      <c r="A59" s="43" t="s">
        <v>75</v>
      </c>
      <c r="B59" s="15"/>
      <c r="C59" s="16"/>
      <c r="D59" s="17"/>
      <c r="E59" s="15"/>
      <c r="F59" s="15"/>
      <c r="G59" s="15"/>
      <c r="H59" s="94">
        <v>285000</v>
      </c>
      <c r="I59" s="76"/>
      <c r="J59" s="86">
        <f t="shared" si="13"/>
        <v>0</v>
      </c>
      <c r="K59" s="87">
        <f>J59/$J$69</f>
        <v>0</v>
      </c>
      <c r="L59" s="15"/>
      <c r="M59" s="88"/>
      <c r="N59" s="15"/>
      <c r="O59" s="76"/>
      <c r="P59" s="15">
        <f>SUM(B59:H59)</f>
        <v>285000</v>
      </c>
      <c r="Q59" s="48">
        <f>P59/$P$69</f>
        <v>8.4332269576513463E-2</v>
      </c>
      <c r="S59" s="1"/>
    </row>
    <row r="60" spans="1:20" x14ac:dyDescent="0.2">
      <c r="A60" s="58"/>
      <c r="B60" s="8"/>
      <c r="C60" s="11"/>
      <c r="E60" s="8"/>
      <c r="F60" s="8"/>
      <c r="G60" s="8"/>
      <c r="H60" s="8"/>
      <c r="I60" s="76"/>
      <c r="J60" s="78"/>
      <c r="K60" s="73"/>
      <c r="L60" s="8"/>
      <c r="M60" s="1" t="s">
        <v>60</v>
      </c>
      <c r="N60" s="8"/>
      <c r="O60" s="76"/>
      <c r="P60" s="8"/>
      <c r="Q60" s="59"/>
      <c r="S60" s="1"/>
    </row>
    <row r="61" spans="1:20" x14ac:dyDescent="0.2">
      <c r="A61" s="62" t="s">
        <v>56</v>
      </c>
      <c r="B61" s="44"/>
      <c r="C61" s="45"/>
      <c r="D61" s="44"/>
      <c r="E61" s="44"/>
      <c r="F61" s="45">
        <f>'Captable - KISS oct 2022'!G57</f>
        <v>37393.86292680999</v>
      </c>
      <c r="G61" s="45"/>
      <c r="H61" s="44"/>
      <c r="I61" s="74"/>
      <c r="J61" s="89">
        <f>SUM(B61:G61)</f>
        <v>37393.86292680999</v>
      </c>
      <c r="K61" s="90">
        <f>J61/$J$69</f>
        <v>1.2026421208334113E-2</v>
      </c>
      <c r="L61" s="44"/>
      <c r="M61" s="64">
        <f>K61+K62+K63</f>
        <v>1.2026421208334113E-2</v>
      </c>
      <c r="N61" s="44"/>
      <c r="O61" s="74"/>
      <c r="P61" s="45">
        <f>SUM(B61:F61)</f>
        <v>37393.86292680999</v>
      </c>
      <c r="Q61" s="63">
        <f>P61/$P$69</f>
        <v>1.1064945013512045E-2</v>
      </c>
      <c r="S61" s="95"/>
    </row>
    <row r="62" spans="1:20" x14ac:dyDescent="0.2">
      <c r="A62" s="62" t="s">
        <v>13</v>
      </c>
      <c r="B62" s="44"/>
      <c r="C62" s="45"/>
      <c r="D62" s="44"/>
      <c r="E62" s="44"/>
      <c r="F62" s="45">
        <v>0</v>
      </c>
      <c r="G62" s="45"/>
      <c r="H62" s="44"/>
      <c r="I62" s="74"/>
      <c r="J62" s="89">
        <f>SUM(B62:G62)</f>
        <v>0</v>
      </c>
      <c r="K62" s="90">
        <f>J62/$J$69</f>
        <v>0</v>
      </c>
      <c r="L62" s="44"/>
      <c r="M62" s="44"/>
      <c r="N62" s="44"/>
      <c r="O62" s="74"/>
      <c r="P62" s="45">
        <f>SUM(B62:F62)</f>
        <v>0</v>
      </c>
      <c r="Q62" s="63">
        <f>P62/$P$69</f>
        <v>0</v>
      </c>
    </row>
    <row r="63" spans="1:20" x14ac:dyDescent="0.2">
      <c r="A63" s="7"/>
      <c r="C63" s="8"/>
      <c r="H63" s="8"/>
      <c r="I63" s="76"/>
      <c r="J63" s="78"/>
      <c r="K63" s="73"/>
      <c r="L63" s="8"/>
      <c r="M63" s="8"/>
      <c r="N63" s="8"/>
      <c r="O63" s="76"/>
      <c r="P63" s="9"/>
      <c r="Q63" s="10"/>
    </row>
    <row r="64" spans="1:20" x14ac:dyDescent="0.2">
      <c r="A64" s="66" t="s">
        <v>86</v>
      </c>
      <c r="B64" s="67"/>
      <c r="C64" s="68"/>
      <c r="D64" s="69"/>
      <c r="E64" s="67"/>
      <c r="F64" s="14">
        <f>1750000/F4</f>
        <v>345795.1312045526</v>
      </c>
      <c r="G64" s="107"/>
      <c r="H64" s="67"/>
      <c r="I64" s="76"/>
      <c r="J64" s="91">
        <f>SUM(B64:G64)</f>
        <v>345795.1312045526</v>
      </c>
      <c r="K64" s="92">
        <f>J64/$J$69</f>
        <v>0.11121284548207223</v>
      </c>
      <c r="L64" s="67"/>
      <c r="M64" s="92">
        <f>+K64+K65+K66</f>
        <v>0.15887549354581748</v>
      </c>
      <c r="N64" s="67"/>
      <c r="O64" s="76"/>
      <c r="P64" s="67">
        <f t="shared" ref="P64" si="14">SUM(B64:H64)</f>
        <v>345795.1312045526</v>
      </c>
      <c r="Q64" s="70">
        <f>P64/$P$69</f>
        <v>0.1023217130631164</v>
      </c>
      <c r="R64" s="104">
        <f>SUM(Q64:Q66)</f>
        <v>0.14617387580445199</v>
      </c>
      <c r="S64" s="96" t="s">
        <v>92</v>
      </c>
      <c r="T64" s="51"/>
    </row>
    <row r="65" spans="1:20" x14ac:dyDescent="0.2">
      <c r="A65" s="66" t="s">
        <v>87</v>
      </c>
      <c r="B65" s="67"/>
      <c r="C65" s="68"/>
      <c r="D65" s="69"/>
      <c r="E65" s="67"/>
      <c r="F65" s="14">
        <f>750000/F4</f>
        <v>148197.91337337968</v>
      </c>
      <c r="G65" s="107"/>
      <c r="H65" s="67"/>
      <c r="I65" s="76"/>
      <c r="J65" s="91">
        <f>SUM(B65:G65)</f>
        <v>148197.91337337968</v>
      </c>
      <c r="K65" s="92">
        <f>J65/$J$69</f>
        <v>4.766264806374524E-2</v>
      </c>
      <c r="L65" s="67"/>
      <c r="M65" s="67"/>
      <c r="N65" s="67"/>
      <c r="O65" s="76"/>
      <c r="P65" s="67">
        <f t="shared" ref="P65" si="15">SUM(B65:H65)</f>
        <v>148197.91337337968</v>
      </c>
      <c r="Q65" s="70">
        <f>P65/$P$69</f>
        <v>4.385216274133559E-2</v>
      </c>
      <c r="S65" s="96"/>
      <c r="T65" s="51"/>
    </row>
    <row r="66" spans="1:20" x14ac:dyDescent="0.2">
      <c r="A66" s="66" t="s">
        <v>88</v>
      </c>
      <c r="B66" s="67"/>
      <c r="C66" s="68"/>
      <c r="D66" s="69"/>
      <c r="E66" s="67"/>
      <c r="F66" s="14">
        <v>0</v>
      </c>
      <c r="G66" s="107"/>
      <c r="H66" s="67"/>
      <c r="I66" s="76"/>
      <c r="J66" s="91">
        <f>SUM(B66:G66)</f>
        <v>0</v>
      </c>
      <c r="K66" s="92">
        <f>J66/$J$69</f>
        <v>0</v>
      </c>
      <c r="L66" s="67"/>
      <c r="M66" s="67"/>
      <c r="N66" s="67"/>
      <c r="O66" s="76"/>
      <c r="P66" s="67">
        <f t="shared" ref="P66" si="16">SUM(B66:H66)</f>
        <v>0</v>
      </c>
      <c r="Q66" s="70">
        <f>P66/$P$69</f>
        <v>0</v>
      </c>
      <c r="S66" s="96"/>
      <c r="T66" s="51"/>
    </row>
    <row r="67" spans="1:20" ht="16" thickBot="1" x14ac:dyDescent="0.25">
      <c r="A67" s="7"/>
      <c r="B67" s="8"/>
      <c r="C67" s="11"/>
      <c r="E67" s="8"/>
      <c r="F67" s="8"/>
      <c r="G67" s="8"/>
      <c r="H67" s="8"/>
      <c r="I67" s="76"/>
      <c r="J67" s="78"/>
      <c r="K67" s="73"/>
      <c r="L67" s="8"/>
      <c r="M67" s="8"/>
      <c r="N67" s="8"/>
      <c r="O67" s="76"/>
      <c r="P67" s="9"/>
      <c r="Q67" s="10"/>
      <c r="S67" s="96"/>
      <c r="T67" s="51"/>
    </row>
    <row r="68" spans="1:20" ht="16" thickTop="1" x14ac:dyDescent="0.2">
      <c r="A68" s="19" t="s">
        <v>50</v>
      </c>
      <c r="B68" s="20"/>
      <c r="C68" s="20"/>
      <c r="D68" s="20"/>
      <c r="E68" s="20"/>
      <c r="F68" s="20"/>
      <c r="G68" s="21">
        <v>232911</v>
      </c>
      <c r="H68" s="21"/>
      <c r="I68" s="77"/>
      <c r="J68" s="21">
        <f>SUM(B68:G68)</f>
        <v>232911</v>
      </c>
      <c r="K68" s="93">
        <f>J68/$J$69</f>
        <v>7.4907633788378516E-2</v>
      </c>
      <c r="L68" s="21"/>
      <c r="M68" s="21"/>
      <c r="N68" s="21"/>
      <c r="O68" s="77"/>
      <c r="P68" s="22">
        <f>G68</f>
        <v>232911</v>
      </c>
      <c r="Q68" s="23">
        <f>P68/$P$69</f>
        <v>6.8918993822229213E-2</v>
      </c>
    </row>
    <row r="69" spans="1:20" x14ac:dyDescent="0.2">
      <c r="A69" s="24" t="s">
        <v>51</v>
      </c>
      <c r="B69" s="25">
        <f t="shared" ref="B69:H69" si="17">SUM(B5:B68)</f>
        <v>1190705</v>
      </c>
      <c r="C69" s="25">
        <f t="shared" si="17"/>
        <v>141910</v>
      </c>
      <c r="D69" s="25">
        <f t="shared" si="17"/>
        <v>96328</v>
      </c>
      <c r="E69" s="25">
        <f t="shared" si="17"/>
        <v>306270</v>
      </c>
      <c r="F69" s="25">
        <f t="shared" si="17"/>
        <v>860880.26823822316</v>
      </c>
      <c r="G69" s="25">
        <f>SUM(G5:G68)</f>
        <v>513216</v>
      </c>
      <c r="H69" s="25">
        <f t="shared" si="17"/>
        <v>285000</v>
      </c>
      <c r="I69" s="25"/>
      <c r="J69" s="79">
        <f>SUM(B69:G69)</f>
        <v>3109309.2682382232</v>
      </c>
      <c r="K69" s="98">
        <f>SUM(K5:K67)</f>
        <v>0.92032603429623838</v>
      </c>
      <c r="L69" s="25"/>
      <c r="M69" s="25"/>
      <c r="N69" s="25"/>
      <c r="O69" s="25"/>
      <c r="P69" s="25">
        <f>SUM(P5:P68)</f>
        <v>3379489.2682382227</v>
      </c>
      <c r="Q69" s="26">
        <f>SUM(Q5:Q68)</f>
        <v>1.0000000000000004</v>
      </c>
    </row>
    <row r="70" spans="1:20" x14ac:dyDescent="0.2">
      <c r="C70" s="27"/>
      <c r="D70" s="27"/>
      <c r="E70" s="27"/>
      <c r="F70" s="27"/>
      <c r="G70" s="27"/>
    </row>
    <row r="78" spans="1:20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20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20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</sheetData>
  <mergeCells count="1">
    <mergeCell ref="A1:Q1"/>
  </mergeCells>
  <pageMargins left="0.7" right="0.7" top="0.75" bottom="0.75" header="0.3" footer="0.3"/>
  <pageSetup scale="4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Captable 2021</vt:lpstr>
      <vt:lpstr>Captable - rachat par 9449</vt:lpstr>
      <vt:lpstr>Captable - KISS oct 2022</vt:lpstr>
      <vt:lpstr>Captable - Ronde A March 2024</vt:lpstr>
      <vt:lpstr>'Captable - KISS oct 2022'!Print_Area</vt:lpstr>
      <vt:lpstr>'Captable - rachat par 9449'!Print_Area</vt:lpstr>
      <vt:lpstr>'Captable - Ronde A March 2024'!Print_Area</vt:lpstr>
      <vt:lpstr>'Captable 2021'!Print_Area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Bastien</dc:creator>
  <cp:lastModifiedBy>DS Forest</cp:lastModifiedBy>
  <dcterms:created xsi:type="dcterms:W3CDTF">2022-06-09T16:12:35Z</dcterms:created>
  <dcterms:modified xsi:type="dcterms:W3CDTF">2024-03-19T15:18:48Z</dcterms:modified>
</cp:coreProperties>
</file>