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in\Desktop\"/>
    </mc:Choice>
  </mc:AlternateContent>
  <xr:revisionPtr revIDLastSave="0" documentId="13_ncr:1_{4B58DCE0-00FE-4A41-BE83-EF3BD5FAE611}" xr6:coauthVersionLast="47" xr6:coauthVersionMax="47" xr10:uidLastSave="{00000000-0000-0000-0000-000000000000}"/>
  <bookViews>
    <workbookView xWindow="-28920" yWindow="705" windowWidth="29040" windowHeight="15720" tabRatio="536" xr2:uid="{4EB1C003-AC20-4C94-8377-1D0D6E944E16}"/>
  </bookViews>
  <sheets>
    <sheet name="Summary" sheetId="1" r:id="rId1"/>
    <sheet name="May 2022 to Dec 2023" sheetId="2" r:id="rId2"/>
    <sheet name="Y1GQ March 2023 to Dec 202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10" i="2"/>
  <c r="C12" i="2"/>
  <c r="B12" i="2"/>
  <c r="C10" i="2"/>
  <c r="C9" i="2"/>
  <c r="I12" i="2" l="1"/>
  <c r="U12" i="2"/>
  <c r="B4" i="5" l="1"/>
  <c r="C4" i="5"/>
  <c r="C14" i="5" s="1"/>
  <c r="C16" i="5" s="1"/>
  <c r="D4" i="5"/>
  <c r="D14" i="5" s="1"/>
  <c r="D16" i="5" s="1"/>
  <c r="E4" i="5"/>
  <c r="F4" i="5"/>
  <c r="F14" i="5" s="1"/>
  <c r="F16" i="5" s="1"/>
  <c r="G4" i="5"/>
  <c r="H4" i="5"/>
  <c r="H14" i="5" s="1"/>
  <c r="H16" i="5" s="1"/>
  <c r="I4" i="5"/>
  <c r="I14" i="5" s="1"/>
  <c r="I16" i="5" s="1"/>
  <c r="J4" i="5"/>
  <c r="J14" i="5" s="1"/>
  <c r="J16" i="5" s="1"/>
  <c r="K4" i="5"/>
  <c r="G14" i="5" l="1"/>
  <c r="G16" i="5" s="1"/>
  <c r="E14" i="5"/>
  <c r="E16" i="5" s="1"/>
  <c r="K14" i="5"/>
  <c r="K16" i="5" s="1"/>
  <c r="B14" i="5"/>
  <c r="B16" i="5" s="1"/>
  <c r="D4" i="2" l="1"/>
  <c r="E4" i="2"/>
  <c r="F4" i="2"/>
  <c r="G4" i="2"/>
  <c r="H4" i="2"/>
  <c r="H14" i="2" s="1"/>
  <c r="H16" i="2" s="1"/>
  <c r="I4" i="2"/>
  <c r="I14" i="2" s="1"/>
  <c r="I16" i="2" s="1"/>
  <c r="J4" i="2"/>
  <c r="J14" i="2" s="1"/>
  <c r="J16" i="2" s="1"/>
  <c r="K4" i="2"/>
  <c r="K14" i="2" s="1"/>
  <c r="K16" i="2" s="1"/>
  <c r="L4" i="2"/>
  <c r="M4" i="2"/>
  <c r="N4" i="2"/>
  <c r="O4" i="2"/>
  <c r="P4" i="2"/>
  <c r="Q4" i="2"/>
  <c r="Q14" i="2" s="1"/>
  <c r="Q16" i="2" s="1"/>
  <c r="R4" i="2"/>
  <c r="R14" i="2" s="1"/>
  <c r="R16" i="2" s="1"/>
  <c r="S4" i="2"/>
  <c r="S14" i="2" s="1"/>
  <c r="S16" i="2" s="1"/>
  <c r="T4" i="2"/>
  <c r="T14" i="2" s="1"/>
  <c r="T16" i="2" s="1"/>
  <c r="U4" i="2"/>
  <c r="C4" i="2"/>
  <c r="C14" i="2" s="1"/>
  <c r="C16" i="2" s="1"/>
  <c r="B4" i="2"/>
  <c r="B14" i="2" s="1"/>
  <c r="B16" i="2" s="1"/>
  <c r="P14" i="2" l="1"/>
  <c r="P16" i="2" s="1"/>
  <c r="O14" i="2"/>
  <c r="O16" i="2" s="1"/>
  <c r="G14" i="2"/>
  <c r="G16" i="2" s="1"/>
  <c r="N14" i="2"/>
  <c r="N16" i="2" s="1"/>
  <c r="F14" i="2"/>
  <c r="F16" i="2" s="1"/>
  <c r="U14" i="2"/>
  <c r="U16" i="2" s="1"/>
  <c r="M14" i="2"/>
  <c r="M16" i="2" s="1"/>
  <c r="E14" i="2"/>
  <c r="E16" i="2" s="1"/>
  <c r="L14" i="2"/>
  <c r="L16" i="2" s="1"/>
  <c r="D14" i="2"/>
  <c r="D16" i="2" s="1"/>
  <c r="C10" i="1" l="1"/>
  <c r="C4" i="1"/>
  <c r="D4" i="1"/>
  <c r="D14" i="1" s="1"/>
  <c r="D16" i="1" s="1"/>
  <c r="D19" i="1" s="1"/>
  <c r="D21" i="1" s="1"/>
  <c r="D22" i="1" s="1"/>
  <c r="B4" i="1"/>
  <c r="B14" i="1" s="1"/>
  <c r="B16" i="1" s="1"/>
  <c r="C23" i="1"/>
  <c r="B23" i="1"/>
  <c r="B19" i="1" l="1"/>
  <c r="B21" i="1" s="1"/>
  <c r="B24" i="1"/>
  <c r="C14" i="1"/>
  <c r="C16" i="1" s="1"/>
  <c r="C19" i="1" l="1"/>
  <c r="C21" i="1" s="1"/>
</calcChain>
</file>

<file path=xl/sharedStrings.xml><?xml version="1.0" encoding="utf-8"?>
<sst xmlns="http://schemas.openxmlformats.org/spreadsheetml/2006/main" count="49" uniqueCount="20">
  <si>
    <t>Y1GQ - 2023</t>
  </si>
  <si>
    <t>Annual/prorated target</t>
  </si>
  <si>
    <t>Bonus/(shortfall)</t>
  </si>
  <si>
    <t>Practice actual EBIT</t>
  </si>
  <si>
    <t>Bonus amount 10%</t>
  </si>
  <si>
    <t>Shortfall Cap 10% of the annual/prorated target</t>
  </si>
  <si>
    <t>Doctor Revenue</t>
  </si>
  <si>
    <t>Hygiene Revenue</t>
  </si>
  <si>
    <t>Total Revenue</t>
  </si>
  <si>
    <t>Total Lab Fees</t>
  </si>
  <si>
    <t>Doctor Dental Draw</t>
  </si>
  <si>
    <t>Hygiene Dental Draw</t>
  </si>
  <si>
    <t>Admin Staff Costs</t>
  </si>
  <si>
    <t>Consumables</t>
  </si>
  <si>
    <t>Facility</t>
  </si>
  <si>
    <t>Administrative</t>
  </si>
  <si>
    <t>Selling and Marketing</t>
  </si>
  <si>
    <t>EBITDA</t>
  </si>
  <si>
    <t>CIC</t>
  </si>
  <si>
    <t>Net shortfall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</si>
</sst>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165" fontId="0" fillId="0" borderId="0" xfId="0" applyNumberFormat="1"/>
    <xf numFmtId="4" fontId="0" fillId="0" borderId="1" xfId="0" applyNumberFormat="1" applyBorder="1"/>
    <xf numFmtId="4" fontId="0" fillId="0" borderId="2" xfId="0" applyNumberFormat="1" applyBorder="1"/>
    <xf numFmtId="164" fontId="0" fillId="0" borderId="2" xfId="0" applyNumberFormat="1" applyBorder="1"/>
    <xf numFmtId="17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calcChain" Target="calcChain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/customXML/item2.xml" Id="imanage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D623-A794-43B0-9A18-4074E27FDB07}">
  <dimension ref="A1:E31"/>
  <sheetViews>
    <sheetView tabSelected="1" workbookViewId="0">
      <selection activeCell="F29" sqref="F29"/>
    </sheetView>
  </sheetViews>
  <sheetFormatPr defaultRowHeight="15" x14ac:dyDescent="0.25"/>
  <cols>
    <col min="1" max="1" width="43.140625" bestFit="1" customWidth="1"/>
    <col min="2" max="2" width="22.7109375" style="2" customWidth="1"/>
    <col min="3" max="4" width="20.140625" style="2" customWidth="1"/>
    <col min="5" max="5" width="18.140625" style="2" bestFit="1" customWidth="1"/>
    <col min="6" max="16384" width="9.140625" style="2"/>
  </cols>
  <sheetData>
    <row r="1" spans="1:4" customFormat="1" x14ac:dyDescent="0.25">
      <c r="B1" s="1">
        <v>2022</v>
      </c>
      <c r="C1" s="1">
        <v>2023</v>
      </c>
      <c r="D1" s="1" t="s">
        <v>0</v>
      </c>
    </row>
    <row r="2" spans="1:4" customFormat="1" x14ac:dyDescent="0.25">
      <c r="A2" t="s">
        <v>6</v>
      </c>
      <c r="B2" s="3">
        <v>8322653.8699999973</v>
      </c>
      <c r="C2" s="3">
        <v>14630531.560000004</v>
      </c>
      <c r="D2" s="3">
        <v>1829261.03</v>
      </c>
    </row>
    <row r="3" spans="1:4" customFormat="1" x14ac:dyDescent="0.25">
      <c r="A3" t="s">
        <v>7</v>
      </c>
      <c r="B3" s="3">
        <v>3073802.7699999996</v>
      </c>
      <c r="C3" s="3">
        <v>5167440.3300000019</v>
      </c>
      <c r="D3" s="3">
        <v>209243.54</v>
      </c>
    </row>
    <row r="4" spans="1:4" customFormat="1" x14ac:dyDescent="0.25">
      <c r="A4" t="s">
        <v>8</v>
      </c>
      <c r="B4" s="4">
        <f>SUM(B2:B3)</f>
        <v>11396456.639999997</v>
      </c>
      <c r="C4" s="4">
        <f t="shared" ref="C4:D4" si="0">SUM(C2:C3)</f>
        <v>19797971.890000008</v>
      </c>
      <c r="D4" s="4">
        <f t="shared" si="0"/>
        <v>2038504.57</v>
      </c>
    </row>
    <row r="5" spans="1:4" customFormat="1" x14ac:dyDescent="0.25">
      <c r="B5" s="3"/>
      <c r="C5" s="3"/>
      <c r="D5" s="3"/>
    </row>
    <row r="6" spans="1:4" customFormat="1" x14ac:dyDescent="0.25">
      <c r="A6" t="s">
        <v>9</v>
      </c>
      <c r="B6" s="3">
        <v>392062.95</v>
      </c>
      <c r="C6" s="3">
        <v>705001.62999999896</v>
      </c>
      <c r="D6" s="3">
        <v>120969.78999999998</v>
      </c>
    </row>
    <row r="7" spans="1:4" customFormat="1" x14ac:dyDescent="0.25">
      <c r="A7" t="s">
        <v>10</v>
      </c>
      <c r="B7" s="3">
        <v>3599123.48</v>
      </c>
      <c r="C7" s="3">
        <v>6314439.1700000064</v>
      </c>
      <c r="D7" s="3">
        <v>653920.82999999996</v>
      </c>
    </row>
    <row r="8" spans="1:4" customFormat="1" x14ac:dyDescent="0.25">
      <c r="A8" t="s">
        <v>11</v>
      </c>
      <c r="B8" s="3">
        <v>1473934.3400000005</v>
      </c>
      <c r="C8" s="3">
        <v>2447642.41</v>
      </c>
      <c r="D8" s="3">
        <v>290201.09000000008</v>
      </c>
    </row>
    <row r="9" spans="1:4" customFormat="1" x14ac:dyDescent="0.25">
      <c r="A9" t="s">
        <v>12</v>
      </c>
      <c r="B9" s="3">
        <v>2414327.4400000004</v>
      </c>
      <c r="C9" s="3">
        <v>3783971.7800000054</v>
      </c>
      <c r="D9" s="3">
        <v>315674.53000000003</v>
      </c>
    </row>
    <row r="10" spans="1:4" customFormat="1" x14ac:dyDescent="0.25">
      <c r="A10" t="s">
        <v>13</v>
      </c>
      <c r="B10" s="3">
        <v>728385.67999999993</v>
      </c>
      <c r="C10" s="3">
        <f>1116887.75</f>
        <v>1116887.75</v>
      </c>
      <c r="D10" s="3">
        <v>100651.55</v>
      </c>
    </row>
    <row r="11" spans="1:4" customFormat="1" x14ac:dyDescent="0.25">
      <c r="A11" t="s">
        <v>14</v>
      </c>
      <c r="B11" s="3">
        <v>588401.84</v>
      </c>
      <c r="C11" s="3">
        <v>973081.47999999963</v>
      </c>
      <c r="D11" s="3">
        <v>67347.94</v>
      </c>
    </row>
    <row r="12" spans="1:4" customFormat="1" x14ac:dyDescent="0.25">
      <c r="A12" t="s">
        <v>15</v>
      </c>
      <c r="B12" s="3">
        <v>442275.76000000018</v>
      </c>
      <c r="C12" s="3">
        <v>950108.16999999853</v>
      </c>
      <c r="D12" s="3">
        <v>64962.570000000014</v>
      </c>
    </row>
    <row r="13" spans="1:4" customFormat="1" x14ac:dyDescent="0.25">
      <c r="A13" t="s">
        <v>16</v>
      </c>
      <c r="B13" s="3">
        <v>11044.470000000001</v>
      </c>
      <c r="C13" s="3">
        <v>34573.46</v>
      </c>
      <c r="D13" s="3">
        <v>2121.19</v>
      </c>
    </row>
    <row r="14" spans="1:4" customFormat="1" x14ac:dyDescent="0.25">
      <c r="A14" t="s">
        <v>17</v>
      </c>
      <c r="B14" s="4">
        <f>B4-SUM(B6:B13)</f>
        <v>1746900.679999996</v>
      </c>
      <c r="C14" s="4">
        <f t="shared" ref="C14:D14" si="1">C4-SUM(C6:C13)</f>
        <v>3472266.0399999991</v>
      </c>
      <c r="D14" s="4">
        <f t="shared" si="1"/>
        <v>422655.08000000007</v>
      </c>
    </row>
    <row r="15" spans="1:4" customFormat="1" x14ac:dyDescent="0.25">
      <c r="A15" t="s">
        <v>18</v>
      </c>
      <c r="B15" s="3">
        <v>3215.46</v>
      </c>
      <c r="C15" s="3">
        <v>51418.040000000015</v>
      </c>
      <c r="D15" s="3">
        <v>5061.8100000000004</v>
      </c>
    </row>
    <row r="16" spans="1:4" customFormat="1" ht="15.75" thickBot="1" x14ac:dyDescent="0.3">
      <c r="A16" t="s">
        <v>3</v>
      </c>
      <c r="B16" s="8">
        <f>B14-B15</f>
        <v>1743685.219999996</v>
      </c>
      <c r="C16" s="8">
        <f t="shared" ref="C16:D16" si="2">C14-C15</f>
        <v>3420847.9999999991</v>
      </c>
      <c r="D16" s="8">
        <f t="shared" si="2"/>
        <v>417593.27000000008</v>
      </c>
    </row>
    <row r="17" spans="1:5" customFormat="1" ht="15.75" thickTop="1" x14ac:dyDescent="0.25">
      <c r="B17" s="3"/>
      <c r="C17" s="3"/>
      <c r="D17" s="3"/>
    </row>
    <row r="18" spans="1:5" customFormat="1" x14ac:dyDescent="0.25">
      <c r="B18" s="1"/>
      <c r="C18" s="1"/>
      <c r="D18" s="1"/>
      <c r="E18" s="5"/>
    </row>
    <row r="19" spans="1:5" x14ac:dyDescent="0.25">
      <c r="A19" t="s">
        <v>3</v>
      </c>
      <c r="B19" s="3">
        <f>B16</f>
        <v>1743685.219999996</v>
      </c>
      <c r="C19" s="3">
        <f t="shared" ref="C19:D19" si="3">C16</f>
        <v>3420847.9999999991</v>
      </c>
      <c r="D19" s="3">
        <f t="shared" si="3"/>
        <v>417593.27000000008</v>
      </c>
    </row>
    <row r="20" spans="1:5" x14ac:dyDescent="0.25">
      <c r="A20" t="s">
        <v>1</v>
      </c>
      <c r="B20" s="3">
        <v>2561254</v>
      </c>
      <c r="C20" s="3">
        <v>4100253</v>
      </c>
      <c r="D20" s="3">
        <v>380395</v>
      </c>
    </row>
    <row r="21" spans="1:5" x14ac:dyDescent="0.25">
      <c r="A21" t="s">
        <v>2</v>
      </c>
      <c r="B21" s="3">
        <f>B19-B20</f>
        <v>-817568.78000000399</v>
      </c>
      <c r="C21" s="3">
        <f t="shared" ref="C21:D21" si="4">C19-C20</f>
        <v>-679405.00000000093</v>
      </c>
      <c r="D21" s="3">
        <f t="shared" si="4"/>
        <v>37198.270000000077</v>
      </c>
    </row>
    <row r="22" spans="1:5" x14ac:dyDescent="0.25">
      <c r="A22" t="s">
        <v>4</v>
      </c>
      <c r="B22" s="3"/>
      <c r="C22" s="3"/>
      <c r="D22" s="3">
        <f t="shared" ref="D22" si="5">0.1*D21</f>
        <v>3719.827000000008</v>
      </c>
    </row>
    <row r="23" spans="1:5" x14ac:dyDescent="0.25">
      <c r="A23" t="s">
        <v>5</v>
      </c>
      <c r="B23" s="3">
        <f>-0.1*B20</f>
        <v>-256125.40000000002</v>
      </c>
      <c r="C23" s="3">
        <f>-0.1*C20</f>
        <v>-410025.30000000005</v>
      </c>
      <c r="D23" s="3"/>
    </row>
    <row r="24" spans="1:5" x14ac:dyDescent="0.25">
      <c r="A24" t="s">
        <v>19</v>
      </c>
      <c r="B24" s="3">
        <f>B23+C23+D22</f>
        <v>-662430.87300000002</v>
      </c>
      <c r="C24" s="3"/>
      <c r="D24" s="3"/>
    </row>
    <row r="25" spans="1:5" x14ac:dyDescent="0.25">
      <c r="B25" s="3"/>
      <c r="C25" s="3"/>
      <c r="D25" s="3"/>
    </row>
    <row r="26" spans="1:5" x14ac:dyDescent="0.25">
      <c r="B26" s="3"/>
      <c r="C26" s="3"/>
      <c r="D26" s="3"/>
    </row>
    <row r="27" spans="1:5" x14ac:dyDescent="0.25">
      <c r="B27" s="3"/>
      <c r="C27" s="3"/>
      <c r="D27" s="3"/>
    </row>
    <row r="28" spans="1:5" x14ac:dyDescent="0.25">
      <c r="B28" s="3"/>
      <c r="C28" s="3"/>
      <c r="D28" s="3"/>
    </row>
    <row r="29" spans="1:5" x14ac:dyDescent="0.25">
      <c r="B29" s="3"/>
      <c r="C29" s="3"/>
      <c r="D29" s="3"/>
    </row>
    <row r="30" spans="1:5" x14ac:dyDescent="0.25">
      <c r="B30" s="3"/>
      <c r="C30" s="3"/>
      <c r="D30" s="3"/>
    </row>
    <row r="31" spans="1:5" x14ac:dyDescent="0.25">
      <c r="B31" s="3"/>
      <c r="C31" s="3"/>
      <c r="D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C4C2-1D7E-4805-8EEC-B53148CB73CE}">
  <dimension ref="A1:V18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B16" sqref="B16:U16"/>
    </sheetView>
  </sheetViews>
  <sheetFormatPr defaultRowHeight="15" x14ac:dyDescent="0.25"/>
  <cols>
    <col min="1" max="1" width="24" customWidth="1"/>
    <col min="2" max="3" width="17.7109375" customWidth="1"/>
    <col min="4" max="22" width="15.28515625" customWidth="1"/>
  </cols>
  <sheetData>
    <row r="1" spans="1:22" x14ac:dyDescent="0.25">
      <c r="B1" s="9">
        <v>44682</v>
      </c>
      <c r="C1" s="9">
        <v>44713</v>
      </c>
      <c r="D1" s="9">
        <v>44743</v>
      </c>
      <c r="E1" s="9">
        <v>44774</v>
      </c>
      <c r="F1" s="9">
        <v>44805</v>
      </c>
      <c r="G1" s="9">
        <v>44835</v>
      </c>
      <c r="H1" s="9">
        <v>44866</v>
      </c>
      <c r="I1" s="9">
        <v>44896</v>
      </c>
      <c r="J1" s="9">
        <v>44927</v>
      </c>
      <c r="K1" s="9">
        <v>44958</v>
      </c>
      <c r="L1" s="9">
        <v>44986</v>
      </c>
      <c r="M1" s="9">
        <v>45017</v>
      </c>
      <c r="N1" s="9">
        <v>45047</v>
      </c>
      <c r="O1" s="9">
        <v>45078</v>
      </c>
      <c r="P1" s="9">
        <v>45108</v>
      </c>
      <c r="Q1" s="9">
        <v>45139</v>
      </c>
      <c r="R1" s="9">
        <v>45170</v>
      </c>
      <c r="S1" s="9">
        <v>45200</v>
      </c>
      <c r="T1" s="9">
        <v>45231</v>
      </c>
      <c r="U1" s="9">
        <v>45261</v>
      </c>
    </row>
    <row r="2" spans="1:22" x14ac:dyDescent="0.25">
      <c r="A2" t="s">
        <v>6</v>
      </c>
      <c r="B2" s="2">
        <v>502155.94</v>
      </c>
      <c r="C2" s="2">
        <v>1169778.4099999999</v>
      </c>
      <c r="D2" s="2">
        <v>1000124.0800000001</v>
      </c>
      <c r="E2" s="2">
        <v>1056285.31</v>
      </c>
      <c r="F2" s="2">
        <v>1166074.03</v>
      </c>
      <c r="G2" s="2">
        <v>1099558</v>
      </c>
      <c r="H2" s="2">
        <v>1239234.8100000003</v>
      </c>
      <c r="I2" s="2">
        <v>1089443.54</v>
      </c>
      <c r="J2" s="2">
        <v>1181807.04</v>
      </c>
      <c r="K2" s="2">
        <v>1185419.4200000002</v>
      </c>
      <c r="L2" s="2">
        <v>1372717.4000000001</v>
      </c>
      <c r="M2" s="2">
        <v>1085875.3599999999</v>
      </c>
      <c r="N2" s="2">
        <v>1283289.5000000002</v>
      </c>
      <c r="O2" s="2">
        <v>1233021.75</v>
      </c>
      <c r="P2" s="2">
        <v>1106918.8399999999</v>
      </c>
      <c r="Q2" s="2">
        <v>1154282.8899999999</v>
      </c>
      <c r="R2" s="2">
        <v>1108822.3099999998</v>
      </c>
      <c r="S2" s="2">
        <v>1307479.6400000004</v>
      </c>
      <c r="T2" s="2">
        <v>1352278.5399999996</v>
      </c>
      <c r="U2" s="2">
        <v>1258618.8699999999</v>
      </c>
    </row>
    <row r="3" spans="1:22" x14ac:dyDescent="0.25">
      <c r="A3" t="s">
        <v>7</v>
      </c>
      <c r="B3" s="2">
        <v>183951.69</v>
      </c>
      <c r="C3" s="2">
        <v>435920.65000000008</v>
      </c>
      <c r="D3" s="2">
        <v>358001.97</v>
      </c>
      <c r="E3" s="2">
        <v>388842.52999999997</v>
      </c>
      <c r="F3" s="2">
        <v>445100.22</v>
      </c>
      <c r="G3" s="2">
        <v>418681.44</v>
      </c>
      <c r="H3" s="2">
        <v>468704.64999999991</v>
      </c>
      <c r="I3" s="2">
        <v>374599.44999999995</v>
      </c>
      <c r="J3" s="2">
        <v>477555.11999999994</v>
      </c>
      <c r="K3" s="2">
        <v>422665.69000000006</v>
      </c>
      <c r="L3" s="2">
        <v>516807.26000000007</v>
      </c>
      <c r="M3" s="2">
        <v>393768.93</v>
      </c>
      <c r="N3" s="2">
        <v>434813.33999999997</v>
      </c>
      <c r="O3" s="2">
        <v>428821.52999999997</v>
      </c>
      <c r="P3" s="2">
        <v>425103.71</v>
      </c>
      <c r="Q3" s="2">
        <v>438068.1</v>
      </c>
      <c r="R3" s="2">
        <v>379772.08</v>
      </c>
      <c r="S3" s="2">
        <v>435397.37999999995</v>
      </c>
      <c r="T3" s="2">
        <v>457135.69</v>
      </c>
      <c r="U3" s="2">
        <v>357531.5</v>
      </c>
    </row>
    <row r="4" spans="1:22" x14ac:dyDescent="0.25">
      <c r="A4" t="s">
        <v>8</v>
      </c>
      <c r="B4" s="6">
        <f>SUM(B2:B3)</f>
        <v>686107.63</v>
      </c>
      <c r="C4" s="6">
        <f>SUM(C2:C3)</f>
        <v>1605699.06</v>
      </c>
      <c r="D4" s="6">
        <f t="shared" ref="D4:U4" si="0">SUM(D2:D3)</f>
        <v>1358126.05</v>
      </c>
      <c r="E4" s="6">
        <f t="shared" si="0"/>
        <v>1445127.84</v>
      </c>
      <c r="F4" s="6">
        <f t="shared" si="0"/>
        <v>1611174.25</v>
      </c>
      <c r="G4" s="6">
        <f t="shared" si="0"/>
        <v>1518239.44</v>
      </c>
      <c r="H4" s="6">
        <f t="shared" si="0"/>
        <v>1707939.4600000002</v>
      </c>
      <c r="I4" s="6">
        <f t="shared" si="0"/>
        <v>1464042.99</v>
      </c>
      <c r="J4" s="6">
        <f t="shared" si="0"/>
        <v>1659362.16</v>
      </c>
      <c r="K4" s="6">
        <f t="shared" si="0"/>
        <v>1608085.1100000003</v>
      </c>
      <c r="L4" s="6">
        <f t="shared" si="0"/>
        <v>1889524.6600000001</v>
      </c>
      <c r="M4" s="6">
        <f t="shared" si="0"/>
        <v>1479644.2899999998</v>
      </c>
      <c r="N4" s="6">
        <f t="shared" si="0"/>
        <v>1718102.8400000003</v>
      </c>
      <c r="O4" s="6">
        <f t="shared" si="0"/>
        <v>1661843.28</v>
      </c>
      <c r="P4" s="6">
        <f t="shared" si="0"/>
        <v>1532022.5499999998</v>
      </c>
      <c r="Q4" s="6">
        <f t="shared" si="0"/>
        <v>1592350.9899999998</v>
      </c>
      <c r="R4" s="6">
        <f t="shared" si="0"/>
        <v>1488594.39</v>
      </c>
      <c r="S4" s="6">
        <f t="shared" si="0"/>
        <v>1742877.0200000003</v>
      </c>
      <c r="T4" s="6">
        <f t="shared" si="0"/>
        <v>1809414.2299999995</v>
      </c>
      <c r="U4" s="6">
        <f t="shared" si="0"/>
        <v>1616150.3699999999</v>
      </c>
    </row>
    <row r="5" spans="1:22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2" x14ac:dyDescent="0.25">
      <c r="A6" t="s">
        <v>9</v>
      </c>
      <c r="B6" s="2">
        <v>1899.56</v>
      </c>
      <c r="C6" s="2">
        <v>27522.89</v>
      </c>
      <c r="D6" s="2">
        <v>60062.16</v>
      </c>
      <c r="E6" s="2">
        <v>50605.17</v>
      </c>
      <c r="F6" s="2">
        <v>63161.23</v>
      </c>
      <c r="G6" s="2">
        <v>57205.27</v>
      </c>
      <c r="H6" s="2">
        <v>72664.81</v>
      </c>
      <c r="I6" s="2">
        <v>51219.05</v>
      </c>
      <c r="J6" s="2">
        <v>44416.37</v>
      </c>
      <c r="K6" s="2">
        <v>40517.72</v>
      </c>
      <c r="L6" s="2">
        <v>65742.86</v>
      </c>
      <c r="M6" s="2">
        <v>83140.97</v>
      </c>
      <c r="N6" s="2">
        <v>72999.100000000006</v>
      </c>
      <c r="O6" s="2">
        <v>48634.96</v>
      </c>
      <c r="P6" s="2">
        <v>48964.41</v>
      </c>
      <c r="Q6" s="2">
        <v>39354.1</v>
      </c>
      <c r="R6" s="2">
        <v>37597.31</v>
      </c>
      <c r="S6" s="2">
        <v>26495.31</v>
      </c>
      <c r="T6" s="2">
        <v>41614.959999999999</v>
      </c>
      <c r="U6" s="2">
        <v>61892.42</v>
      </c>
      <c r="V6" s="2"/>
    </row>
    <row r="7" spans="1:22" x14ac:dyDescent="0.25">
      <c r="A7" t="s">
        <v>10</v>
      </c>
      <c r="B7" s="2">
        <v>220326.2</v>
      </c>
      <c r="C7" s="2">
        <v>516639.56</v>
      </c>
      <c r="D7" s="2">
        <v>411477.54</v>
      </c>
      <c r="E7" s="2">
        <v>441262.94</v>
      </c>
      <c r="F7" s="2">
        <v>534193.28</v>
      </c>
      <c r="G7" s="2">
        <v>489349.45</v>
      </c>
      <c r="H7" s="2">
        <v>524621.88</v>
      </c>
      <c r="I7" s="2">
        <v>463286.38</v>
      </c>
      <c r="J7" s="2">
        <v>512158.86</v>
      </c>
      <c r="K7" s="2">
        <v>489801.46</v>
      </c>
      <c r="L7" s="2">
        <v>589029.21</v>
      </c>
      <c r="M7" s="2">
        <v>433454.78</v>
      </c>
      <c r="N7" s="2">
        <v>501935.35999999999</v>
      </c>
      <c r="O7" s="2">
        <v>541247.76</v>
      </c>
      <c r="P7" s="2">
        <v>484632.62</v>
      </c>
      <c r="Q7" s="2">
        <v>506453.57</v>
      </c>
      <c r="R7" s="2">
        <v>518112</v>
      </c>
      <c r="S7" s="2">
        <v>579786.46</v>
      </c>
      <c r="T7" s="2">
        <v>600526.66</v>
      </c>
      <c r="U7" s="2">
        <v>556082.03</v>
      </c>
      <c r="V7" s="2"/>
    </row>
    <row r="8" spans="1:22" x14ac:dyDescent="0.25">
      <c r="A8" t="s">
        <v>11</v>
      </c>
      <c r="B8" s="2">
        <v>79243.77</v>
      </c>
      <c r="C8" s="2">
        <v>248802.44</v>
      </c>
      <c r="D8" s="2">
        <v>186445.99</v>
      </c>
      <c r="E8" s="2">
        <v>165837.39000000001</v>
      </c>
      <c r="F8" s="2">
        <v>207441</v>
      </c>
      <c r="G8" s="2">
        <v>195499.67</v>
      </c>
      <c r="H8" s="2">
        <v>208782</v>
      </c>
      <c r="I8" s="2">
        <v>183378</v>
      </c>
      <c r="J8" s="2">
        <v>217453</v>
      </c>
      <c r="K8" s="2">
        <v>191755.83</v>
      </c>
      <c r="L8" s="2">
        <v>236791</v>
      </c>
      <c r="M8" s="2">
        <v>195754.77</v>
      </c>
      <c r="N8" s="2">
        <v>235692.42</v>
      </c>
      <c r="O8" s="2">
        <v>205200</v>
      </c>
      <c r="P8" s="2">
        <v>183543.63</v>
      </c>
      <c r="Q8" s="2">
        <v>209914.78</v>
      </c>
      <c r="R8" s="2">
        <v>192799</v>
      </c>
      <c r="S8" s="2">
        <v>201831.03</v>
      </c>
      <c r="T8" s="2">
        <v>197913.36</v>
      </c>
      <c r="U8" s="2">
        <v>183707</v>
      </c>
      <c r="V8" s="2"/>
    </row>
    <row r="9" spans="1:22" x14ac:dyDescent="0.25">
      <c r="A9" t="s">
        <v>12</v>
      </c>
      <c r="B9" s="2">
        <f>128057.66+30243</f>
        <v>158300.66</v>
      </c>
      <c r="C9" s="2">
        <f>344818.7+198768.15</f>
        <v>543586.85</v>
      </c>
      <c r="D9" s="2">
        <v>284295.52</v>
      </c>
      <c r="E9" s="2">
        <v>244242.24</v>
      </c>
      <c r="F9" s="2">
        <v>286839</v>
      </c>
      <c r="G9" s="2">
        <v>300022.5</v>
      </c>
      <c r="H9" s="2">
        <v>325273</v>
      </c>
      <c r="I9" s="2">
        <v>272526</v>
      </c>
      <c r="J9" s="2">
        <v>303533</v>
      </c>
      <c r="K9" s="2">
        <v>285987</v>
      </c>
      <c r="L9" s="2">
        <v>351295</v>
      </c>
      <c r="M9" s="2">
        <v>297740.45</v>
      </c>
      <c r="N9" s="2">
        <v>379021.73</v>
      </c>
      <c r="O9" s="2">
        <v>324495</v>
      </c>
      <c r="P9" s="2">
        <v>300228.34999999998</v>
      </c>
      <c r="Q9" s="2">
        <v>298767.03000000003</v>
      </c>
      <c r="R9" s="2">
        <v>317360</v>
      </c>
      <c r="S9" s="2">
        <v>317367.03000000003</v>
      </c>
      <c r="T9" s="2">
        <v>316597.88</v>
      </c>
      <c r="U9" s="2">
        <v>288054</v>
      </c>
      <c r="V9" s="2"/>
    </row>
    <row r="10" spans="1:22" x14ac:dyDescent="0.25">
      <c r="A10" t="s">
        <v>13</v>
      </c>
      <c r="B10" s="2">
        <f>6489.42</f>
        <v>6489.42</v>
      </c>
      <c r="C10" s="2">
        <f>60022.17+13237.97</f>
        <v>73260.14</v>
      </c>
      <c r="D10" s="2">
        <v>86427.43</v>
      </c>
      <c r="E10" s="2">
        <v>109538.09</v>
      </c>
      <c r="F10" s="2">
        <v>93092.22</v>
      </c>
      <c r="G10" s="2">
        <v>124387.81</v>
      </c>
      <c r="H10" s="2">
        <v>105587.87</v>
      </c>
      <c r="I10" s="2">
        <v>117850.45</v>
      </c>
      <c r="J10" s="2">
        <v>92671.35</v>
      </c>
      <c r="K10" s="2">
        <v>126483.45</v>
      </c>
      <c r="L10" s="2">
        <v>133842.75</v>
      </c>
      <c r="M10" s="2">
        <v>85319.45</v>
      </c>
      <c r="N10" s="2">
        <v>108730.99</v>
      </c>
      <c r="O10" s="2">
        <v>106567.44</v>
      </c>
      <c r="P10" s="2">
        <v>74969.03</v>
      </c>
      <c r="Q10" s="2">
        <v>66562.53</v>
      </c>
      <c r="R10" s="2">
        <v>82441.149999999994</v>
      </c>
      <c r="S10" s="2">
        <v>51066.75</v>
      </c>
      <c r="T10" s="2">
        <v>66366.009999999995</v>
      </c>
      <c r="U10" s="2">
        <v>121866.85</v>
      </c>
      <c r="V10" s="2"/>
    </row>
    <row r="11" spans="1:22" x14ac:dyDescent="0.25">
      <c r="A11" t="s">
        <v>14</v>
      </c>
      <c r="B11" s="2">
        <v>0</v>
      </c>
      <c r="C11" s="2">
        <v>116184.63</v>
      </c>
      <c r="D11" s="2">
        <v>61760.23</v>
      </c>
      <c r="E11" s="2">
        <v>84025.7</v>
      </c>
      <c r="F11" s="2">
        <v>81395.22</v>
      </c>
      <c r="G11" s="2">
        <v>78845.34</v>
      </c>
      <c r="H11" s="2">
        <v>83727.179999999993</v>
      </c>
      <c r="I11" s="2">
        <v>78994.03</v>
      </c>
      <c r="J11" s="2">
        <v>87501.09</v>
      </c>
      <c r="K11" s="2">
        <v>83289.919999999998</v>
      </c>
      <c r="L11" s="2">
        <v>86166</v>
      </c>
      <c r="M11" s="2">
        <v>69038.210000000006</v>
      </c>
      <c r="N11" s="2">
        <v>88727.01</v>
      </c>
      <c r="O11" s="2">
        <v>76938.25</v>
      </c>
      <c r="P11" s="2">
        <v>76595.75</v>
      </c>
      <c r="Q11" s="2">
        <v>85143.98</v>
      </c>
      <c r="R11" s="2">
        <v>84701.52</v>
      </c>
      <c r="S11" s="2">
        <v>73356.679999999993</v>
      </c>
      <c r="T11" s="2">
        <v>72809.94</v>
      </c>
      <c r="U11" s="2">
        <v>88813.03</v>
      </c>
      <c r="V11" s="2"/>
    </row>
    <row r="12" spans="1:22" x14ac:dyDescent="0.25">
      <c r="A12" t="s">
        <v>15</v>
      </c>
      <c r="B12" s="2">
        <f>1482.92</f>
        <v>1482.92</v>
      </c>
      <c r="C12" s="2">
        <f>26721.58+2815.39</f>
        <v>29536.97</v>
      </c>
      <c r="D12" s="2">
        <v>55911</v>
      </c>
      <c r="E12" s="2">
        <v>55057</v>
      </c>
      <c r="F12" s="2">
        <v>57037</v>
      </c>
      <c r="G12" s="2">
        <v>59055</v>
      </c>
      <c r="H12" s="2">
        <v>45370</v>
      </c>
      <c r="I12" s="2">
        <f>100119+60132.16</f>
        <v>160251.16</v>
      </c>
      <c r="J12" s="2">
        <v>56007</v>
      </c>
      <c r="K12" s="2">
        <v>79451</v>
      </c>
      <c r="L12" s="2">
        <v>98813</v>
      </c>
      <c r="M12" s="2">
        <v>46209</v>
      </c>
      <c r="N12" s="2">
        <v>58513</v>
      </c>
      <c r="O12" s="2">
        <v>36568</v>
      </c>
      <c r="P12" s="2">
        <v>59224</v>
      </c>
      <c r="Q12" s="2">
        <v>51390</v>
      </c>
      <c r="R12" s="2">
        <v>197038</v>
      </c>
      <c r="S12" s="2">
        <v>58290</v>
      </c>
      <c r="T12" s="2">
        <v>50916</v>
      </c>
      <c r="U12" s="2">
        <f>157689+93930.83-268.8</f>
        <v>251351.03000000003</v>
      </c>
      <c r="V12" s="2"/>
    </row>
    <row r="13" spans="1:22" x14ac:dyDescent="0.25">
      <c r="A13" t="s">
        <v>16</v>
      </c>
      <c r="B13" s="2">
        <v>0</v>
      </c>
      <c r="C13" s="2">
        <v>395.53</v>
      </c>
      <c r="D13" s="2">
        <v>272.14999999999998</v>
      </c>
      <c r="E13" s="2">
        <v>1484.78</v>
      </c>
      <c r="F13" s="2">
        <v>348.3</v>
      </c>
      <c r="G13" s="2">
        <v>3044</v>
      </c>
      <c r="H13" s="2">
        <v>42</v>
      </c>
      <c r="I13" s="2">
        <v>2742</v>
      </c>
      <c r="J13" s="2">
        <v>2803</v>
      </c>
      <c r="K13" s="2">
        <v>659.5</v>
      </c>
      <c r="L13" s="2">
        <v>4870.01</v>
      </c>
      <c r="M13" s="2">
        <v>1168.4000000000001</v>
      </c>
      <c r="N13" s="2">
        <v>8485.9599999999991</v>
      </c>
      <c r="O13" s="2">
        <v>314.11</v>
      </c>
      <c r="P13" s="2">
        <v>2401.1</v>
      </c>
      <c r="Q13" s="2">
        <v>1190.69</v>
      </c>
      <c r="R13" s="2">
        <v>1350.69</v>
      </c>
      <c r="S13" s="2">
        <v>1638.52</v>
      </c>
      <c r="T13" s="2">
        <v>4821.16</v>
      </c>
      <c r="U13" s="2">
        <v>4870</v>
      </c>
      <c r="V13" s="2"/>
    </row>
    <row r="14" spans="1:22" x14ac:dyDescent="0.25">
      <c r="A14" t="s">
        <v>17</v>
      </c>
      <c r="B14" s="6">
        <f>B4-SUM(B6:B13)</f>
        <v>218365.09999999998</v>
      </c>
      <c r="C14" s="6">
        <f>C4-SUM(C6:C13)</f>
        <v>49770.050000000279</v>
      </c>
      <c r="D14" s="6">
        <f t="shared" ref="D14:U14" si="1">D4-SUM(D6:D13)</f>
        <v>211474.03000000026</v>
      </c>
      <c r="E14" s="6">
        <f t="shared" si="1"/>
        <v>293074.53000000003</v>
      </c>
      <c r="F14" s="6">
        <f t="shared" si="1"/>
        <v>287667</v>
      </c>
      <c r="G14" s="6">
        <f t="shared" si="1"/>
        <v>210830.39999999991</v>
      </c>
      <c r="H14" s="6">
        <f t="shared" si="1"/>
        <v>341870.7200000002</v>
      </c>
      <c r="I14" s="6">
        <f t="shared" si="1"/>
        <v>133795.92000000016</v>
      </c>
      <c r="J14" s="6">
        <f t="shared" si="1"/>
        <v>342818.48999999976</v>
      </c>
      <c r="K14" s="6">
        <f t="shared" si="1"/>
        <v>310139.23000000045</v>
      </c>
      <c r="L14" s="6">
        <f t="shared" si="1"/>
        <v>322974.83000000031</v>
      </c>
      <c r="M14" s="6">
        <f t="shared" si="1"/>
        <v>267818.26</v>
      </c>
      <c r="N14" s="6">
        <f t="shared" si="1"/>
        <v>263997.27000000048</v>
      </c>
      <c r="O14" s="6">
        <f t="shared" si="1"/>
        <v>321877.76000000001</v>
      </c>
      <c r="P14" s="6">
        <f t="shared" si="1"/>
        <v>301463.65999999968</v>
      </c>
      <c r="Q14" s="6">
        <f t="shared" si="1"/>
        <v>333574.30999999982</v>
      </c>
      <c r="R14" s="6">
        <f t="shared" si="1"/>
        <v>57194.719999999972</v>
      </c>
      <c r="S14" s="6">
        <f t="shared" si="1"/>
        <v>433045.24000000022</v>
      </c>
      <c r="T14" s="6">
        <f t="shared" si="1"/>
        <v>457848.25999999978</v>
      </c>
      <c r="U14" s="6">
        <f t="shared" si="1"/>
        <v>59514.009999999544</v>
      </c>
    </row>
    <row r="15" spans="1:22" x14ac:dyDescent="0.25">
      <c r="A15" t="s">
        <v>18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1730.7</v>
      </c>
      <c r="I15" s="2">
        <v>1484.76</v>
      </c>
      <c r="J15" s="2">
        <v>1484.76</v>
      </c>
      <c r="K15" s="2">
        <v>1484.76</v>
      </c>
      <c r="L15" s="2">
        <v>6102.12</v>
      </c>
      <c r="M15" s="2">
        <v>2945.99</v>
      </c>
      <c r="N15" s="2">
        <v>2802.16</v>
      </c>
      <c r="O15" s="2">
        <v>3113.38</v>
      </c>
      <c r="P15" s="2">
        <v>3492.68</v>
      </c>
      <c r="Q15" s="2">
        <v>3925.98</v>
      </c>
      <c r="R15" s="2">
        <v>4765.1000000000004</v>
      </c>
      <c r="S15" s="2">
        <v>6995.83</v>
      </c>
      <c r="T15" s="2">
        <v>6995.83</v>
      </c>
      <c r="U15" s="2">
        <v>7309.45</v>
      </c>
    </row>
    <row r="16" spans="1:22" ht="15.75" thickBot="1" x14ac:dyDescent="0.3">
      <c r="A16" t="s">
        <v>3</v>
      </c>
      <c r="B16" s="7">
        <f>B14-B15</f>
        <v>218365.09999999998</v>
      </c>
      <c r="C16" s="7">
        <f>C14-C15</f>
        <v>49770.050000000279</v>
      </c>
      <c r="D16" s="7">
        <f t="shared" ref="D16:U16" si="2">D14-D15</f>
        <v>211474.03000000026</v>
      </c>
      <c r="E16" s="7">
        <f t="shared" si="2"/>
        <v>293074.53000000003</v>
      </c>
      <c r="F16" s="7">
        <f t="shared" si="2"/>
        <v>287667</v>
      </c>
      <c r="G16" s="7">
        <f t="shared" si="2"/>
        <v>210830.39999999991</v>
      </c>
      <c r="H16" s="7">
        <f t="shared" si="2"/>
        <v>340140.02000000019</v>
      </c>
      <c r="I16" s="7">
        <f t="shared" si="2"/>
        <v>132311.16000000015</v>
      </c>
      <c r="J16" s="7">
        <f t="shared" si="2"/>
        <v>341333.72999999975</v>
      </c>
      <c r="K16" s="7">
        <f t="shared" si="2"/>
        <v>308654.47000000044</v>
      </c>
      <c r="L16" s="7">
        <f t="shared" si="2"/>
        <v>316872.71000000031</v>
      </c>
      <c r="M16" s="7">
        <f t="shared" si="2"/>
        <v>264872.27</v>
      </c>
      <c r="N16" s="7">
        <f t="shared" si="2"/>
        <v>261195.11000000048</v>
      </c>
      <c r="O16" s="7">
        <f t="shared" si="2"/>
        <v>318764.38</v>
      </c>
      <c r="P16" s="7">
        <f t="shared" si="2"/>
        <v>297970.97999999969</v>
      </c>
      <c r="Q16" s="7">
        <f t="shared" si="2"/>
        <v>329648.32999999984</v>
      </c>
      <c r="R16" s="7">
        <f t="shared" si="2"/>
        <v>52429.619999999974</v>
      </c>
      <c r="S16" s="7">
        <f t="shared" si="2"/>
        <v>426049.41000000021</v>
      </c>
      <c r="T16" s="7">
        <f t="shared" si="2"/>
        <v>450852.42999999976</v>
      </c>
      <c r="U16" s="7">
        <f t="shared" si="2"/>
        <v>52204.559999999547</v>
      </c>
      <c r="V16" s="2"/>
    </row>
    <row r="17" spans="9:10" ht="15.75" thickTop="1" x14ac:dyDescent="0.25">
      <c r="I17" s="2"/>
      <c r="J17" s="2"/>
    </row>
    <row r="18" spans="9:10" x14ac:dyDescent="0.25">
      <c r="I18" s="2"/>
      <c r="J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C1AC-05F0-4ECE-BE31-2FE222C01010}">
  <dimension ref="A1:L17"/>
  <sheetViews>
    <sheetView workbookViewId="0">
      <selection activeCell="B16" sqref="B16:K16"/>
    </sheetView>
  </sheetViews>
  <sheetFormatPr defaultRowHeight="15" x14ac:dyDescent="0.25"/>
  <cols>
    <col min="1" max="1" width="25.85546875" customWidth="1"/>
    <col min="2" max="12" width="13.42578125" customWidth="1"/>
  </cols>
  <sheetData>
    <row r="1" spans="1:12" x14ac:dyDescent="0.25">
      <c r="B1" s="9">
        <v>44986</v>
      </c>
      <c r="C1" s="9">
        <v>45017</v>
      </c>
      <c r="D1" s="9">
        <v>45047</v>
      </c>
      <c r="E1" s="9">
        <v>45078</v>
      </c>
      <c r="F1" s="9">
        <v>45108</v>
      </c>
      <c r="G1" s="9">
        <v>45139</v>
      </c>
      <c r="H1" s="9">
        <v>45170</v>
      </c>
      <c r="I1" s="9">
        <v>45200</v>
      </c>
      <c r="J1" s="9">
        <v>45231</v>
      </c>
      <c r="K1" s="9">
        <v>45261</v>
      </c>
      <c r="L1" s="9"/>
    </row>
    <row r="2" spans="1:12" x14ac:dyDescent="0.25">
      <c r="A2" t="s">
        <v>6</v>
      </c>
      <c r="B2" s="2">
        <v>4838.21</v>
      </c>
      <c r="C2" s="2">
        <v>204551.85</v>
      </c>
      <c r="D2" s="2">
        <v>225043</v>
      </c>
      <c r="E2" s="2">
        <v>241281</v>
      </c>
      <c r="F2" s="2">
        <v>171072</v>
      </c>
      <c r="G2" s="2">
        <v>242467.57</v>
      </c>
      <c r="H2" s="2">
        <v>173460</v>
      </c>
      <c r="I2" s="2">
        <v>164021.71999999997</v>
      </c>
      <c r="J2" s="2">
        <v>226464.39</v>
      </c>
      <c r="K2" s="2">
        <v>176061.37999999998</v>
      </c>
    </row>
    <row r="3" spans="1:12" x14ac:dyDescent="0.25">
      <c r="A3" t="s">
        <v>7</v>
      </c>
      <c r="B3" s="2">
        <v>1209.55</v>
      </c>
      <c r="C3" s="2">
        <v>22160.2</v>
      </c>
      <c r="D3" s="2">
        <v>25835.5</v>
      </c>
      <c r="E3" s="2">
        <v>24482.260000000002</v>
      </c>
      <c r="F3" s="2">
        <v>23117</v>
      </c>
      <c r="G3" s="2">
        <v>23955.95</v>
      </c>
      <c r="H3" s="2">
        <v>23693</v>
      </c>
      <c r="I3" s="2">
        <v>20346.900000000001</v>
      </c>
      <c r="J3" s="2">
        <v>25678.799999999999</v>
      </c>
      <c r="K3" s="2">
        <v>18764</v>
      </c>
    </row>
    <row r="4" spans="1:12" x14ac:dyDescent="0.25">
      <c r="A4" t="s">
        <v>8</v>
      </c>
      <c r="B4" s="6">
        <f t="shared" ref="B4:K4" si="0">SUM(B2:B3)</f>
        <v>6047.76</v>
      </c>
      <c r="C4" s="6">
        <f t="shared" si="0"/>
        <v>226712.05000000002</v>
      </c>
      <c r="D4" s="6">
        <f t="shared" si="0"/>
        <v>250878.5</v>
      </c>
      <c r="E4" s="6">
        <f t="shared" si="0"/>
        <v>265763.26</v>
      </c>
      <c r="F4" s="6">
        <f t="shared" si="0"/>
        <v>194189</v>
      </c>
      <c r="G4" s="6">
        <f t="shared" si="0"/>
        <v>266423.52</v>
      </c>
      <c r="H4" s="6">
        <f t="shared" si="0"/>
        <v>197153</v>
      </c>
      <c r="I4" s="6">
        <f t="shared" si="0"/>
        <v>184368.61999999997</v>
      </c>
      <c r="J4" s="6">
        <f t="shared" si="0"/>
        <v>252143.19</v>
      </c>
      <c r="K4" s="6">
        <f t="shared" si="0"/>
        <v>194825.37999999998</v>
      </c>
    </row>
    <row r="5" spans="1:12" x14ac:dyDescent="0.25">
      <c r="B5" s="2"/>
      <c r="C5" s="2"/>
      <c r="D5" s="2"/>
      <c r="E5" s="2"/>
      <c r="F5" s="2"/>
      <c r="G5" s="2"/>
      <c r="H5" s="2"/>
      <c r="I5" s="2"/>
      <c r="J5" s="2"/>
      <c r="K5" s="2"/>
    </row>
    <row r="6" spans="1:12" x14ac:dyDescent="0.25">
      <c r="A6" t="s">
        <v>9</v>
      </c>
      <c r="B6" s="2">
        <v>0</v>
      </c>
      <c r="C6" s="2">
        <v>10125.719999999999</v>
      </c>
      <c r="D6" s="2">
        <v>13289.86</v>
      </c>
      <c r="E6" s="2">
        <v>24044.2</v>
      </c>
      <c r="F6" s="2">
        <v>8420.7099999999991</v>
      </c>
      <c r="G6" s="2">
        <v>19372.04</v>
      </c>
      <c r="H6" s="2">
        <v>14206.3</v>
      </c>
      <c r="I6" s="2">
        <v>8083.95</v>
      </c>
      <c r="J6" s="2">
        <v>9772.76</v>
      </c>
      <c r="K6" s="2">
        <v>13654.25</v>
      </c>
    </row>
    <row r="7" spans="1:12" x14ac:dyDescent="0.25">
      <c r="A7" t="s">
        <v>10</v>
      </c>
      <c r="B7" s="2">
        <v>0</v>
      </c>
      <c r="C7" s="2">
        <v>67284.63</v>
      </c>
      <c r="D7" s="2">
        <v>87311.07</v>
      </c>
      <c r="E7" s="2">
        <v>87948.53</v>
      </c>
      <c r="F7" s="2">
        <v>62333.45</v>
      </c>
      <c r="G7" s="2">
        <v>84176.42</v>
      </c>
      <c r="H7" s="2">
        <v>60529.38</v>
      </c>
      <c r="I7" s="2">
        <v>57972.35</v>
      </c>
      <c r="J7" s="2">
        <v>81782.27</v>
      </c>
      <c r="K7" s="2">
        <v>64582.73</v>
      </c>
    </row>
    <row r="8" spans="1:12" x14ac:dyDescent="0.25">
      <c r="A8" t="s">
        <v>11</v>
      </c>
      <c r="B8" s="2">
        <v>932.42</v>
      </c>
      <c r="C8" s="2">
        <v>27455.11</v>
      </c>
      <c r="D8" s="2">
        <v>31237.3</v>
      </c>
      <c r="E8" s="2">
        <v>42813.120000000003</v>
      </c>
      <c r="F8" s="2">
        <v>27180.91</v>
      </c>
      <c r="G8" s="2">
        <v>26753.87</v>
      </c>
      <c r="H8" s="2">
        <v>35448.370000000003</v>
      </c>
      <c r="I8" s="2">
        <v>26308.61</v>
      </c>
      <c r="J8" s="2">
        <v>39126.22</v>
      </c>
      <c r="K8" s="2">
        <v>32945.160000000003</v>
      </c>
    </row>
    <row r="9" spans="1:12" x14ac:dyDescent="0.25">
      <c r="A9" t="s">
        <v>12</v>
      </c>
      <c r="B9" s="2">
        <v>969.78</v>
      </c>
      <c r="C9" s="2">
        <v>31524.77</v>
      </c>
      <c r="D9" s="2">
        <v>35919.269999999997</v>
      </c>
      <c r="E9" s="2">
        <v>37176.230000000003</v>
      </c>
      <c r="F9" s="2">
        <v>30890.91</v>
      </c>
      <c r="G9" s="2">
        <v>34505.839999999997</v>
      </c>
      <c r="H9" s="2">
        <v>30958</v>
      </c>
      <c r="I9" s="2">
        <v>31107.09</v>
      </c>
      <c r="J9" s="2">
        <v>39542.089999999997</v>
      </c>
      <c r="K9" s="2">
        <v>22283.19</v>
      </c>
    </row>
    <row r="10" spans="1:12" x14ac:dyDescent="0.25">
      <c r="A10" t="s">
        <v>13</v>
      </c>
      <c r="B10" s="2">
        <v>0</v>
      </c>
      <c r="C10" s="2">
        <v>7521.79</v>
      </c>
      <c r="D10" s="2">
        <v>11895.44</v>
      </c>
      <c r="E10" s="2">
        <v>10257.299999999999</v>
      </c>
      <c r="F10" s="2">
        <v>16014.47</v>
      </c>
      <c r="G10" s="2">
        <v>12499.8</v>
      </c>
      <c r="H10" s="2">
        <v>14867.17</v>
      </c>
      <c r="I10" s="2">
        <v>4989.54</v>
      </c>
      <c r="J10" s="2">
        <v>13394.03</v>
      </c>
      <c r="K10" s="2">
        <v>9212.01</v>
      </c>
    </row>
    <row r="11" spans="1:12" x14ac:dyDescent="0.25">
      <c r="A11" t="s">
        <v>14</v>
      </c>
      <c r="B11" s="2">
        <v>0</v>
      </c>
      <c r="C11" s="2">
        <v>9575.9</v>
      </c>
      <c r="D11" s="2">
        <v>3480</v>
      </c>
      <c r="E11" s="2">
        <v>6160</v>
      </c>
      <c r="F11" s="2">
        <v>7080</v>
      </c>
      <c r="G11" s="2">
        <v>7941.7</v>
      </c>
      <c r="H11" s="2">
        <v>7585</v>
      </c>
      <c r="I11" s="2">
        <v>8262.14</v>
      </c>
      <c r="J11" s="2">
        <v>9320.8700000000008</v>
      </c>
      <c r="K11" s="2">
        <v>7941.7</v>
      </c>
    </row>
    <row r="12" spans="1:12" x14ac:dyDescent="0.25">
      <c r="A12" t="s">
        <v>15</v>
      </c>
      <c r="B12" s="2">
        <v>158.38999999999999</v>
      </c>
      <c r="C12" s="2">
        <v>749.22</v>
      </c>
      <c r="D12" s="2">
        <v>12475.01</v>
      </c>
      <c r="E12" s="2">
        <v>4464</v>
      </c>
      <c r="F12" s="2">
        <v>8044</v>
      </c>
      <c r="G12" s="2">
        <v>7106.15</v>
      </c>
      <c r="H12" s="2">
        <v>28735</v>
      </c>
      <c r="I12" s="2">
        <v>8196.06</v>
      </c>
      <c r="J12" s="2">
        <v>6289.17</v>
      </c>
      <c r="K12" s="2">
        <v>9543.07</v>
      </c>
    </row>
    <row r="13" spans="1:12" x14ac:dyDescent="0.25">
      <c r="A13" t="s">
        <v>16</v>
      </c>
      <c r="B13" s="2">
        <v>0</v>
      </c>
      <c r="C13" s="2">
        <v>0</v>
      </c>
      <c r="D13" s="2">
        <v>344.79</v>
      </c>
      <c r="E13" s="2">
        <v>1251</v>
      </c>
      <c r="F13" s="2">
        <v>36.79</v>
      </c>
      <c r="G13" s="2">
        <v>36.79</v>
      </c>
      <c r="H13" s="2">
        <v>189.14</v>
      </c>
      <c r="I13" s="2">
        <v>36.79</v>
      </c>
      <c r="J13" s="2">
        <v>80.48</v>
      </c>
      <c r="K13" s="2">
        <v>145.44999999999999</v>
      </c>
    </row>
    <row r="14" spans="1:12" x14ac:dyDescent="0.25">
      <c r="A14" t="s">
        <v>17</v>
      </c>
      <c r="B14" s="6">
        <f>B4-SUM(B6:B13)</f>
        <v>3987.1700000000005</v>
      </c>
      <c r="C14" s="6">
        <f t="shared" ref="C14:K14" si="1">C4-SUM(C6:C13)</f>
        <v>72474.91</v>
      </c>
      <c r="D14" s="6">
        <f t="shared" si="1"/>
        <v>54925.75999999998</v>
      </c>
      <c r="E14" s="6">
        <f t="shared" si="1"/>
        <v>51648.880000000005</v>
      </c>
      <c r="F14" s="6">
        <f t="shared" si="1"/>
        <v>34187.75999999998</v>
      </c>
      <c r="G14" s="6">
        <f t="shared" si="1"/>
        <v>74030.910000000033</v>
      </c>
      <c r="H14" s="6">
        <f t="shared" si="1"/>
        <v>4634.6399999999849</v>
      </c>
      <c r="I14" s="6">
        <f t="shared" si="1"/>
        <v>39412.089999999967</v>
      </c>
      <c r="J14" s="6">
        <f t="shared" si="1"/>
        <v>52835.299999999988</v>
      </c>
      <c r="K14" s="6">
        <f t="shared" si="1"/>
        <v>34517.81999999992</v>
      </c>
    </row>
    <row r="15" spans="1:12" x14ac:dyDescent="0.25">
      <c r="A15" t="s">
        <v>18</v>
      </c>
      <c r="B15" s="2">
        <v>0</v>
      </c>
      <c r="C15" s="2">
        <v>0</v>
      </c>
      <c r="D15" s="2">
        <v>0</v>
      </c>
      <c r="E15" s="2">
        <v>94.77</v>
      </c>
      <c r="F15" s="2">
        <v>94.77</v>
      </c>
      <c r="G15" s="2">
        <v>94.77</v>
      </c>
      <c r="H15" s="2">
        <v>989.16</v>
      </c>
      <c r="I15" s="2">
        <v>1262.78</v>
      </c>
      <c r="J15" s="2">
        <v>1262.78</v>
      </c>
      <c r="K15" s="2">
        <v>1262.78</v>
      </c>
    </row>
    <row r="16" spans="1:12" ht="15.75" thickBot="1" x14ac:dyDescent="0.3">
      <c r="A16" t="s">
        <v>3</v>
      </c>
      <c r="B16" s="7">
        <f>B14-B15</f>
        <v>3987.1700000000005</v>
      </c>
      <c r="C16" s="7">
        <f t="shared" ref="C16:K16" si="2">C14-C15</f>
        <v>72474.91</v>
      </c>
      <c r="D16" s="7">
        <f t="shared" si="2"/>
        <v>54925.75999999998</v>
      </c>
      <c r="E16" s="7">
        <f t="shared" si="2"/>
        <v>51554.110000000008</v>
      </c>
      <c r="F16" s="7">
        <f t="shared" si="2"/>
        <v>34092.989999999983</v>
      </c>
      <c r="G16" s="7">
        <f t="shared" si="2"/>
        <v>73936.140000000029</v>
      </c>
      <c r="H16" s="7">
        <f t="shared" si="2"/>
        <v>3645.479999999985</v>
      </c>
      <c r="I16" s="7">
        <f t="shared" si="2"/>
        <v>38149.309999999969</v>
      </c>
      <c r="J16" s="7">
        <f t="shared" si="2"/>
        <v>51572.51999999999</v>
      </c>
      <c r="K16" s="7">
        <f t="shared" si="2"/>
        <v>33255.039999999921</v>
      </c>
    </row>
    <row r="17" ht="15.75" thickTop="1" x14ac:dyDescent="0.25"/>
  </sheetData>
  <pageMargins left="0.7" right="0.7" top="0.75" bottom="0.75" header="0.3" footer="0.3"/>
</worksheet>
</file>

<file path=customXML/item2.xml><?xml version="1.0" encoding="utf-8"?>
<properties xmlns="http://www.imanage.com/work/xmlschema">
  <documentid>IMANAGE!19485030.1</documentid>
  <senderid>MELANIE.BEAUCHAMP@GROUPETCJ.CA</senderid>
  <senderemail>MELANIE.BEAUCHAMP@GROUPETCJ.CA</senderemail>
  <lastmodified>2025-02-07T17:22:46.0000000-05:00</lastmodified>
  <database>IMANAGE</database>
</propertie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May 2022 to Dec 2023</vt:lpstr>
      <vt:lpstr>Y1GQ March 2023 to Dec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Tin</dc:creator>
  <cp:lastModifiedBy>Laura Tin</cp:lastModifiedBy>
  <dcterms:created xsi:type="dcterms:W3CDTF">2024-09-20T16:56:04Z</dcterms:created>
  <dcterms:modified xsi:type="dcterms:W3CDTF">2025-02-07T22:22:46Z</dcterms:modified>
</cp:coreProperties>
</file>