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PS/Desktop/DOC vente prise 2/Fait/"/>
    </mc:Choice>
  </mc:AlternateContent>
  <xr:revisionPtr revIDLastSave="0" documentId="13_ncr:1_{F066FC51-0A1F-654C-B914-22CFC8B4D934}" xr6:coauthVersionLast="47" xr6:coauthVersionMax="47" xr10:uidLastSave="{00000000-0000-0000-0000-000000000000}"/>
  <bookViews>
    <workbookView xWindow="0" yWindow="500" windowWidth="28340" windowHeight="26720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69" i="1"/>
  <c r="D69" i="1"/>
  <c r="E66" i="1"/>
  <c r="F66" i="1"/>
  <c r="E65" i="1"/>
  <c r="D67" i="1"/>
  <c r="C67" i="1"/>
  <c r="B67" i="1"/>
  <c r="E67" i="1"/>
  <c r="D65" i="1"/>
  <c r="C65" i="1"/>
  <c r="F65" i="1" s="1"/>
  <c r="D63" i="1"/>
  <c r="C63" i="1"/>
  <c r="B63" i="1"/>
  <c r="E63" i="1"/>
  <c r="E59" i="1"/>
  <c r="D59" i="1"/>
  <c r="B59" i="1"/>
  <c r="F59" i="1" s="1"/>
  <c r="D58" i="1"/>
  <c r="C58" i="1"/>
  <c r="B57" i="1"/>
  <c r="F57" i="1" s="1"/>
  <c r="C56" i="1"/>
  <c r="F56" i="1" s="1"/>
  <c r="E55" i="1"/>
  <c r="D55" i="1"/>
  <c r="C55" i="1"/>
  <c r="B55" i="1"/>
  <c r="B58" i="1" s="1"/>
  <c r="E54" i="1"/>
  <c r="E58" i="1" s="1"/>
  <c r="E53" i="1"/>
  <c r="D53" i="1"/>
  <c r="F53" i="1" s="1"/>
  <c r="E52" i="1"/>
  <c r="D52" i="1"/>
  <c r="C52" i="1"/>
  <c r="B52" i="1"/>
  <c r="F52" i="1" s="1"/>
  <c r="E51" i="1"/>
  <c r="D51" i="1"/>
  <c r="C51" i="1"/>
  <c r="F51" i="1" s="1"/>
  <c r="B51" i="1"/>
  <c r="E50" i="1"/>
  <c r="B50" i="1"/>
  <c r="F50" i="1" s="1"/>
  <c r="E49" i="1"/>
  <c r="D49" i="1"/>
  <c r="C49" i="1"/>
  <c r="B49" i="1"/>
  <c r="F49" i="1" s="1"/>
  <c r="B48" i="1"/>
  <c r="F48" i="1" s="1"/>
  <c r="F47" i="1"/>
  <c r="E47" i="1"/>
  <c r="D47" i="1"/>
  <c r="C47" i="1"/>
  <c r="B47" i="1"/>
  <c r="C46" i="1"/>
  <c r="B46" i="1"/>
  <c r="F46" i="1" s="1"/>
  <c r="B45" i="1"/>
  <c r="F45" i="1" s="1"/>
  <c r="E44" i="1"/>
  <c r="D44" i="1"/>
  <c r="F44" i="1" s="1"/>
  <c r="C44" i="1"/>
  <c r="B44" i="1"/>
  <c r="E43" i="1"/>
  <c r="D43" i="1"/>
  <c r="C43" i="1"/>
  <c r="B43" i="1"/>
  <c r="F43" i="1" s="1"/>
  <c r="E42" i="1"/>
  <c r="D42" i="1"/>
  <c r="C42" i="1"/>
  <c r="B42" i="1"/>
  <c r="F42" i="1" s="1"/>
  <c r="B41" i="1"/>
  <c r="F41" i="1" s="1"/>
  <c r="E40" i="1"/>
  <c r="B40" i="1"/>
  <c r="F40" i="1" s="1"/>
  <c r="C39" i="1"/>
  <c r="B39" i="1"/>
  <c r="F39" i="1" s="1"/>
  <c r="E38" i="1"/>
  <c r="B38" i="1"/>
  <c r="F38" i="1" s="1"/>
  <c r="F37" i="1"/>
  <c r="E37" i="1"/>
  <c r="B37" i="1"/>
  <c r="B36" i="1"/>
  <c r="F36" i="1" s="1"/>
  <c r="C34" i="1"/>
  <c r="B34" i="1"/>
  <c r="F34" i="1" s="1"/>
  <c r="C32" i="1"/>
  <c r="B32" i="1"/>
  <c r="F32" i="1" s="1"/>
  <c r="D31" i="1"/>
  <c r="C31" i="1"/>
  <c r="B31" i="1"/>
  <c r="F31" i="1" s="1"/>
  <c r="B30" i="1"/>
  <c r="F30" i="1" s="1"/>
  <c r="E29" i="1"/>
  <c r="D29" i="1"/>
  <c r="C29" i="1"/>
  <c r="B29" i="1"/>
  <c r="F29" i="1" s="1"/>
  <c r="E28" i="1"/>
  <c r="E33" i="1" s="1"/>
  <c r="D28" i="1"/>
  <c r="D33" i="1" s="1"/>
  <c r="C28" i="1"/>
  <c r="C33" i="1" s="1"/>
  <c r="B28" i="1"/>
  <c r="B33" i="1" s="1"/>
  <c r="F27" i="1"/>
  <c r="C25" i="1"/>
  <c r="B25" i="1"/>
  <c r="F25" i="1" s="1"/>
  <c r="D24" i="1"/>
  <c r="C24" i="1"/>
  <c r="F24" i="1" s="1"/>
  <c r="B24" i="1"/>
  <c r="B23" i="1"/>
  <c r="F23" i="1" s="1"/>
  <c r="E22" i="1"/>
  <c r="D22" i="1"/>
  <c r="C22" i="1"/>
  <c r="B22" i="1"/>
  <c r="F22" i="1" s="1"/>
  <c r="E21" i="1"/>
  <c r="E26" i="1" s="1"/>
  <c r="D21" i="1"/>
  <c r="D26" i="1" s="1"/>
  <c r="D35" i="1" s="1"/>
  <c r="D60" i="1" s="1"/>
  <c r="C21" i="1"/>
  <c r="C26" i="1" s="1"/>
  <c r="C35" i="1" s="1"/>
  <c r="B21" i="1"/>
  <c r="C20" i="1"/>
  <c r="F20" i="1" s="1"/>
  <c r="F19" i="1"/>
  <c r="C18" i="1"/>
  <c r="C60" i="1" s="1"/>
  <c r="E14" i="1"/>
  <c r="D14" i="1"/>
  <c r="C14" i="1"/>
  <c r="C15" i="1" s="1"/>
  <c r="B14" i="1"/>
  <c r="B15" i="1" s="1"/>
  <c r="E13" i="1"/>
  <c r="E15" i="1" s="1"/>
  <c r="D13" i="1"/>
  <c r="D15" i="1" s="1"/>
  <c r="C13" i="1"/>
  <c r="B13" i="1"/>
  <c r="D10" i="1"/>
  <c r="F10" i="1"/>
  <c r="F9" i="1"/>
  <c r="E9" i="1"/>
  <c r="D9" i="1"/>
  <c r="B9" i="1"/>
  <c r="E8" i="1"/>
  <c r="D8" i="1"/>
  <c r="C8" i="1"/>
  <c r="B8" i="1"/>
  <c r="F8" i="1" s="1"/>
  <c r="E7" i="1"/>
  <c r="E11" i="1" s="1"/>
  <c r="E16" i="1" s="1"/>
  <c r="D7" i="1"/>
  <c r="D11" i="1" s="1"/>
  <c r="D16" i="1" s="1"/>
  <c r="D68" i="1" s="1"/>
  <c r="C7" i="1"/>
  <c r="F7" i="1" s="1"/>
  <c r="B7" i="1"/>
  <c r="F58" i="1" l="1"/>
  <c r="F63" i="1"/>
  <c r="E35" i="1"/>
  <c r="E60" i="1" s="1"/>
  <c r="E68" i="1" s="1"/>
  <c r="E69" i="1" s="1"/>
  <c r="F33" i="1"/>
  <c r="F67" i="1"/>
  <c r="F15" i="1"/>
  <c r="F54" i="1"/>
  <c r="F13" i="1"/>
  <c r="F62" i="1"/>
  <c r="F21" i="1"/>
  <c r="C11" i="1"/>
  <c r="C16" i="1" s="1"/>
  <c r="C68" i="1" s="1"/>
  <c r="C69" i="1" s="1"/>
  <c r="F28" i="1"/>
  <c r="B11" i="1"/>
  <c r="B26" i="1"/>
  <c r="F55" i="1"/>
  <c r="F14" i="1"/>
  <c r="F18" i="1"/>
  <c r="F26" i="1" l="1"/>
  <c r="B35" i="1"/>
  <c r="F11" i="1"/>
  <c r="B16" i="1"/>
  <c r="F16" i="1" l="1"/>
  <c r="B60" i="1"/>
  <c r="F60" i="1" s="1"/>
  <c r="F35" i="1"/>
  <c r="B68" i="1" l="1"/>
  <c r="F68" i="1" s="1"/>
  <c r="F69" i="1" s="1"/>
</calcChain>
</file>

<file path=xl/sharedStrings.xml><?xml version="1.0" encoding="utf-8"?>
<sst xmlns="http://schemas.openxmlformats.org/spreadsheetml/2006/main" count="73" uniqueCount="73">
  <si>
    <t>Jan - Mar., 2022</t>
  </si>
  <si>
    <t>Apr - Jun., 2022</t>
  </si>
  <si>
    <t>Jul - Sep., 2022</t>
  </si>
  <si>
    <t>Oct - Dec., 2022</t>
  </si>
  <si>
    <t>Total</t>
  </si>
  <si>
    <t xml:space="preserve">   INCOME</t>
  </si>
  <si>
    <t xml:space="preserve">      4100 Revenus d'utilisation d'Oxilia</t>
  </si>
  <si>
    <t xml:space="preserve">      4102 Sales charge-Profesionnals fees</t>
  </si>
  <si>
    <t xml:space="preserve">      4310 Unapplied Cash Payment Income</t>
  </si>
  <si>
    <t xml:space="preserve">      4500 Subvention</t>
  </si>
  <si>
    <t xml:space="preserve">   Total Income</t>
  </si>
  <si>
    <t xml:space="preserve">   COST OF GOODS SOLD</t>
  </si>
  <si>
    <t xml:space="preserve">      5101 Profesionnals fees to distribute</t>
  </si>
  <si>
    <t xml:space="preserve">      5500 Frais transactionnel - COS</t>
  </si>
  <si>
    <t xml:space="preserve">   Total Cost of Goods Sold</t>
  </si>
  <si>
    <t>GROSS PROFIT</t>
  </si>
  <si>
    <t>EXPENSES</t>
  </si>
  <si>
    <t xml:space="preserve">   5105 Repas et divertissement</t>
  </si>
  <si>
    <t xml:space="preserve">   5250 Employées-Salaires et DAS</t>
  </si>
  <si>
    <t xml:space="preserve">      5253 Retenues</t>
  </si>
  <si>
    <t xml:space="preserve">         645310 Retenues-Admin</t>
  </si>
  <si>
    <t xml:space="preserve">         645330 Retenues-Operation</t>
  </si>
  <si>
    <t xml:space="preserve">         645340 Retenues-Vente</t>
  </si>
  <si>
    <t xml:space="preserve">         645350 Retenues-IT</t>
  </si>
  <si>
    <t xml:space="preserve">         645360 Retenues-Marketing</t>
  </si>
  <si>
    <t xml:space="preserve">      Total 5253 Retenues</t>
  </si>
  <si>
    <t xml:space="preserve">      5254 Rémunération</t>
  </si>
  <si>
    <t xml:space="preserve">         645410 Rémunération-Admin</t>
  </si>
  <si>
    <t xml:space="preserve">         645430 Rémunération-Operation</t>
  </si>
  <si>
    <t xml:space="preserve">         645440 Rémunération-Vente</t>
  </si>
  <si>
    <t xml:space="preserve">         645450 Rémunération-IT</t>
  </si>
  <si>
    <t xml:space="preserve">         645460 Rémunération-Marketing</t>
  </si>
  <si>
    <t xml:space="preserve">      Total 5254 Rémunération</t>
  </si>
  <si>
    <t xml:space="preserve">      6455 Formation employé</t>
  </si>
  <si>
    <t xml:space="preserve">   Total 5250 Employées-Salaires et DAS</t>
  </si>
  <si>
    <t xml:space="preserve">   5530 Frais de bureau</t>
  </si>
  <si>
    <t xml:space="preserve">   5535 Autres dépenses générales et administratives</t>
  </si>
  <si>
    <t xml:space="preserve">   5610 Frais comptable</t>
  </si>
  <si>
    <t xml:space="preserve">   5614 Frais juridiques et professionnels</t>
  </si>
  <si>
    <t xml:space="preserve">   5685 Assurances</t>
  </si>
  <si>
    <t xml:space="preserve">   5750 Télécommunication-téléphone fixe</t>
  </si>
  <si>
    <t xml:space="preserve">   5755 Logiciel</t>
  </si>
  <si>
    <t xml:space="preserve">   5800 Frais bancaires</t>
  </si>
  <si>
    <t xml:space="preserve">   5804 Intérêts débiteur</t>
  </si>
  <si>
    <t xml:space="preserve">   5831 Essence</t>
  </si>
  <si>
    <t xml:space="preserve">   5836 Taxi et transport privé</t>
  </si>
  <si>
    <t xml:space="preserve">   5870 Créances irrécouvrables</t>
  </si>
  <si>
    <t xml:space="preserve">   5890 Congrès</t>
  </si>
  <si>
    <t xml:space="preserve">   5900 Amortissement-dépense</t>
  </si>
  <si>
    <t xml:space="preserve">   6020 Assurance</t>
  </si>
  <si>
    <t xml:space="preserve">   6460 Location automobile</t>
  </si>
  <si>
    <t xml:space="preserve">   6490 Payroll processing fee</t>
  </si>
  <si>
    <t xml:space="preserve">   6500 Marketing</t>
  </si>
  <si>
    <t xml:space="preserve">      5106 Communication et relation de presse</t>
  </si>
  <si>
    <t xml:space="preserve">      5109 Web Publicity ( SMM, SEO, SEM)</t>
  </si>
  <si>
    <t xml:space="preserve">      5110 Rédaction et traduction</t>
  </si>
  <si>
    <t xml:space="preserve">      5112 Commandite et Sponsorship</t>
  </si>
  <si>
    <t xml:space="preserve">   Total 6500 Marketing</t>
  </si>
  <si>
    <t xml:space="preserve">   6900 Fourniture</t>
  </si>
  <si>
    <t>Total Expenses</t>
  </si>
  <si>
    <t>OTHER INCOME</t>
  </si>
  <si>
    <t xml:space="preserve">   4501 Subventions</t>
  </si>
  <si>
    <t>Total Other Income</t>
  </si>
  <si>
    <t>OTHER EXPENSES</t>
  </si>
  <si>
    <t xml:space="preserve">   5818 Reconciliation Discrepancies</t>
  </si>
  <si>
    <t xml:space="preserve">   6100 Impots futurs</t>
  </si>
  <si>
    <t>Total Other Expenses</t>
  </si>
  <si>
    <t>PROFIT</t>
  </si>
  <si>
    <t>Thursday, Feb. 09, 2023 06:23:25 a.m. GMT-8 - Accrual Basis</t>
  </si>
  <si>
    <t>Oxilia</t>
  </si>
  <si>
    <t>Profit and Loss</t>
  </si>
  <si>
    <t>January - December 2022</t>
  </si>
  <si>
    <t>EBITAA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</si>
</sst>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164" formatCode="#,##0.00\ _€"/>
    <numFmt numFmtId="165" formatCode="&quot;$&quot;* #,##0.00\ _€"/>
  </numFmts>
  <fonts count="6" x14ac:knownFonts="1"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2" fillId="2" borderId="0" xfId="0" applyFont="1" applyFill="1" applyAlignment="1">
      <alignment horizontal="left" wrapText="1"/>
    </xf>
    <xf numFmtId="164" fontId="3" fillId="2" borderId="0" xfId="0" applyNumberFormat="1" applyFont="1" applyFill="1" applyAlignment="1">
      <alignment wrapText="1"/>
    </xf>
    <xf numFmtId="164" fontId="2" fillId="2" borderId="4" xfId="0" applyNumberFormat="1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7" zoomScale="160" zoomScaleNormal="160" workbookViewId="0">
      <selection activeCell="B4" sqref="B4:E4"/>
    </sheetView>
  </sheetViews>
  <sheetFormatPr baseColWidth="10" defaultColWidth="8.83203125" defaultRowHeight="15" x14ac:dyDescent="0.2"/>
  <cols>
    <col min="1" max="1" width="45.5" customWidth="1"/>
    <col min="2" max="2" width="12" customWidth="1"/>
    <col min="3" max="3" width="11.1640625" customWidth="1"/>
    <col min="4" max="6" width="12" customWidth="1"/>
    <col min="7" max="7" width="10.5" bestFit="1" customWidth="1"/>
  </cols>
  <sheetData>
    <row r="1" spans="1:7" ht="18" x14ac:dyDescent="0.2">
      <c r="A1" s="13" t="s">
        <v>69</v>
      </c>
      <c r="B1" s="12"/>
      <c r="C1" s="12"/>
      <c r="D1" s="12"/>
      <c r="E1" s="12"/>
      <c r="F1" s="12"/>
    </row>
    <row r="2" spans="1:7" ht="18" x14ac:dyDescent="0.2">
      <c r="A2" s="13" t="s">
        <v>70</v>
      </c>
      <c r="B2" s="12"/>
      <c r="C2" s="12"/>
      <c r="D2" s="12"/>
      <c r="E2" s="12"/>
      <c r="F2" s="12"/>
    </row>
    <row r="3" spans="1:7" x14ac:dyDescent="0.2">
      <c r="A3" s="14" t="s">
        <v>71</v>
      </c>
      <c r="B3" s="12"/>
      <c r="C3" s="12"/>
      <c r="D3" s="12"/>
      <c r="E3" s="12"/>
      <c r="F3" s="12"/>
    </row>
    <row r="5" spans="1:7" ht="27" x14ac:dyDescent="0.2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</row>
    <row r="6" spans="1:7" x14ac:dyDescent="0.2">
      <c r="A6" s="3" t="s">
        <v>5</v>
      </c>
      <c r="B6" s="4"/>
      <c r="C6" s="4"/>
      <c r="D6" s="4"/>
      <c r="E6" s="4"/>
      <c r="F6" s="4"/>
    </row>
    <row r="7" spans="1:7" x14ac:dyDescent="0.2">
      <c r="A7" s="3" t="s">
        <v>6</v>
      </c>
      <c r="B7" s="5">
        <f>28248.81</f>
        <v>28248.81</v>
      </c>
      <c r="C7" s="5">
        <f>40224.92</f>
        <v>40224.92</v>
      </c>
      <c r="D7" s="5">
        <f>47713.17</f>
        <v>47713.17</v>
      </c>
      <c r="E7" s="5">
        <f>37036.82</f>
        <v>37036.82</v>
      </c>
      <c r="F7" s="5">
        <f>(((B7)+(C7))+(D7))+(E7)</f>
        <v>153223.72</v>
      </c>
    </row>
    <row r="8" spans="1:7" x14ac:dyDescent="0.2">
      <c r="A8" s="3" t="s">
        <v>7</v>
      </c>
      <c r="B8" s="5">
        <f>136877.56</f>
        <v>136877.56</v>
      </c>
      <c r="C8" s="5">
        <f>199834.47</f>
        <v>199834.47</v>
      </c>
      <c r="D8" s="5">
        <f>178354.37</f>
        <v>178354.37</v>
      </c>
      <c r="E8" s="5">
        <f>172590.6</f>
        <v>172590.6</v>
      </c>
      <c r="F8" s="5">
        <f>(((B8)+(C8))+(D8))+(E8)</f>
        <v>687657</v>
      </c>
    </row>
    <row r="9" spans="1:7" x14ac:dyDescent="0.2">
      <c r="A9" s="3" t="s">
        <v>8</v>
      </c>
      <c r="B9" s="5">
        <f>675.38</f>
        <v>675.38</v>
      </c>
      <c r="C9" s="4"/>
      <c r="D9" s="5">
        <f>1160</f>
        <v>1160</v>
      </c>
      <c r="E9" s="5">
        <f>3287.75</f>
        <v>3287.75</v>
      </c>
      <c r="F9" s="5">
        <f>(((B9)+(C9))+(D9))+(E9)</f>
        <v>5123.13</v>
      </c>
    </row>
    <row r="10" spans="1:7" x14ac:dyDescent="0.2">
      <c r="A10" s="3" t="s">
        <v>9</v>
      </c>
      <c r="B10" s="4"/>
      <c r="C10" s="5">
        <f>7490.65</f>
        <v>7490.65</v>
      </c>
      <c r="D10" s="5">
        <f>387.12</f>
        <v>387.12</v>
      </c>
      <c r="E10" s="5"/>
      <c r="F10" s="5">
        <f>(((B10)+(C10))+(D10))+(E10)</f>
        <v>7877.7699999999995</v>
      </c>
    </row>
    <row r="11" spans="1:7" x14ac:dyDescent="0.2">
      <c r="A11" s="3" t="s">
        <v>10</v>
      </c>
      <c r="B11" s="6">
        <f>(((B7)+(B8))+(B9))+(B10)</f>
        <v>165801.75</v>
      </c>
      <c r="C11" s="6">
        <f>(((C7)+(C8))+(C9))+(C10)</f>
        <v>247550.04</v>
      </c>
      <c r="D11" s="6">
        <f>(((D7)+(D8))+(D9))+(D10)</f>
        <v>227614.65999999997</v>
      </c>
      <c r="E11" s="6">
        <f>(((E7)+(E8))+(E9))+(E10)</f>
        <v>212915.17</v>
      </c>
      <c r="F11" s="6">
        <f>(((B11)+(C11))+(D11))+(E11)</f>
        <v>853881.62</v>
      </c>
      <c r="G11" s="15"/>
    </row>
    <row r="12" spans="1:7" x14ac:dyDescent="0.2">
      <c r="A12" s="3" t="s">
        <v>11</v>
      </c>
      <c r="B12" s="4"/>
      <c r="C12" s="4"/>
      <c r="D12" s="4"/>
      <c r="E12" s="4"/>
      <c r="F12" s="4"/>
    </row>
    <row r="13" spans="1:7" x14ac:dyDescent="0.2">
      <c r="A13" s="3" t="s">
        <v>12</v>
      </c>
      <c r="B13" s="5">
        <f>137453.31</f>
        <v>137453.31</v>
      </c>
      <c r="C13" s="5">
        <f>184458.17</f>
        <v>184458.17</v>
      </c>
      <c r="D13" s="5">
        <f>179614.87</f>
        <v>179614.87</v>
      </c>
      <c r="E13" s="5">
        <f>167113.91</f>
        <v>167113.91</v>
      </c>
      <c r="F13" s="5">
        <f>(((B13)+(C13))+(D13))+(E13)</f>
        <v>668640.26</v>
      </c>
    </row>
    <row r="14" spans="1:7" x14ac:dyDescent="0.2">
      <c r="A14" s="3" t="s">
        <v>13</v>
      </c>
      <c r="B14" s="5">
        <f>25.5</f>
        <v>25.5</v>
      </c>
      <c r="C14" s="5">
        <f>25.5</f>
        <v>25.5</v>
      </c>
      <c r="D14" s="5">
        <f>25.5</f>
        <v>25.5</v>
      </c>
      <c r="E14" s="5">
        <f>17</f>
        <v>17</v>
      </c>
      <c r="F14" s="5">
        <f>(((B14)+(C14))+(D14))+(E14)</f>
        <v>93.5</v>
      </c>
    </row>
    <row r="15" spans="1:7" x14ac:dyDescent="0.2">
      <c r="A15" s="3" t="s">
        <v>14</v>
      </c>
      <c r="B15" s="6">
        <f>(B13)+(B14)</f>
        <v>137478.81</v>
      </c>
      <c r="C15" s="6">
        <f>(C13)+(C14)</f>
        <v>184483.67</v>
      </c>
      <c r="D15" s="6">
        <f>(D13)+(D14)</f>
        <v>179640.37</v>
      </c>
      <c r="E15" s="6">
        <f>(E13)+(E14)</f>
        <v>167130.91</v>
      </c>
      <c r="F15" s="6">
        <f>(((B15)+(C15))+(D15))+(E15)</f>
        <v>668733.76</v>
      </c>
    </row>
    <row r="16" spans="1:7" x14ac:dyDescent="0.2">
      <c r="A16" s="3" t="s">
        <v>15</v>
      </c>
      <c r="B16" s="6">
        <f>(B11)-(B15)</f>
        <v>28322.940000000002</v>
      </c>
      <c r="C16" s="6">
        <f>(C11)-(C15)</f>
        <v>63066.369999999995</v>
      </c>
      <c r="D16" s="6">
        <f>(D11)-(D15)</f>
        <v>47974.289999999979</v>
      </c>
      <c r="E16" s="6">
        <f>(E11)-(E15)</f>
        <v>45784.260000000009</v>
      </c>
      <c r="F16" s="6">
        <f>(((B16)+(C16))+(D16))+(E16)</f>
        <v>185147.86</v>
      </c>
    </row>
    <row r="17" spans="1:6" x14ac:dyDescent="0.2">
      <c r="A17" s="3" t="s">
        <v>16</v>
      </c>
      <c r="B17" s="4"/>
      <c r="C17" s="4"/>
      <c r="D17" s="4"/>
      <c r="E17" s="4"/>
      <c r="F17" s="4"/>
    </row>
    <row r="18" spans="1:6" x14ac:dyDescent="0.2">
      <c r="A18" s="3" t="s">
        <v>17</v>
      </c>
      <c r="B18" s="4"/>
      <c r="C18" s="5">
        <f>130.55</f>
        <v>130.55000000000001</v>
      </c>
      <c r="D18" s="4"/>
      <c r="E18" s="4"/>
      <c r="F18" s="5">
        <f t="shared" ref="F18:F60" si="0">(((B18)+(C18))+(D18))+(E18)</f>
        <v>130.55000000000001</v>
      </c>
    </row>
    <row r="19" spans="1:6" x14ac:dyDescent="0.2">
      <c r="A19" s="3" t="s">
        <v>18</v>
      </c>
      <c r="B19" s="4"/>
      <c r="C19" s="4"/>
      <c r="D19" s="4"/>
      <c r="E19" s="4"/>
      <c r="F19" s="5">
        <f t="shared" si="0"/>
        <v>0</v>
      </c>
    </row>
    <row r="20" spans="1:6" x14ac:dyDescent="0.2">
      <c r="A20" s="3" t="s">
        <v>19</v>
      </c>
      <c r="B20" s="4"/>
      <c r="C20" s="5">
        <f>-3970.37</f>
        <v>-3970.37</v>
      </c>
      <c r="D20" s="4"/>
      <c r="E20" s="4"/>
      <c r="F20" s="5">
        <f t="shared" si="0"/>
        <v>-3970.37</v>
      </c>
    </row>
    <row r="21" spans="1:6" x14ac:dyDescent="0.2">
      <c r="A21" s="3" t="s">
        <v>20</v>
      </c>
      <c r="B21" s="5">
        <f>1583.4</f>
        <v>1583.4</v>
      </c>
      <c r="C21" s="5">
        <f>1136.64</f>
        <v>1136.6400000000001</v>
      </c>
      <c r="D21" s="5">
        <f>701.6</f>
        <v>701.6</v>
      </c>
      <c r="E21" s="5">
        <f>451.05</f>
        <v>451.05</v>
      </c>
      <c r="F21" s="5">
        <f t="shared" si="0"/>
        <v>3872.69</v>
      </c>
    </row>
    <row r="22" spans="1:6" x14ac:dyDescent="0.2">
      <c r="A22" s="3" t="s">
        <v>21</v>
      </c>
      <c r="B22" s="5">
        <f>601.43</f>
        <v>601.42999999999995</v>
      </c>
      <c r="C22" s="5">
        <f>681.6</f>
        <v>681.6</v>
      </c>
      <c r="D22" s="5">
        <f>593.61</f>
        <v>593.61</v>
      </c>
      <c r="E22" s="5">
        <f>475.11</f>
        <v>475.11</v>
      </c>
      <c r="F22" s="5">
        <f t="shared" si="0"/>
        <v>2351.75</v>
      </c>
    </row>
    <row r="23" spans="1:6" x14ac:dyDescent="0.2">
      <c r="A23" s="3" t="s">
        <v>22</v>
      </c>
      <c r="B23" s="5">
        <f>-719.74</f>
        <v>-719.74</v>
      </c>
      <c r="C23" s="4"/>
      <c r="D23" s="4"/>
      <c r="E23" s="4"/>
      <c r="F23" s="5">
        <f t="shared" si="0"/>
        <v>-719.74</v>
      </c>
    </row>
    <row r="24" spans="1:6" x14ac:dyDescent="0.2">
      <c r="A24" s="3" t="s">
        <v>23</v>
      </c>
      <c r="B24" s="5">
        <f>3341.4</f>
        <v>3341.4</v>
      </c>
      <c r="C24" s="5">
        <f>2150.44</f>
        <v>2150.44</v>
      </c>
      <c r="D24" s="5">
        <f>4.07</f>
        <v>4.07</v>
      </c>
      <c r="E24" s="4"/>
      <c r="F24" s="5">
        <f t="shared" si="0"/>
        <v>5495.91</v>
      </c>
    </row>
    <row r="25" spans="1:6" x14ac:dyDescent="0.2">
      <c r="A25" s="3" t="s">
        <v>24</v>
      </c>
      <c r="B25" s="5">
        <f>256.45</f>
        <v>256.45</v>
      </c>
      <c r="C25" s="5">
        <f>77.34</f>
        <v>77.34</v>
      </c>
      <c r="D25" s="4"/>
      <c r="E25" s="4"/>
      <c r="F25" s="5">
        <f t="shared" si="0"/>
        <v>333.78999999999996</v>
      </c>
    </row>
    <row r="26" spans="1:6" x14ac:dyDescent="0.2">
      <c r="A26" s="3" t="s">
        <v>25</v>
      </c>
      <c r="B26" s="6">
        <f>(((((B20)+(B21))+(B22))+(B23))+(B24))+(B25)</f>
        <v>5062.9399999999996</v>
      </c>
      <c r="C26" s="6">
        <f>(((((C20)+(C21))+(C22))+(C23))+(C24))+(C25)</f>
        <v>75.650000000000404</v>
      </c>
      <c r="D26" s="6">
        <f>(((((D20)+(D21))+(D22))+(D23))+(D24))+(D25)</f>
        <v>1299.28</v>
      </c>
      <c r="E26" s="6">
        <f>(((((E20)+(E21))+(E22))+(E23))+(E24))+(E25)</f>
        <v>926.16000000000008</v>
      </c>
      <c r="F26" s="6">
        <f t="shared" si="0"/>
        <v>7364.03</v>
      </c>
    </row>
    <row r="27" spans="1:6" x14ac:dyDescent="0.2">
      <c r="A27" s="3" t="s">
        <v>26</v>
      </c>
      <c r="B27" s="4"/>
      <c r="C27" s="4"/>
      <c r="D27" s="4"/>
      <c r="E27" s="4"/>
      <c r="F27" s="5">
        <f t="shared" si="0"/>
        <v>0</v>
      </c>
    </row>
    <row r="28" spans="1:6" x14ac:dyDescent="0.2">
      <c r="A28" s="3" t="s">
        <v>27</v>
      </c>
      <c r="B28" s="5">
        <f>8951.48</f>
        <v>8951.48</v>
      </c>
      <c r="C28" s="5">
        <f>11603.95</f>
        <v>11603.95</v>
      </c>
      <c r="D28" s="5">
        <f>9033.93</f>
        <v>9033.93</v>
      </c>
      <c r="E28" s="5">
        <f>5806.62</f>
        <v>5806.62</v>
      </c>
      <c r="F28" s="5">
        <f t="shared" si="0"/>
        <v>35395.980000000003</v>
      </c>
    </row>
    <row r="29" spans="1:6" x14ac:dyDescent="0.2">
      <c r="A29" s="3" t="s">
        <v>28</v>
      </c>
      <c r="B29" s="5">
        <f>6518.86</f>
        <v>6518.86</v>
      </c>
      <c r="C29" s="5">
        <f>7484.4</f>
        <v>7484.4</v>
      </c>
      <c r="D29" s="5">
        <f>6510.24</f>
        <v>6510.24</v>
      </c>
      <c r="E29" s="5">
        <f>4127.2</f>
        <v>4127.2</v>
      </c>
      <c r="F29" s="5">
        <f t="shared" si="0"/>
        <v>24640.7</v>
      </c>
    </row>
    <row r="30" spans="1:6" x14ac:dyDescent="0.2">
      <c r="A30" s="3" t="s">
        <v>29</v>
      </c>
      <c r="B30" s="5">
        <f>174.3</f>
        <v>174.3</v>
      </c>
      <c r="C30" s="4"/>
      <c r="D30" s="4"/>
      <c r="E30" s="4"/>
      <c r="F30" s="5">
        <f t="shared" si="0"/>
        <v>174.3</v>
      </c>
    </row>
    <row r="31" spans="1:6" x14ac:dyDescent="0.2">
      <c r="A31" s="3" t="s">
        <v>30</v>
      </c>
      <c r="B31" s="5">
        <f>2254.17</f>
        <v>2254.17</v>
      </c>
      <c r="C31" s="5">
        <f>3000.03</f>
        <v>3000.03</v>
      </c>
      <c r="D31" s="5">
        <f>93.6</f>
        <v>93.6</v>
      </c>
      <c r="E31" s="4"/>
      <c r="F31" s="5">
        <f t="shared" si="0"/>
        <v>5347.8000000000011</v>
      </c>
    </row>
    <row r="32" spans="1:6" x14ac:dyDescent="0.2">
      <c r="A32" s="3" t="s">
        <v>31</v>
      </c>
      <c r="B32" s="5">
        <f>2983.55</f>
        <v>2983.55</v>
      </c>
      <c r="C32" s="5">
        <f>915.2</f>
        <v>915.2</v>
      </c>
      <c r="D32" s="4"/>
      <c r="E32" s="4"/>
      <c r="F32" s="5">
        <f t="shared" si="0"/>
        <v>3898.75</v>
      </c>
    </row>
    <row r="33" spans="1:6" x14ac:dyDescent="0.2">
      <c r="A33" s="3" t="s">
        <v>32</v>
      </c>
      <c r="B33" s="6">
        <f>(((((B27)+(B28))+(B29))+(B30))+(B31))+(B32)</f>
        <v>20882.359999999997</v>
      </c>
      <c r="C33" s="6">
        <f>(((((C27)+(C28))+(C29))+(C30))+(C31))+(C32)</f>
        <v>23003.579999999998</v>
      </c>
      <c r="D33" s="6">
        <f>(((((D27)+(D28))+(D29))+(D30))+(D31))+(D32)</f>
        <v>15637.77</v>
      </c>
      <c r="E33" s="6">
        <f>(((((E27)+(E28))+(E29))+(E30))+(E31))+(E32)</f>
        <v>9933.82</v>
      </c>
      <c r="F33" s="6">
        <f t="shared" si="0"/>
        <v>69457.53</v>
      </c>
    </row>
    <row r="34" spans="1:6" x14ac:dyDescent="0.2">
      <c r="A34" s="3" t="s">
        <v>33</v>
      </c>
      <c r="B34" s="5">
        <f>1629.49</f>
        <v>1629.49</v>
      </c>
      <c r="C34" s="5">
        <f>905.45</f>
        <v>905.45</v>
      </c>
      <c r="D34" s="4"/>
      <c r="E34" s="4"/>
      <c r="F34" s="5">
        <f t="shared" si="0"/>
        <v>2534.94</v>
      </c>
    </row>
    <row r="35" spans="1:6" x14ac:dyDescent="0.2">
      <c r="A35" s="3" t="s">
        <v>34</v>
      </c>
      <c r="B35" s="6">
        <f>(((B19)+(B26))+(B33))+(B34)</f>
        <v>27574.789999999997</v>
      </c>
      <c r="C35" s="6">
        <f>(((C19)+(C26))+(C33))+(C34)</f>
        <v>23984.68</v>
      </c>
      <c r="D35" s="6">
        <f>(((D19)+(D26))+(D33))+(D34)</f>
        <v>16937.05</v>
      </c>
      <c r="E35" s="6">
        <f>(((E19)+(E26))+(E33))+(E34)</f>
        <v>10859.98</v>
      </c>
      <c r="F35" s="6">
        <f t="shared" si="0"/>
        <v>79356.5</v>
      </c>
    </row>
    <row r="36" spans="1:6" x14ac:dyDescent="0.2">
      <c r="A36" s="3" t="s">
        <v>35</v>
      </c>
      <c r="B36" s="5">
        <f>192.94</f>
        <v>192.94</v>
      </c>
      <c r="C36" s="4"/>
      <c r="D36" s="4"/>
      <c r="E36" s="4"/>
      <c r="F36" s="5">
        <f t="shared" si="0"/>
        <v>192.94</v>
      </c>
    </row>
    <row r="37" spans="1:6" x14ac:dyDescent="0.2">
      <c r="A37" s="3" t="s">
        <v>36</v>
      </c>
      <c r="B37" s="5">
        <f>2818.48</f>
        <v>2818.48</v>
      </c>
      <c r="C37" s="4"/>
      <c r="D37" s="4"/>
      <c r="E37" s="5">
        <f>3042.8</f>
        <v>3042.8</v>
      </c>
      <c r="F37" s="5">
        <f t="shared" si="0"/>
        <v>5861.2800000000007</v>
      </c>
    </row>
    <row r="38" spans="1:6" x14ac:dyDescent="0.2">
      <c r="A38" s="3" t="s">
        <v>37</v>
      </c>
      <c r="B38" s="5">
        <f>988.11</f>
        <v>988.11</v>
      </c>
      <c r="C38" s="4"/>
      <c r="D38" s="4"/>
      <c r="E38" s="5">
        <f>2174.39</f>
        <v>2174.39</v>
      </c>
      <c r="F38" s="5">
        <f t="shared" si="0"/>
        <v>3162.5</v>
      </c>
    </row>
    <row r="39" spans="1:6" x14ac:dyDescent="0.2">
      <c r="A39" s="3" t="s">
        <v>38</v>
      </c>
      <c r="B39" s="5">
        <f>9375</f>
        <v>9375</v>
      </c>
      <c r="C39" s="5">
        <f>9375</f>
        <v>9375</v>
      </c>
      <c r="D39" s="4"/>
      <c r="E39" s="4"/>
      <c r="F39" s="5">
        <f t="shared" si="0"/>
        <v>18750</v>
      </c>
    </row>
    <row r="40" spans="1:6" x14ac:dyDescent="0.2">
      <c r="A40" s="3" t="s">
        <v>39</v>
      </c>
      <c r="B40" s="5">
        <f>46.57</f>
        <v>46.57</v>
      </c>
      <c r="C40" s="4"/>
      <c r="D40" s="4"/>
      <c r="E40" s="5">
        <f>242.35</f>
        <v>242.35</v>
      </c>
      <c r="F40" s="5">
        <f t="shared" si="0"/>
        <v>288.92</v>
      </c>
    </row>
    <row r="41" spans="1:6" x14ac:dyDescent="0.2">
      <c r="A41" s="3" t="s">
        <v>40</v>
      </c>
      <c r="B41" s="5">
        <f>1600.72</f>
        <v>1600.72</v>
      </c>
      <c r="C41" s="4"/>
      <c r="D41" s="4"/>
      <c r="E41" s="4"/>
      <c r="F41" s="5">
        <f t="shared" si="0"/>
        <v>1600.72</v>
      </c>
    </row>
    <row r="42" spans="1:6" x14ac:dyDescent="0.2">
      <c r="A42" s="3" t="s">
        <v>41</v>
      </c>
      <c r="B42" s="5">
        <f>4066.49</f>
        <v>4066.49</v>
      </c>
      <c r="C42" s="5">
        <f>2376.87</f>
        <v>2376.87</v>
      </c>
      <c r="D42" s="5">
        <f>4380.77</f>
        <v>4380.7700000000004</v>
      </c>
      <c r="E42" s="5">
        <f>675.18</f>
        <v>675.18</v>
      </c>
      <c r="F42" s="5">
        <f t="shared" si="0"/>
        <v>11499.310000000001</v>
      </c>
    </row>
    <row r="43" spans="1:6" x14ac:dyDescent="0.2">
      <c r="A43" s="3" t="s">
        <v>42</v>
      </c>
      <c r="B43" s="5">
        <f>2289.72</f>
        <v>2289.7199999999998</v>
      </c>
      <c r="C43" s="5">
        <f>1514.76</f>
        <v>1514.76</v>
      </c>
      <c r="D43" s="5">
        <f>1225.83</f>
        <v>1225.83</v>
      </c>
      <c r="E43" s="5">
        <f>1187.1</f>
        <v>1187.0999999999999</v>
      </c>
      <c r="F43" s="5">
        <f t="shared" si="0"/>
        <v>6217.41</v>
      </c>
    </row>
    <row r="44" spans="1:6" x14ac:dyDescent="0.2">
      <c r="A44" s="3" t="s">
        <v>43</v>
      </c>
      <c r="B44" s="5">
        <f>5333.71</f>
        <v>5333.71</v>
      </c>
      <c r="C44" s="5">
        <f>5344.43</f>
        <v>5344.43</v>
      </c>
      <c r="D44" s="5">
        <f>14838.46</f>
        <v>14838.46</v>
      </c>
      <c r="E44" s="5">
        <f>12659.62</f>
        <v>12659.62</v>
      </c>
      <c r="F44" s="5">
        <f t="shared" si="0"/>
        <v>38176.22</v>
      </c>
    </row>
    <row r="45" spans="1:6" x14ac:dyDescent="0.2">
      <c r="A45" s="3" t="s">
        <v>44</v>
      </c>
      <c r="B45" s="5">
        <f>79.15</f>
        <v>79.150000000000006</v>
      </c>
      <c r="C45" s="4"/>
      <c r="D45" s="4"/>
      <c r="E45" s="4"/>
      <c r="F45" s="5">
        <f t="shared" si="0"/>
        <v>79.150000000000006</v>
      </c>
    </row>
    <row r="46" spans="1:6" x14ac:dyDescent="0.2">
      <c r="A46" s="3" t="s">
        <v>45</v>
      </c>
      <c r="B46" s="5">
        <f>167.17</f>
        <v>167.17</v>
      </c>
      <c r="C46" s="5">
        <f>53.85</f>
        <v>53.85</v>
      </c>
      <c r="D46" s="4"/>
      <c r="E46" s="4"/>
      <c r="F46" s="5">
        <f t="shared" si="0"/>
        <v>221.01999999999998</v>
      </c>
    </row>
    <row r="47" spans="1:6" x14ac:dyDescent="0.2">
      <c r="A47" s="3" t="s">
        <v>46</v>
      </c>
      <c r="B47" s="5">
        <f>600</f>
        <v>600</v>
      </c>
      <c r="C47" s="5">
        <f>600</f>
        <v>600</v>
      </c>
      <c r="D47" s="5">
        <f>600</f>
        <v>600</v>
      </c>
      <c r="E47" s="5">
        <f>600</f>
        <v>600</v>
      </c>
      <c r="F47" s="5">
        <f t="shared" si="0"/>
        <v>2400</v>
      </c>
    </row>
    <row r="48" spans="1:6" x14ac:dyDescent="0.2">
      <c r="A48" s="3" t="s">
        <v>47</v>
      </c>
      <c r="B48" s="5">
        <f>1636.96</f>
        <v>1636.96</v>
      </c>
      <c r="C48" s="4"/>
      <c r="D48" s="4"/>
      <c r="E48" s="4"/>
      <c r="F48" s="5">
        <f t="shared" si="0"/>
        <v>1636.96</v>
      </c>
    </row>
    <row r="49" spans="1:6" x14ac:dyDescent="0.2">
      <c r="A49" s="3" t="s">
        <v>48</v>
      </c>
      <c r="B49" s="5">
        <f>9485.49</f>
        <v>9485.49</v>
      </c>
      <c r="C49" s="5">
        <f>9485.49</f>
        <v>9485.49</v>
      </c>
      <c r="D49" s="5">
        <f>9485.49</f>
        <v>9485.49</v>
      </c>
      <c r="E49" s="5">
        <f>9485.49</f>
        <v>9485.49</v>
      </c>
      <c r="F49" s="5">
        <f t="shared" si="0"/>
        <v>37941.96</v>
      </c>
    </row>
    <row r="50" spans="1:6" x14ac:dyDescent="0.2">
      <c r="A50" s="3" t="s">
        <v>49</v>
      </c>
      <c r="B50" s="5">
        <f>517.43</f>
        <v>517.42999999999995</v>
      </c>
      <c r="C50" s="4"/>
      <c r="D50" s="4"/>
      <c r="E50" s="5">
        <f>2692.78</f>
        <v>2692.78</v>
      </c>
      <c r="F50" s="5">
        <f t="shared" si="0"/>
        <v>3210.21</v>
      </c>
    </row>
    <row r="51" spans="1:6" x14ac:dyDescent="0.2">
      <c r="A51" s="3" t="s">
        <v>50</v>
      </c>
      <c r="B51" s="5">
        <f>3074.04</f>
        <v>3074.04</v>
      </c>
      <c r="C51" s="5">
        <f>2487.14</f>
        <v>2487.14</v>
      </c>
      <c r="D51" s="5">
        <f>1764.49</f>
        <v>1764.49</v>
      </c>
      <c r="E51" s="5">
        <f>3176.9</f>
        <v>3176.9</v>
      </c>
      <c r="F51" s="5">
        <f t="shared" si="0"/>
        <v>10502.57</v>
      </c>
    </row>
    <row r="52" spans="1:6" x14ac:dyDescent="0.2">
      <c r="A52" s="3" t="s">
        <v>51</v>
      </c>
      <c r="B52" s="5">
        <f>0</f>
        <v>0</v>
      </c>
      <c r="C52" s="5">
        <f>0</f>
        <v>0</v>
      </c>
      <c r="D52" s="5">
        <f>-3.14</f>
        <v>-3.14</v>
      </c>
      <c r="E52" s="5">
        <f>46.67</f>
        <v>46.67</v>
      </c>
      <c r="F52" s="5">
        <f t="shared" si="0"/>
        <v>43.53</v>
      </c>
    </row>
    <row r="53" spans="1:6" x14ac:dyDescent="0.2">
      <c r="A53" s="3" t="s">
        <v>52</v>
      </c>
      <c r="B53" s="4"/>
      <c r="C53" s="4"/>
      <c r="D53" s="5">
        <f>47.05</f>
        <v>47.05</v>
      </c>
      <c r="E53" s="5">
        <f>1751.53</f>
        <v>1751.53</v>
      </c>
      <c r="F53" s="5">
        <f t="shared" si="0"/>
        <v>1798.58</v>
      </c>
    </row>
    <row r="54" spans="1:6" x14ac:dyDescent="0.2">
      <c r="A54" s="3" t="s">
        <v>53</v>
      </c>
      <c r="B54" s="4"/>
      <c r="C54" s="4"/>
      <c r="D54" s="4"/>
      <c r="E54" s="5">
        <f>869.75</f>
        <v>869.75</v>
      </c>
      <c r="F54" s="5">
        <f t="shared" si="0"/>
        <v>869.75</v>
      </c>
    </row>
    <row r="55" spans="1:6" x14ac:dyDescent="0.2">
      <c r="A55" s="3" t="s">
        <v>54</v>
      </c>
      <c r="B55" s="5">
        <f>2660.93</f>
        <v>2660.93</v>
      </c>
      <c r="C55" s="5">
        <f>344.67</f>
        <v>344.67</v>
      </c>
      <c r="D55" s="5">
        <f>32.71</f>
        <v>32.71</v>
      </c>
      <c r="E55" s="5">
        <f>78</f>
        <v>78</v>
      </c>
      <c r="F55" s="5">
        <f t="shared" si="0"/>
        <v>3116.31</v>
      </c>
    </row>
    <row r="56" spans="1:6" x14ac:dyDescent="0.2">
      <c r="A56" s="3" t="s">
        <v>55</v>
      </c>
      <c r="B56" s="4"/>
      <c r="C56" s="5">
        <f>1605</f>
        <v>1605</v>
      </c>
      <c r="D56" s="4"/>
      <c r="E56" s="4"/>
      <c r="F56" s="5">
        <f t="shared" si="0"/>
        <v>1605</v>
      </c>
    </row>
    <row r="57" spans="1:6" x14ac:dyDescent="0.2">
      <c r="A57" s="3" t="s">
        <v>56</v>
      </c>
      <c r="B57" s="5">
        <f>1666.66</f>
        <v>1666.66</v>
      </c>
      <c r="C57" s="4"/>
      <c r="D57" s="4"/>
      <c r="E57" s="4"/>
      <c r="F57" s="5">
        <f t="shared" si="0"/>
        <v>1666.66</v>
      </c>
    </row>
    <row r="58" spans="1:6" x14ac:dyDescent="0.2">
      <c r="A58" s="3" t="s">
        <v>57</v>
      </c>
      <c r="B58" s="6">
        <f>((((B53)+(B54))+(B55))+(B56))+(B57)</f>
        <v>4327.59</v>
      </c>
      <c r="C58" s="6">
        <f>((((C53)+(C54))+(C55))+(C56))+(C57)</f>
        <v>1949.67</v>
      </c>
      <c r="D58" s="6">
        <f>((((D53)+(D54))+(D55))+(D56))+(D57)</f>
        <v>79.759999999999991</v>
      </c>
      <c r="E58" s="6">
        <f>((((E53)+(E54))+(E55))+(E56))+(E57)</f>
        <v>2699.2799999999997</v>
      </c>
      <c r="F58" s="6">
        <f t="shared" si="0"/>
        <v>9056.2999999999993</v>
      </c>
    </row>
    <row r="59" spans="1:6" x14ac:dyDescent="0.2">
      <c r="A59" s="3" t="s">
        <v>58</v>
      </c>
      <c r="B59" s="5">
        <f>10.44</f>
        <v>10.44</v>
      </c>
      <c r="C59" s="4"/>
      <c r="D59" s="5">
        <f>0.01</f>
        <v>0.01</v>
      </c>
      <c r="E59" s="5">
        <f>168.93</f>
        <v>168.93</v>
      </c>
      <c r="F59" s="5">
        <f t="shared" si="0"/>
        <v>179.38</v>
      </c>
    </row>
    <row r="60" spans="1:6" x14ac:dyDescent="0.2">
      <c r="A60" s="3" t="s">
        <v>59</v>
      </c>
      <c r="B60" s="6">
        <f>((((((((((((((((((((B18)+(B35))+(B36))+(B37))+(B38))+(B39))+(B40))+(B41))+(B42))+(B43))+(B44))+(B45))+(B46))+(B47))+(B48))+(B49))+(B50))+(B51))+(B52))+(B58))+(B59)</f>
        <v>74184.799999999974</v>
      </c>
      <c r="C60" s="6">
        <f>((((((((((((((((((((C18)+(C35))+(C36))+(C37))+(C38))+(C39))+(C40))+(C41))+(C42))+(C43))+(C44))+(C45))+(C46))+(C47))+(C48))+(C49))+(C50))+(C51))+(C52))+(C58))+(C59)</f>
        <v>57302.439999999995</v>
      </c>
      <c r="D60" s="6">
        <f>((((((((((((((((((((D18)+(D35))+(D36))+(D37))+(D38))+(D39))+(D40))+(D41))+(D42))+(D43))+(D44))+(D45))+(D46))+(D47))+(D48))+(D49))+(D50))+(D51))+(D52))+(D58))+(D59)</f>
        <v>49308.72</v>
      </c>
      <c r="E60" s="6">
        <f>((((((((((((((((((((E18)+(E35))+(E36))+(E37))+(E38))+(E39))+(E40))+(E41))+(E42))+(E43))+(E44))+(E45))+(E46))+(E47))+(E48))+(E49))+(E50))+(E51))+(E52))+(E58))+(E59)</f>
        <v>49711.469999999994</v>
      </c>
      <c r="F60" s="6">
        <f t="shared" si="0"/>
        <v>230507.42999999996</v>
      </c>
    </row>
    <row r="61" spans="1:6" x14ac:dyDescent="0.2">
      <c r="A61" s="3" t="s">
        <v>60</v>
      </c>
      <c r="B61" s="4"/>
      <c r="C61" s="4"/>
      <c r="D61" s="4"/>
      <c r="E61" s="4"/>
      <c r="F61" s="4"/>
    </row>
    <row r="62" spans="1:6" x14ac:dyDescent="0.2">
      <c r="A62" s="3" t="s">
        <v>61</v>
      </c>
      <c r="B62" s="4"/>
      <c r="C62" s="4"/>
      <c r="D62" s="4"/>
      <c r="E62" s="5"/>
      <c r="F62" s="5">
        <f>(((B62)+(C62))+(D62))+(E62)</f>
        <v>0</v>
      </c>
    </row>
    <row r="63" spans="1:6" x14ac:dyDescent="0.2">
      <c r="A63" s="3" t="s">
        <v>62</v>
      </c>
      <c r="B63" s="6">
        <f>B62</f>
        <v>0</v>
      </c>
      <c r="C63" s="6">
        <f>C62</f>
        <v>0</v>
      </c>
      <c r="D63" s="6">
        <f>D62</f>
        <v>0</v>
      </c>
      <c r="E63" s="6">
        <f>E62</f>
        <v>0</v>
      </c>
      <c r="F63" s="6">
        <f>(((B63)+(C63))+(D63))+(E63)</f>
        <v>0</v>
      </c>
    </row>
    <row r="64" spans="1:6" x14ac:dyDescent="0.2">
      <c r="A64" s="3" t="s">
        <v>63</v>
      </c>
      <c r="B64" s="4"/>
      <c r="C64" s="4"/>
      <c r="D64" s="4"/>
      <c r="E64" s="4"/>
      <c r="F64" s="4"/>
    </row>
    <row r="65" spans="1:6" x14ac:dyDescent="0.2">
      <c r="A65" s="3" t="s">
        <v>64</v>
      </c>
      <c r="B65" s="4"/>
      <c r="C65" s="5">
        <f>10627.35</f>
        <v>10627.35</v>
      </c>
      <c r="D65" s="5">
        <f>-10404.52</f>
        <v>-10404.52</v>
      </c>
      <c r="E65" s="5">
        <f>-2928.85</f>
        <v>-2928.85</v>
      </c>
      <c r="F65" s="5">
        <f>(((B65)+(C65))+(D65))+(E65)</f>
        <v>-2706.02</v>
      </c>
    </row>
    <row r="66" spans="1:6" x14ac:dyDescent="0.2">
      <c r="A66" s="3" t="s">
        <v>65</v>
      </c>
      <c r="B66" s="4"/>
      <c r="C66" s="4"/>
      <c r="D66" s="4"/>
      <c r="E66" s="5">
        <f>-15000</f>
        <v>-15000</v>
      </c>
      <c r="F66" s="5">
        <f>(((B66)+(C66))+(D66))+(E66)</f>
        <v>-15000</v>
      </c>
    </row>
    <row r="67" spans="1:6" x14ac:dyDescent="0.2">
      <c r="A67" s="3" t="s">
        <v>66</v>
      </c>
      <c r="B67" s="6">
        <f>(B65)+(B66)</f>
        <v>0</v>
      </c>
      <c r="C67" s="6">
        <f>(C65)+(C66)</f>
        <v>10627.35</v>
      </c>
      <c r="D67" s="6">
        <f>(D65)+(D66)</f>
        <v>-10404.52</v>
      </c>
      <c r="E67" s="6">
        <f>(E65)+(E66)</f>
        <v>-17928.849999999999</v>
      </c>
      <c r="F67" s="6">
        <f>(((B67)+(C67))+(D67))+(E67)</f>
        <v>-17706.019999999997</v>
      </c>
    </row>
    <row r="68" spans="1:6" ht="16" thickBot="1" x14ac:dyDescent="0.25">
      <c r="A68" s="3" t="s">
        <v>67</v>
      </c>
      <c r="B68" s="7">
        <f>(((B16)-(B60))+(B63))-(B67)</f>
        <v>-45861.859999999971</v>
      </c>
      <c r="C68" s="7">
        <f>(((C16)-(C60))+(C63))-(C67)</f>
        <v>-4863.42</v>
      </c>
      <c r="D68" s="7">
        <f>(((D16)-(D60))+(D63))-(D67)</f>
        <v>9070.0899999999783</v>
      </c>
      <c r="E68" s="7">
        <f>(((E16)-(E60))+(E63))-(E67)</f>
        <v>14001.640000000014</v>
      </c>
      <c r="F68" s="7">
        <f>(((B68)+(C68))+(D68))+(E68)</f>
        <v>-27653.549999999974</v>
      </c>
    </row>
    <row r="69" spans="1:6" ht="16" thickBot="1" x14ac:dyDescent="0.25">
      <c r="A69" s="8" t="s">
        <v>72</v>
      </c>
      <c r="B69" s="9">
        <f>B68+B49+B44+B66</f>
        <v>-31042.659999999974</v>
      </c>
      <c r="C69" s="9">
        <f>C68+C49+C44+C66</f>
        <v>9966.5</v>
      </c>
      <c r="D69" s="9">
        <f>D68+D49+D44+D66</f>
        <v>33394.039999999979</v>
      </c>
      <c r="E69" s="9">
        <f>E68+E49+E44+E66</f>
        <v>21146.750000000015</v>
      </c>
      <c r="F69" s="10">
        <f>F68+F49+F44+F66</f>
        <v>33464.630000000026</v>
      </c>
    </row>
    <row r="72" spans="1:6" x14ac:dyDescent="0.2">
      <c r="A72" s="11" t="s">
        <v>68</v>
      </c>
      <c r="B72" s="12"/>
      <c r="C72" s="12"/>
      <c r="D72" s="12"/>
      <c r="E72" s="12"/>
      <c r="F72" s="12"/>
    </row>
  </sheetData>
  <mergeCells count="4">
    <mergeCell ref="A72:F72"/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Utilisateur de Microsoft Office</cp:lastModifiedBy>
  <dcterms:created xsi:type="dcterms:W3CDTF">2023-02-09T14:23:25Z</dcterms:created>
  <dcterms:modified xsi:type="dcterms:W3CDTF">2023-02-09T15:24:24Z</dcterms:modified>
</cp:coreProperties>
</file>