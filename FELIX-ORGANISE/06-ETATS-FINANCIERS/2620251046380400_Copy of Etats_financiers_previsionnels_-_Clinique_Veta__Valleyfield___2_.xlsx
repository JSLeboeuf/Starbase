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R:\Clients\Compagnies\Groupe Vivian Rahausen\Clinique Vétérinaire Veta Inc\5. Autres\Acquisition Clinique Vétérinaire Valleyfield Inc\États financiers prévisionnels\"/>
    </mc:Choice>
  </mc:AlternateContent>
  <xr:revisionPtr revIDLastSave="0" documentId="13_ncr:1_{C83CD56D-9F20-42D0-9D1B-BBD849EB1154}" xr6:coauthVersionLast="47" xr6:coauthVersionMax="47" xr10:uidLastSave="{00000000-0000-0000-0000-000000000000}"/>
  <bookViews>
    <workbookView xWindow="38280" yWindow="-120" windowWidth="29040" windowHeight="15720" tabRatio="850" activeTab="1" xr2:uid="{9ACD36BE-1803-4BC2-8107-8FF154C606BD}"/>
  </bookViews>
  <sheets>
    <sheet name="Clinique Veta" sheetId="7" r:id="rId1"/>
    <sheet name="Résultats - Veta" sheetId="1" r:id="rId2"/>
    <sheet name="Bilan - Veta" sheetId="3" r:id="rId3"/>
    <sheet name="Breakeven" sheetId="17" state="hidden" r:id="rId4"/>
    <sheet name="Hypothèses - Veta" sheetId="6" r:id="rId5"/>
    <sheet name="Prêt - Veta" sheetId="15" r:id="rId6"/>
    <sheet name="BPV - Veta" sheetId="18" r:id="rId7"/>
    <sheet name="Immo" sheetId="9" r:id="rId8"/>
    <sheet name="Résultats - Immo" sheetId="10" r:id="rId9"/>
    <sheet name="Bilan - Immo" sheetId="11" r:id="rId10"/>
    <sheet name="Hypothèses - Immo" sheetId="20" r:id="rId11"/>
    <sheet name="Prêt - Immo" sheetId="14" r:id="rId12"/>
    <sheet name="Bilan 2" sheetId="4" state="hidden" r:id="rId13"/>
    <sheet name="Note" sheetId="5" state="hidden"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3" l="1"/>
  <c r="G13" i="1"/>
  <c r="G11" i="1"/>
  <c r="G8" i="1"/>
  <c r="D26" i="3"/>
  <c r="D40" i="6"/>
  <c r="D39" i="6"/>
  <c r="D37" i="6"/>
  <c r="D12" i="10"/>
  <c r="E12" i="10"/>
  <c r="C17" i="1"/>
  <c r="E17" i="1"/>
  <c r="E15" i="1"/>
  <c r="C15" i="1"/>
  <c r="G15" i="1"/>
  <c r="D13" i="11"/>
  <c r="E13" i="11"/>
  <c r="F13" i="11"/>
  <c r="D15" i="10"/>
  <c r="E15" i="10"/>
  <c r="F15" i="10"/>
  <c r="J18" i="20"/>
  <c r="J5" i="20"/>
  <c r="F6" i="20"/>
  <c r="F5" i="20" s="1"/>
  <c r="G5" i="20" l="1"/>
  <c r="E11" i="20"/>
  <c r="G11" i="20" s="1"/>
  <c r="G6" i="20"/>
  <c r="E12" i="20" s="1"/>
  <c r="G12" i="20" s="1"/>
  <c r="E19" i="20" s="1"/>
  <c r="G19" i="20" s="1"/>
  <c r="G8" i="20" l="1"/>
  <c r="G15" i="20"/>
  <c r="E18" i="20"/>
  <c r="G18" i="20" s="1"/>
  <c r="K5" i="20"/>
  <c r="J8" i="20"/>
  <c r="I11" i="20" l="1"/>
  <c r="J11" i="20" s="1"/>
  <c r="K8" i="20"/>
  <c r="G22" i="20"/>
  <c r="J15" i="20" l="1"/>
  <c r="K11" i="20" l="1"/>
  <c r="K15" i="20" l="1"/>
  <c r="I18" i="20"/>
  <c r="J22" i="20" l="1"/>
  <c r="K18" i="20" l="1"/>
  <c r="K22" i="20" s="1"/>
  <c r="E8" i="1" l="1"/>
  <c r="C8" i="1" s="1"/>
  <c r="E26" i="3"/>
  <c r="F26" i="3"/>
  <c r="G26" i="1"/>
  <c r="H123" i="18"/>
  <c r="H107" i="18"/>
  <c r="H91" i="18"/>
  <c r="C90" i="18"/>
  <c r="C89" i="18"/>
  <c r="C88" i="18"/>
  <c r="C87" i="18"/>
  <c r="C86" i="18"/>
  <c r="C85" i="18"/>
  <c r="C84" i="18"/>
  <c r="C83" i="18"/>
  <c r="C82" i="18"/>
  <c r="C81" i="18"/>
  <c r="C80" i="18"/>
  <c r="C79" i="18"/>
  <c r="H75" i="18"/>
  <c r="C74" i="18"/>
  <c r="C73" i="18"/>
  <c r="C72" i="18"/>
  <c r="C71" i="18"/>
  <c r="C70" i="18"/>
  <c r="C69" i="18"/>
  <c r="C68" i="18"/>
  <c r="C67" i="18"/>
  <c r="C66" i="18"/>
  <c r="C65" i="18"/>
  <c r="C64" i="18"/>
  <c r="C63" i="18"/>
  <c r="A62" i="18"/>
  <c r="A78" i="18" s="1"/>
  <c r="I60" i="18"/>
  <c r="C26" i="18" s="1"/>
  <c r="H59" i="18"/>
  <c r="C58" i="18"/>
  <c r="C57" i="18"/>
  <c r="C56" i="18"/>
  <c r="C55" i="18"/>
  <c r="C54" i="18"/>
  <c r="C53" i="18"/>
  <c r="C52" i="18"/>
  <c r="C51" i="18"/>
  <c r="C50" i="18"/>
  <c r="C49" i="18"/>
  <c r="C48" i="18"/>
  <c r="C47" i="18"/>
  <c r="A46" i="18"/>
  <c r="A60" i="18" s="1"/>
  <c r="I44" i="18"/>
  <c r="A44" i="18"/>
  <c r="H43" i="18"/>
  <c r="C42" i="18"/>
  <c r="C41" i="18"/>
  <c r="C40" i="18"/>
  <c r="C39" i="18"/>
  <c r="C38" i="18"/>
  <c r="C37" i="18"/>
  <c r="C36" i="18"/>
  <c r="C35" i="18"/>
  <c r="C34" i="18"/>
  <c r="C33" i="18"/>
  <c r="C32" i="18"/>
  <c r="A32" i="18"/>
  <c r="A33" i="18" s="1"/>
  <c r="A34" i="18" s="1"/>
  <c r="A35" i="18" s="1"/>
  <c r="A36" i="18" s="1"/>
  <c r="A37" i="18" s="1"/>
  <c r="A38" i="18" s="1"/>
  <c r="A39" i="18" s="1"/>
  <c r="A40" i="18" s="1"/>
  <c r="A41" i="18" s="1"/>
  <c r="A42" i="18" s="1"/>
  <c r="A47" i="18" s="1"/>
  <c r="A48" i="18" s="1"/>
  <c r="A49" i="18" s="1"/>
  <c r="A50" i="18" s="1"/>
  <c r="A51" i="18" s="1"/>
  <c r="A52" i="18" s="1"/>
  <c r="A53" i="18" s="1"/>
  <c r="A54" i="18" s="1"/>
  <c r="A55" i="18" s="1"/>
  <c r="A56" i="18" s="1"/>
  <c r="A57" i="18" s="1"/>
  <c r="A58" i="18" s="1"/>
  <c r="A63" i="18" s="1"/>
  <c r="A64" i="18" s="1"/>
  <c r="A65" i="18" s="1"/>
  <c r="A66" i="18" s="1"/>
  <c r="A67" i="18" s="1"/>
  <c r="A68" i="18" s="1"/>
  <c r="A69" i="18" s="1"/>
  <c r="A70" i="18" s="1"/>
  <c r="A71" i="18" s="1"/>
  <c r="A72" i="18" s="1"/>
  <c r="A73" i="18" s="1"/>
  <c r="A74" i="18" s="1"/>
  <c r="A79" i="18" s="1"/>
  <c r="A80" i="18" s="1"/>
  <c r="A81" i="18" s="1"/>
  <c r="A82" i="18" s="1"/>
  <c r="A83" i="18" s="1"/>
  <c r="A84" i="18" s="1"/>
  <c r="A85" i="18" s="1"/>
  <c r="A86" i="18" s="1"/>
  <c r="A87" i="18" s="1"/>
  <c r="A88" i="18" s="1"/>
  <c r="A89" i="18" s="1"/>
  <c r="A90" i="18" s="1"/>
  <c r="A95" i="18" s="1"/>
  <c r="A96" i="18" s="1"/>
  <c r="A97" i="18" s="1"/>
  <c r="A98" i="18" s="1"/>
  <c r="A99" i="18" s="1"/>
  <c r="A100" i="18" s="1"/>
  <c r="A101" i="18" s="1"/>
  <c r="A102" i="18" s="1"/>
  <c r="A103" i="18" s="1"/>
  <c r="A104" i="18" s="1"/>
  <c r="A105" i="18" s="1"/>
  <c r="A106" i="18" s="1"/>
  <c r="A111" i="18" s="1"/>
  <c r="A112" i="18" s="1"/>
  <c r="A113" i="18" s="1"/>
  <c r="A114" i="18" s="1"/>
  <c r="A115" i="18" s="1"/>
  <c r="A116" i="18" s="1"/>
  <c r="A117" i="18" s="1"/>
  <c r="A118" i="18" s="1"/>
  <c r="A119" i="18" s="1"/>
  <c r="A120" i="18" s="1"/>
  <c r="A121" i="18" s="1"/>
  <c r="A122" i="18" s="1"/>
  <c r="J31" i="18"/>
  <c r="E32" i="18" s="1"/>
  <c r="J32" i="18" s="1"/>
  <c r="E33" i="18" s="1"/>
  <c r="G31" i="18"/>
  <c r="C31" i="18"/>
  <c r="H31" i="18" s="1"/>
  <c r="A31" i="18"/>
  <c r="F9" i="18"/>
  <c r="E9" i="18" a="1"/>
  <c r="E9" i="18" s="1"/>
  <c r="F48" i="6"/>
  <c r="E48" i="6"/>
  <c r="D48" i="6"/>
  <c r="C48" i="6"/>
  <c r="F37" i="6"/>
  <c r="G37" i="6" s="1"/>
  <c r="H38" i="6"/>
  <c r="G38" i="6"/>
  <c r="F40" i="6"/>
  <c r="G40" i="6" s="1"/>
  <c r="F39" i="6"/>
  <c r="F38" i="6"/>
  <c r="F13" i="3"/>
  <c r="F25" i="3" s="1"/>
  <c r="F27" i="3" s="1"/>
  <c r="F32" i="6"/>
  <c r="E32" i="6"/>
  <c r="D32" i="6"/>
  <c r="C32" i="6"/>
  <c r="G27" i="1"/>
  <c r="I25" i="6"/>
  <c r="G24" i="1" s="1"/>
  <c r="E24" i="1" s="1"/>
  <c r="C24" i="1" s="1"/>
  <c r="H25" i="6"/>
  <c r="G23" i="1" s="1"/>
  <c r="E23" i="1" s="1"/>
  <c r="C23" i="1" s="1"/>
  <c r="G25" i="6"/>
  <c r="G22" i="1" s="1"/>
  <c r="E22" i="1" s="1"/>
  <c r="C22" i="1" s="1"/>
  <c r="F25" i="6"/>
  <c r="G21" i="1" s="1"/>
  <c r="E21" i="1" s="1"/>
  <c r="C21" i="1" s="1"/>
  <c r="E25" i="6"/>
  <c r="E20" i="1" s="1"/>
  <c r="C20" i="1" s="1"/>
  <c r="D25" i="6"/>
  <c r="G19" i="1" s="1"/>
  <c r="E19" i="1" s="1"/>
  <c r="C19" i="1" s="1"/>
  <c r="C25" i="6"/>
  <c r="G18" i="1" s="1"/>
  <c r="E18" i="1" s="1"/>
  <c r="C18" i="1" s="1"/>
  <c r="G17" i="1"/>
  <c r="H26" i="1" l="1"/>
  <c r="J33" i="18"/>
  <c r="E34" i="18" s="1"/>
  <c r="H33" i="18"/>
  <c r="G33" i="18"/>
  <c r="A92" i="18"/>
  <c r="A94" i="18"/>
  <c r="G32" i="18"/>
  <c r="A76" i="18"/>
  <c r="H32" i="18"/>
  <c r="G39" i="6"/>
  <c r="H39" i="6" s="1"/>
  <c r="H40" i="6"/>
  <c r="F41" i="6"/>
  <c r="H37" i="6"/>
  <c r="G41" i="6" l="1"/>
  <c r="E25" i="1" s="1"/>
  <c r="G25" i="1"/>
  <c r="F16" i="3"/>
  <c r="E16" i="3" s="1"/>
  <c r="A108" i="18"/>
  <c r="A110" i="18"/>
  <c r="A124" i="18" s="1"/>
  <c r="J34" i="18"/>
  <c r="E35" i="18" s="1"/>
  <c r="H34" i="18"/>
  <c r="G34" i="18"/>
  <c r="H41" i="6"/>
  <c r="C25" i="1" s="1"/>
  <c r="D16" i="3" l="1"/>
  <c r="J35" i="18"/>
  <c r="E36" i="18" s="1"/>
  <c r="H35" i="18"/>
  <c r="G35" i="18"/>
  <c r="J36" i="18" l="1"/>
  <c r="E37" i="18" s="1"/>
  <c r="H36" i="18"/>
  <c r="G36" i="18"/>
  <c r="J37" i="18" l="1"/>
  <c r="E38" i="18" s="1"/>
  <c r="H37" i="18"/>
  <c r="G37" i="18"/>
  <c r="J38" i="18" l="1"/>
  <c r="E39" i="18" s="1"/>
  <c r="H38" i="18"/>
  <c r="G38" i="18"/>
  <c r="J39" i="18" l="1"/>
  <c r="E40" i="18" s="1"/>
  <c r="H39" i="18"/>
  <c r="G39" i="18"/>
  <c r="J40" i="18" l="1"/>
  <c r="E41" i="18" s="1"/>
  <c r="H40" i="18"/>
  <c r="G40" i="18"/>
  <c r="J41" i="18" l="1"/>
  <c r="E42" i="18" s="1"/>
  <c r="H41" i="18"/>
  <c r="G41" i="18"/>
  <c r="J42" i="18" l="1"/>
  <c r="E43" i="18" s="1"/>
  <c r="H42" i="18"/>
  <c r="H44" i="18" s="1"/>
  <c r="G42" i="18"/>
  <c r="J43" i="18" l="1"/>
  <c r="G43" i="18"/>
  <c r="G44" i="18" s="1"/>
  <c r="J44" i="18" l="1"/>
  <c r="F29" i="3" s="1"/>
  <c r="E47" i="18"/>
  <c r="G47" i="18" s="1"/>
  <c r="C23" i="18"/>
  <c r="C24" i="18" s="1"/>
  <c r="J47" i="18" l="1"/>
  <c r="E48" i="18" s="1"/>
  <c r="H47" i="18"/>
  <c r="H48" i="18" l="1"/>
  <c r="G48" i="18"/>
  <c r="J48" i="18"/>
  <c r="E49" i="18" s="1"/>
  <c r="J49" i="18" l="1"/>
  <c r="E50" i="18" s="1"/>
  <c r="H49" i="18"/>
  <c r="G49" i="18"/>
  <c r="G50" i="18" l="1"/>
  <c r="H50" i="18"/>
  <c r="J50" i="18"/>
  <c r="E51" i="18" s="1"/>
  <c r="J51" i="18" l="1"/>
  <c r="E52" i="18" s="1"/>
  <c r="H51" i="18"/>
  <c r="G51" i="18"/>
  <c r="G52" i="18" l="1"/>
  <c r="J52" i="18"/>
  <c r="E53" i="18" s="1"/>
  <c r="H52" i="18"/>
  <c r="J53" i="18" l="1"/>
  <c r="E54" i="18" s="1"/>
  <c r="H53" i="18"/>
  <c r="G53" i="18"/>
  <c r="G54" i="18" l="1"/>
  <c r="H54" i="18"/>
  <c r="J54" i="18"/>
  <c r="E55" i="18" s="1"/>
  <c r="J55" i="18" l="1"/>
  <c r="E56" i="18" s="1"/>
  <c r="H55" i="18"/>
  <c r="G55" i="18"/>
  <c r="G56" i="18" l="1"/>
  <c r="H56" i="18"/>
  <c r="J56" i="18"/>
  <c r="E57" i="18" s="1"/>
  <c r="J57" i="18" l="1"/>
  <c r="E58" i="18" s="1"/>
  <c r="H57" i="18"/>
  <c r="G57" i="18"/>
  <c r="G58" i="18" l="1"/>
  <c r="G60" i="18" s="1"/>
  <c r="J58" i="18"/>
  <c r="E59" i="18" s="1"/>
  <c r="J59" i="18" s="1"/>
  <c r="H58" i="18"/>
  <c r="H60" i="18" s="1"/>
  <c r="E26" i="1" s="1"/>
  <c r="F26" i="1" s="1"/>
  <c r="J60" i="18" l="1"/>
  <c r="E29" i="3" s="1"/>
  <c r="E63" i="18"/>
  <c r="H63" i="18" l="1"/>
  <c r="G63" i="18"/>
  <c r="J63" i="18" l="1"/>
  <c r="E64" i="18" s="1"/>
  <c r="G64" i="18" l="1"/>
  <c r="H64" i="18"/>
  <c r="J64" i="18" l="1"/>
  <c r="E65" i="18" s="1"/>
  <c r="G65" i="18" l="1"/>
  <c r="H65" i="18"/>
  <c r="J65" i="18" l="1"/>
  <c r="E66" i="18" s="1"/>
  <c r="H66" i="18" l="1"/>
  <c r="G66" i="18"/>
  <c r="J66" i="18" l="1"/>
  <c r="E67" i="18" s="1"/>
  <c r="H67" i="18" l="1"/>
  <c r="G67" i="18"/>
  <c r="J67" i="18" l="1"/>
  <c r="E68" i="18" s="1"/>
  <c r="H68" i="18" l="1"/>
  <c r="G68" i="18"/>
  <c r="J68" i="18" s="1"/>
  <c r="E69" i="18" s="1"/>
  <c r="H69" i="18" l="1"/>
  <c r="G69" i="18"/>
  <c r="J69" i="18" s="1"/>
  <c r="E70" i="18" s="1"/>
  <c r="H70" i="18" l="1"/>
  <c r="G70" i="18"/>
  <c r="J70" i="18" s="1"/>
  <c r="E71" i="18" s="1"/>
  <c r="H71" i="18" l="1"/>
  <c r="G71" i="18"/>
  <c r="J71" i="18" s="1"/>
  <c r="E72" i="18" s="1"/>
  <c r="H72" i="18" l="1"/>
  <c r="G72" i="18"/>
  <c r="J72" i="18" s="1"/>
  <c r="E73" i="18" s="1"/>
  <c r="G73" i="18" l="1"/>
  <c r="H73" i="18"/>
  <c r="J73" i="18" l="1"/>
  <c r="E74" i="18" s="1"/>
  <c r="H74" i="18" s="1"/>
  <c r="H76" i="18" s="1"/>
  <c r="C26" i="1" s="1"/>
  <c r="G74" i="18" l="1"/>
  <c r="G76" i="18" s="1"/>
  <c r="I76" i="18" l="1"/>
  <c r="J74" i="18" l="1"/>
  <c r="E75" i="18" s="1"/>
  <c r="J75" i="18" s="1"/>
  <c r="J76" i="18" s="1"/>
  <c r="D29" i="3" s="1"/>
  <c r="E79" i="18" l="1"/>
  <c r="G79" i="18" l="1"/>
  <c r="J79" i="18" s="1"/>
  <c r="E80" i="18" s="1"/>
  <c r="H80" i="18" s="1"/>
  <c r="H79" i="18"/>
  <c r="G80" i="18" l="1"/>
  <c r="J80" i="18" l="1"/>
  <c r="E81" i="18" s="1"/>
  <c r="H81" i="18" l="1"/>
  <c r="G81" i="18"/>
  <c r="J81" i="18" l="1"/>
  <c r="E82" i="18" s="1"/>
  <c r="H82" i="18" l="1"/>
  <c r="G82" i="18"/>
  <c r="J82" i="18" s="1"/>
  <c r="E83" i="18" s="1"/>
  <c r="H83" i="18" l="1"/>
  <c r="G83" i="18"/>
  <c r="J83" i="18" s="1"/>
  <c r="E84" i="18" s="1"/>
  <c r="H84" i="18" l="1"/>
  <c r="G84" i="18"/>
  <c r="J84" i="18" s="1"/>
  <c r="E85" i="18" s="1"/>
  <c r="H85" i="18" l="1"/>
  <c r="G85" i="18"/>
  <c r="J85" i="18" s="1"/>
  <c r="E86" i="18" s="1"/>
  <c r="H86" i="18" l="1"/>
  <c r="G86" i="18"/>
  <c r="J86" i="18" s="1"/>
  <c r="E87" i="18" s="1"/>
  <c r="H87" i="18" l="1"/>
  <c r="G87" i="18"/>
  <c r="J87" i="18" s="1"/>
  <c r="E88" i="18" s="1"/>
  <c r="H88" i="18" l="1"/>
  <c r="G88" i="18"/>
  <c r="J88" i="18" s="1"/>
  <c r="E89" i="18" s="1"/>
  <c r="G89" i="18" l="1"/>
  <c r="H89" i="18"/>
  <c r="J89" i="18" l="1"/>
  <c r="E90" i="18" s="1"/>
  <c r="G90" i="18" s="1"/>
  <c r="G92" i="18" s="1"/>
  <c r="H90" i="18" l="1"/>
  <c r="H92" i="18" s="1"/>
  <c r="I92" i="18" l="1"/>
  <c r="J90" i="18"/>
  <c r="E91" i="18" s="1"/>
  <c r="J91" i="18" s="1"/>
  <c r="E95" i="18" l="1"/>
  <c r="J92" i="18"/>
  <c r="H95" i="18" l="1"/>
  <c r="H108" i="18" s="1"/>
  <c r="G95" i="18"/>
  <c r="I95" i="18" l="1"/>
  <c r="I108" i="18" l="1"/>
  <c r="J95" i="18"/>
  <c r="E96" i="18" s="1"/>
  <c r="H96" i="18" l="1"/>
  <c r="G96" i="18"/>
  <c r="G108" i="18" s="1"/>
  <c r="I96" i="18" l="1"/>
  <c r="J96" i="18" s="1"/>
  <c r="E97" i="18" s="1"/>
  <c r="H97" i="18" l="1"/>
  <c r="G97" i="18"/>
  <c r="I97" i="18" s="1"/>
  <c r="J97" i="18" s="1"/>
  <c r="E98" i="18" s="1"/>
  <c r="H98" i="18" l="1"/>
  <c r="G98" i="18"/>
  <c r="I98" i="18" s="1"/>
  <c r="J98" i="18" s="1"/>
  <c r="E99" i="18" s="1"/>
  <c r="H99" i="18" l="1"/>
  <c r="G99" i="18"/>
  <c r="I99" i="18" s="1"/>
  <c r="J99" i="18" s="1"/>
  <c r="E100" i="18" s="1"/>
  <c r="H100" i="18" l="1"/>
  <c r="G100" i="18"/>
  <c r="I100" i="18" s="1"/>
  <c r="J100" i="18" s="1"/>
  <c r="E101" i="18" s="1"/>
  <c r="H101" i="18" l="1"/>
  <c r="G101" i="18"/>
  <c r="I101" i="18" l="1"/>
  <c r="J101" i="18" s="1"/>
  <c r="E102" i="18" s="1"/>
  <c r="H102" i="18" s="1"/>
  <c r="G102" i="18" l="1"/>
  <c r="I102" i="18" s="1"/>
  <c r="J102" i="18" s="1"/>
  <c r="E103" i="18" s="1"/>
  <c r="H103" i="18" s="1"/>
  <c r="G103" i="18" l="1"/>
  <c r="I103" i="18" s="1"/>
  <c r="J103" i="18" s="1"/>
  <c r="E104" i="18" s="1"/>
  <c r="H104" i="18" s="1"/>
  <c r="G104" i="18" l="1"/>
  <c r="I104" i="18" s="1"/>
  <c r="J104" i="18" s="1"/>
  <c r="E105" i="18" s="1"/>
  <c r="H105" i="18" s="1"/>
  <c r="G105" i="18" l="1"/>
  <c r="I105" i="18" s="1"/>
  <c r="J105" i="18" s="1"/>
  <c r="E106" i="18" s="1"/>
  <c r="H106" i="18" s="1"/>
  <c r="G106" i="18" l="1"/>
  <c r="I106" i="18" s="1"/>
  <c r="J106" i="18" s="1"/>
  <c r="E107" i="18" s="1"/>
  <c r="J107" i="18" s="1"/>
  <c r="E111" i="18" s="1"/>
  <c r="J108" i="18" l="1"/>
  <c r="G111" i="18"/>
  <c r="G124" i="18" s="1"/>
  <c r="H111" i="18"/>
  <c r="H124" i="18" s="1"/>
  <c r="I111" i="18" l="1"/>
  <c r="I124" i="18" l="1"/>
  <c r="J111" i="18"/>
  <c r="E112" i="18" s="1"/>
  <c r="H112" i="18" l="1"/>
  <c r="G112" i="18"/>
  <c r="I112" i="18" s="1"/>
  <c r="J112" i="18" s="1"/>
  <c r="E113" i="18" s="1"/>
  <c r="H113" i="18" l="1"/>
  <c r="G113" i="18"/>
  <c r="I113" i="18" s="1"/>
  <c r="J113" i="18" s="1"/>
  <c r="E114" i="18" s="1"/>
  <c r="H114" i="18" l="1"/>
  <c r="G114" i="18"/>
  <c r="I114" i="18" l="1"/>
  <c r="J114" i="18" s="1"/>
  <c r="E115" i="18" s="1"/>
  <c r="G115" i="18" s="1"/>
  <c r="H115" i="18" l="1"/>
  <c r="I115" i="18" s="1"/>
  <c r="J115" i="18" s="1"/>
  <c r="E116" i="18" s="1"/>
  <c r="H116" i="18" s="1"/>
  <c r="G116" i="18" l="1"/>
  <c r="I116" i="18" s="1"/>
  <c r="J116" i="18" s="1"/>
  <c r="E117" i="18" s="1"/>
  <c r="G117" i="18" s="1"/>
  <c r="H117" i="18" l="1"/>
  <c r="I117" i="18" s="1"/>
  <c r="J117" i="18" s="1"/>
  <c r="E118" i="18" s="1"/>
  <c r="H118" i="18" s="1"/>
  <c r="G118" i="18" l="1"/>
  <c r="I118" i="18" s="1"/>
  <c r="J118" i="18" s="1"/>
  <c r="E119" i="18" s="1"/>
  <c r="H119" i="18" s="1"/>
  <c r="G119" i="18" l="1"/>
  <c r="I119" i="18" s="1"/>
  <c r="J119" i="18" s="1"/>
  <c r="E120" i="18" s="1"/>
  <c r="H120" i="18" s="1"/>
  <c r="G120" i="18" l="1"/>
  <c r="I120" i="18" s="1"/>
  <c r="J120" i="18" s="1"/>
  <c r="E121" i="18" s="1"/>
  <c r="H121" i="18" s="1"/>
  <c r="G121" i="18" l="1"/>
  <c r="I121" i="18" s="1"/>
  <c r="J121" i="18" s="1"/>
  <c r="E122" i="18" s="1"/>
  <c r="H122" i="18" s="1"/>
  <c r="G122" i="18" l="1"/>
  <c r="I122" i="18" s="1"/>
  <c r="J122" i="18" s="1"/>
  <c r="E123" i="18" s="1"/>
  <c r="J123" i="18" s="1"/>
  <c r="J124" i="18" s="1"/>
  <c r="E16" i="1" l="1"/>
  <c r="C16" i="6"/>
  <c r="H27" i="1"/>
  <c r="H25" i="1"/>
  <c r="H24" i="1"/>
  <c r="H23" i="1"/>
  <c r="H22" i="1"/>
  <c r="H21" i="1"/>
  <c r="H20" i="1"/>
  <c r="H19" i="1"/>
  <c r="H18" i="1"/>
  <c r="H17" i="1"/>
  <c r="H16" i="1"/>
  <c r="H15" i="1"/>
  <c r="H12" i="1"/>
  <c r="H11" i="1"/>
  <c r="E12" i="1"/>
  <c r="C12" i="1" s="1"/>
  <c r="C8" i="6"/>
  <c r="E11" i="1" l="1"/>
  <c r="C16" i="1"/>
  <c r="G14" i="1"/>
  <c r="H14" i="1" s="1"/>
  <c r="H13" i="1"/>
  <c r="C11" i="1" l="1"/>
  <c r="E13" i="3" l="1"/>
  <c r="E25" i="3" s="1"/>
  <c r="E27" i="3" s="1"/>
  <c r="D26" i="1" l="1"/>
  <c r="E27" i="1"/>
  <c r="F27" i="1" s="1"/>
  <c r="F23" i="1"/>
  <c r="F18" i="1"/>
  <c r="F22" i="1"/>
  <c r="F25" i="1"/>
  <c r="F17" i="1"/>
  <c r="F21" i="1"/>
  <c r="F19" i="1"/>
  <c r="F20" i="1"/>
  <c r="F15" i="1"/>
  <c r="F24" i="1"/>
  <c r="E14" i="1"/>
  <c r="F14" i="1" s="1"/>
  <c r="F16" i="1"/>
  <c r="E13" i="1"/>
  <c r="F13" i="1" s="1"/>
  <c r="F12" i="1"/>
  <c r="F11" i="1"/>
  <c r="D15" i="1"/>
  <c r="D23" i="1"/>
  <c r="D22" i="1"/>
  <c r="D12" i="1"/>
  <c r="D11" i="1"/>
  <c r="D21" i="1"/>
  <c r="C13" i="1"/>
  <c r="D13" i="1" s="1"/>
  <c r="D20" i="1"/>
  <c r="D18" i="1"/>
  <c r="D25" i="1"/>
  <c r="C14" i="1"/>
  <c r="D14" i="1" s="1"/>
  <c r="D24" i="1"/>
  <c r="D19" i="1"/>
  <c r="D16" i="1"/>
  <c r="D17" i="1"/>
  <c r="C27" i="1" l="1"/>
  <c r="D27" i="1" s="1"/>
  <c r="D13" i="3"/>
  <c r="D25" i="3" s="1"/>
  <c r="D27" i="3" s="1"/>
  <c r="H23" i="17" l="1"/>
  <c r="H27" i="17"/>
  <c r="H19" i="17"/>
  <c r="H18" i="17"/>
  <c r="H16" i="17"/>
  <c r="G14" i="17"/>
  <c r="G13" i="17"/>
  <c r="G12" i="17"/>
  <c r="H26" i="17"/>
  <c r="H25" i="17"/>
  <c r="H24" i="17"/>
  <c r="H21" i="17"/>
  <c r="H20" i="17"/>
  <c r="H17" i="17"/>
  <c r="H22" i="17"/>
  <c r="C90" i="15"/>
  <c r="C89" i="15"/>
  <c r="C88" i="15"/>
  <c r="C87" i="15"/>
  <c r="C86" i="15"/>
  <c r="C85" i="15"/>
  <c r="C84" i="15"/>
  <c r="C83" i="15"/>
  <c r="C82" i="15"/>
  <c r="C81" i="15"/>
  <c r="C80" i="15"/>
  <c r="C79" i="15"/>
  <c r="C90" i="14"/>
  <c r="C89" i="14"/>
  <c r="C88" i="14"/>
  <c r="C87" i="14"/>
  <c r="C86" i="14"/>
  <c r="C85" i="14"/>
  <c r="C84" i="14"/>
  <c r="C83" i="14"/>
  <c r="C82" i="14"/>
  <c r="C81" i="14"/>
  <c r="C80" i="14"/>
  <c r="C79" i="14"/>
  <c r="H123" i="15"/>
  <c r="H107" i="15"/>
  <c r="H91" i="15"/>
  <c r="H75" i="15"/>
  <c r="C74" i="15"/>
  <c r="C73" i="15"/>
  <c r="C72" i="15"/>
  <c r="C71" i="15"/>
  <c r="C70" i="15"/>
  <c r="C69" i="15"/>
  <c r="C68" i="15"/>
  <c r="C67" i="15"/>
  <c r="C66" i="15"/>
  <c r="C65" i="15"/>
  <c r="C64" i="15"/>
  <c r="C63" i="15"/>
  <c r="A62" i="15"/>
  <c r="A78" i="15" s="1"/>
  <c r="H59" i="15"/>
  <c r="C58" i="15"/>
  <c r="C57" i="15"/>
  <c r="C56" i="15"/>
  <c r="C55" i="15"/>
  <c r="C54" i="15"/>
  <c r="C53" i="15"/>
  <c r="C52" i="15"/>
  <c r="C51" i="15"/>
  <c r="C50" i="15"/>
  <c r="C49" i="15"/>
  <c r="C48" i="15"/>
  <c r="C47" i="15"/>
  <c r="A46" i="15"/>
  <c r="A60" i="15" s="1"/>
  <c r="A44" i="15"/>
  <c r="H43" i="15"/>
  <c r="C42" i="15"/>
  <c r="C41" i="15"/>
  <c r="C40" i="15"/>
  <c r="C39" i="15"/>
  <c r="C38" i="15"/>
  <c r="C37" i="15"/>
  <c r="C36" i="15"/>
  <c r="C35" i="15"/>
  <c r="C34" i="15"/>
  <c r="C33" i="15"/>
  <c r="C32" i="15"/>
  <c r="C31" i="15"/>
  <c r="A31" i="15"/>
  <c r="A32" i="15" s="1"/>
  <c r="A33" i="15" s="1"/>
  <c r="A34" i="15" s="1"/>
  <c r="A35" i="15" s="1"/>
  <c r="A36" i="15" s="1"/>
  <c r="A37" i="15" s="1"/>
  <c r="A38" i="15" s="1"/>
  <c r="A39" i="15" s="1"/>
  <c r="A40" i="15" s="1"/>
  <c r="A41" i="15" s="1"/>
  <c r="A42" i="15" s="1"/>
  <c r="A47" i="15" s="1"/>
  <c r="A48" i="15" s="1"/>
  <c r="A49" i="15" s="1"/>
  <c r="A50" i="15" s="1"/>
  <c r="A51" i="15" s="1"/>
  <c r="A52" i="15" s="1"/>
  <c r="A53" i="15" s="1"/>
  <c r="A54" i="15" s="1"/>
  <c r="A55" i="15" s="1"/>
  <c r="A56" i="15" s="1"/>
  <c r="A57" i="15" s="1"/>
  <c r="A58" i="15" s="1"/>
  <c r="A63" i="15" s="1"/>
  <c r="A64" i="15" s="1"/>
  <c r="A65" i="15" s="1"/>
  <c r="A66" i="15" s="1"/>
  <c r="A67" i="15" s="1"/>
  <c r="A68" i="15" s="1"/>
  <c r="A69" i="15" s="1"/>
  <c r="A70" i="15" s="1"/>
  <c r="A71" i="15" s="1"/>
  <c r="A72" i="15" s="1"/>
  <c r="A73" i="15" s="1"/>
  <c r="A74" i="15" s="1"/>
  <c r="A79" i="15" s="1"/>
  <c r="F9" i="15"/>
  <c r="E9" i="15"/>
  <c r="E9" i="15" a="1"/>
  <c r="D7" i="11"/>
  <c r="D7" i="3"/>
  <c r="E13" i="10"/>
  <c r="D13" i="10" s="1"/>
  <c r="C74" i="14"/>
  <c r="C73" i="14"/>
  <c r="C72" i="14"/>
  <c r="C71" i="14"/>
  <c r="C70" i="14"/>
  <c r="C69" i="14"/>
  <c r="C68" i="14"/>
  <c r="C67" i="14"/>
  <c r="C66" i="14"/>
  <c r="C65" i="14"/>
  <c r="C64" i="14"/>
  <c r="C63" i="14"/>
  <c r="F14" i="10"/>
  <c r="C58" i="14"/>
  <c r="C57" i="14"/>
  <c r="C56" i="14"/>
  <c r="C55" i="14"/>
  <c r="C54" i="14"/>
  <c r="C53" i="14"/>
  <c r="C52" i="14"/>
  <c r="C51" i="14"/>
  <c r="C50" i="14"/>
  <c r="C49" i="14"/>
  <c r="C48" i="14"/>
  <c r="C47" i="14"/>
  <c r="C42" i="14"/>
  <c r="C41" i="14"/>
  <c r="C40" i="14"/>
  <c r="C39" i="14"/>
  <c r="C38" i="14"/>
  <c r="C37" i="14"/>
  <c r="C36" i="14"/>
  <c r="C35" i="14"/>
  <c r="C34" i="14"/>
  <c r="C33" i="14"/>
  <c r="C32" i="14"/>
  <c r="C31" i="14"/>
  <c r="H31" i="14" s="1"/>
  <c r="A31" i="14"/>
  <c r="G28" i="17" l="1"/>
  <c r="H15" i="17"/>
  <c r="H12" i="17"/>
  <c r="H14" i="17"/>
  <c r="H13" i="17"/>
  <c r="A80" i="15"/>
  <c r="A94" i="15"/>
  <c r="A92" i="15"/>
  <c r="A76" i="15"/>
  <c r="E9" i="14" a="1"/>
  <c r="E9" i="14" s="1"/>
  <c r="F9" i="14"/>
  <c r="H43" i="14"/>
  <c r="H59" i="14"/>
  <c r="H75" i="14"/>
  <c r="H91" i="14"/>
  <c r="H107" i="14"/>
  <c r="H123" i="14"/>
  <c r="A108" i="15" l="1"/>
  <c r="A110" i="15"/>
  <c r="A124" i="15" s="1"/>
  <c r="A81" i="15"/>
  <c r="A32" i="14"/>
  <c r="A44" i="14"/>
  <c r="A46" i="14"/>
  <c r="G30" i="17" l="1"/>
  <c r="A82" i="15"/>
  <c r="A60" i="14"/>
  <c r="A62" i="14"/>
  <c r="A33" i="14"/>
  <c r="G33" i="17" l="1"/>
  <c r="G35" i="17" s="1"/>
  <c r="G37" i="17" s="1"/>
  <c r="A83" i="15"/>
  <c r="A34" i="14"/>
  <c r="A76" i="14"/>
  <c r="A78" i="14"/>
  <c r="A84" i="15" l="1"/>
  <c r="A94" i="14"/>
  <c r="A92" i="14"/>
  <c r="A35" i="14"/>
  <c r="A85" i="15" l="1"/>
  <c r="A36" i="14"/>
  <c r="A108" i="14"/>
  <c r="A110" i="14"/>
  <c r="A124" i="14" s="1"/>
  <c r="A86" i="15" l="1"/>
  <c r="A37" i="14"/>
  <c r="A87" i="15" l="1"/>
  <c r="A38" i="14"/>
  <c r="A88" i="15" l="1"/>
  <c r="A39" i="14"/>
  <c r="A89" i="15" l="1"/>
  <c r="A40" i="14"/>
  <c r="A90" i="15" l="1"/>
  <c r="A41" i="14"/>
  <c r="A95" i="15" l="1"/>
  <c r="A42" i="14"/>
  <c r="A96" i="15" l="1"/>
  <c r="A47" i="14"/>
  <c r="A97" i="15" l="1"/>
  <c r="A48" i="14"/>
  <c r="A98" i="15" l="1"/>
  <c r="A49" i="14"/>
  <c r="A99" i="15" l="1"/>
  <c r="A50" i="14"/>
  <c r="A100" i="15" l="1"/>
  <c r="A51" i="14"/>
  <c r="A101" i="15" l="1"/>
  <c r="A52" i="14"/>
  <c r="A102" i="15" l="1"/>
  <c r="A53" i="14"/>
  <c r="A103" i="15" l="1"/>
  <c r="A54" i="14"/>
  <c r="A104" i="15" l="1"/>
  <c r="A55" i="14"/>
  <c r="A105" i="15" l="1"/>
  <c r="A56" i="14"/>
  <c r="A106" i="15" l="1"/>
  <c r="A57" i="14"/>
  <c r="A111" i="15" l="1"/>
  <c r="A58" i="14"/>
  <c r="A112" i="15" l="1"/>
  <c r="A63" i="14"/>
  <c r="A113" i="15" l="1"/>
  <c r="A64" i="14"/>
  <c r="A114" i="15" l="1"/>
  <c r="A65" i="14"/>
  <c r="A115" i="15" l="1"/>
  <c r="A66" i="14"/>
  <c r="A116" i="15" l="1"/>
  <c r="A67" i="14"/>
  <c r="A117" i="15" l="1"/>
  <c r="A68" i="14"/>
  <c r="A118" i="15" l="1"/>
  <c r="A69" i="14"/>
  <c r="A119" i="15" l="1"/>
  <c r="A70" i="14"/>
  <c r="A120" i="15" l="1"/>
  <c r="A71" i="14"/>
  <c r="A121" i="15" l="1"/>
  <c r="A72" i="14"/>
  <c r="A122" i="15" l="1"/>
  <c r="A73" i="14"/>
  <c r="A74" i="14" l="1"/>
  <c r="A79" i="14" l="1"/>
  <c r="A80" i="14" l="1"/>
  <c r="A81" i="14" l="1"/>
  <c r="A82" i="14" l="1"/>
  <c r="A83" i="14" l="1"/>
  <c r="A84" i="14" l="1"/>
  <c r="A85" i="14" l="1"/>
  <c r="A86" i="14" l="1"/>
  <c r="A87" i="14" l="1"/>
  <c r="A88" i="14" l="1"/>
  <c r="A89" i="14" l="1"/>
  <c r="A90" i="14" l="1"/>
  <c r="A95" i="14" l="1"/>
  <c r="A96" i="14" l="1"/>
  <c r="A97" i="14" l="1"/>
  <c r="A98" i="14" l="1"/>
  <c r="A99" i="14" l="1"/>
  <c r="A100" i="14" l="1"/>
  <c r="A101" i="14" l="1"/>
  <c r="A102" i="14" l="1"/>
  <c r="A103" i="14" l="1"/>
  <c r="A104" i="14" l="1"/>
  <c r="A105" i="14" l="1"/>
  <c r="A106" i="14" l="1"/>
  <c r="A111" i="14" l="1"/>
  <c r="A112" i="14" l="1"/>
  <c r="A113" i="14" l="1"/>
  <c r="A114" i="14" l="1"/>
  <c r="A115" i="14" l="1"/>
  <c r="A116" i="14" l="1"/>
  <c r="A117" i="14" l="1"/>
  <c r="A118" i="14" l="1"/>
  <c r="A119" i="14" l="1"/>
  <c r="A120" i="14" l="1"/>
  <c r="A121" i="14" l="1"/>
  <c r="A122" i="14" l="1"/>
  <c r="A2" i="11" l="1"/>
  <c r="A1" i="18" s="1"/>
  <c r="F7" i="11"/>
  <c r="E7" i="11"/>
  <c r="A1" i="14" l="1"/>
  <c r="A1" i="15"/>
  <c r="F7" i="3"/>
  <c r="E7" i="3"/>
  <c r="G31" i="15" l="1"/>
  <c r="I31" i="15" s="1"/>
  <c r="J31" i="15" s="1"/>
  <c r="E32" i="15" s="1"/>
  <c r="H31" i="15"/>
  <c r="G31" i="14"/>
  <c r="I31" i="14" s="1"/>
  <c r="H32" i="15" l="1"/>
  <c r="G32" i="15"/>
  <c r="I32" i="15" s="1"/>
  <c r="J32" i="15" s="1"/>
  <c r="E33" i="15" s="1"/>
  <c r="J31" i="14"/>
  <c r="E32" i="14" s="1"/>
  <c r="G33" i="15" l="1"/>
  <c r="I33" i="15" s="1"/>
  <c r="J33" i="15" s="1"/>
  <c r="E34" i="15" s="1"/>
  <c r="H33" i="15"/>
  <c r="H32" i="14"/>
  <c r="G32" i="14"/>
  <c r="I32" i="14" s="1"/>
  <c r="I34" i="15" l="1"/>
  <c r="J34" i="15" s="1"/>
  <c r="E35" i="15" s="1"/>
  <c r="H34" i="15"/>
  <c r="G34" i="15"/>
  <c r="J32" i="14"/>
  <c r="E33" i="14" s="1"/>
  <c r="H35" i="15" l="1"/>
  <c r="G35" i="15"/>
  <c r="I35" i="15" s="1"/>
  <c r="J35" i="15" s="1"/>
  <c r="E36" i="15" s="1"/>
  <c r="H33" i="14"/>
  <c r="G33" i="14"/>
  <c r="I33" i="14" l="1"/>
  <c r="J33" i="14" s="1"/>
  <c r="E34" i="14" s="1"/>
  <c r="H36" i="15"/>
  <c r="G36" i="15"/>
  <c r="H34" i="14" l="1"/>
  <c r="G34" i="14"/>
  <c r="I36" i="15"/>
  <c r="J36" i="15" s="1"/>
  <c r="E37" i="15" s="1"/>
  <c r="I34" i="14" l="1"/>
  <c r="J34" i="14" s="1"/>
  <c r="E35" i="14" s="1"/>
  <c r="G37" i="15"/>
  <c r="H37" i="15"/>
  <c r="G35" i="14" l="1"/>
  <c r="H35" i="14"/>
  <c r="I37" i="15"/>
  <c r="J37" i="15" s="1"/>
  <c r="E38" i="15" s="1"/>
  <c r="I35" i="14" l="1"/>
  <c r="J35" i="14" s="1"/>
  <c r="E36" i="14" s="1"/>
  <c r="H38" i="15"/>
  <c r="G38" i="15"/>
  <c r="H36" i="14" l="1"/>
  <c r="G36" i="14"/>
  <c r="I36" i="14" s="1"/>
  <c r="J36" i="14" s="1"/>
  <c r="E37" i="14" s="1"/>
  <c r="I38" i="15"/>
  <c r="J38" i="15" s="1"/>
  <c r="E39" i="15" s="1"/>
  <c r="G37" i="14" l="1"/>
  <c r="H37" i="14"/>
  <c r="H39" i="15"/>
  <c r="G39" i="15"/>
  <c r="I37" i="14" l="1"/>
  <c r="J37" i="14" s="1"/>
  <c r="E38" i="14" s="1"/>
  <c r="I39" i="15"/>
  <c r="J39" i="15" s="1"/>
  <c r="E40" i="15" s="1"/>
  <c r="H38" i="14" l="1"/>
  <c r="G38" i="14"/>
  <c r="G40" i="15"/>
  <c r="I40" i="15" s="1"/>
  <c r="J40" i="15" s="1"/>
  <c r="E41" i="15" s="1"/>
  <c r="H40" i="15"/>
  <c r="I38" i="14" l="1"/>
  <c r="J38" i="14" s="1"/>
  <c r="E39" i="14" s="1"/>
  <c r="H41" i="15"/>
  <c r="G41" i="15"/>
  <c r="G39" i="14" l="1"/>
  <c r="H39" i="14"/>
  <c r="I41" i="15"/>
  <c r="J41" i="15" s="1"/>
  <c r="E42" i="15" s="1"/>
  <c r="I39" i="14" l="1"/>
  <c r="J39" i="14" s="1"/>
  <c r="E40" i="14" s="1"/>
  <c r="H42" i="15"/>
  <c r="H44" i="15" s="1"/>
  <c r="G42" i="15"/>
  <c r="H40" i="14" l="1"/>
  <c r="G40" i="14"/>
  <c r="I42" i="15"/>
  <c r="J42" i="15" s="1"/>
  <c r="E43" i="15" s="1"/>
  <c r="I40" i="14" l="1"/>
  <c r="G43" i="15"/>
  <c r="G44" i="15" s="1"/>
  <c r="J43" i="15"/>
  <c r="I44" i="15"/>
  <c r="J40" i="14" l="1"/>
  <c r="E41" i="14" s="1"/>
  <c r="J44" i="15"/>
  <c r="E47" i="15"/>
  <c r="C23" i="15"/>
  <c r="C24" i="15" s="1"/>
  <c r="H41" i="14" l="1"/>
  <c r="G41" i="14"/>
  <c r="H47" i="15"/>
  <c r="G47" i="15"/>
  <c r="I47" i="15" s="1"/>
  <c r="J47" i="15" s="1"/>
  <c r="E48" i="15" s="1"/>
  <c r="I41" i="14" l="1"/>
  <c r="H48" i="15"/>
  <c r="G48" i="15"/>
  <c r="I48" i="15" s="1"/>
  <c r="J41" i="14" l="1"/>
  <c r="E42" i="14" s="1"/>
  <c r="J48" i="15"/>
  <c r="E49" i="15" s="1"/>
  <c r="H49" i="15" s="1"/>
  <c r="G49" i="15"/>
  <c r="H42" i="14" l="1"/>
  <c r="H44" i="14" s="1"/>
  <c r="F16" i="10" s="1"/>
  <c r="G42" i="14"/>
  <c r="I49" i="15"/>
  <c r="A2" i="3"/>
  <c r="F29" i="4"/>
  <c r="F28" i="4"/>
  <c r="F25" i="4"/>
  <c r="F20" i="4"/>
  <c r="F18" i="10" l="1"/>
  <c r="F20" i="10" s="1"/>
  <c r="F23" i="10" s="1"/>
  <c r="F25" i="10" s="1"/>
  <c r="I42" i="14"/>
  <c r="I44" i="14" s="1"/>
  <c r="J49" i="15"/>
  <c r="E50" i="15" s="1"/>
  <c r="G28" i="1"/>
  <c r="E20" i="4"/>
  <c r="E25" i="4" s="1"/>
  <c r="F30" i="4"/>
  <c r="F32" i="4" s="1"/>
  <c r="F27" i="10" l="1"/>
  <c r="F30" i="11"/>
  <c r="F31" i="11" s="1"/>
  <c r="J42" i="14"/>
  <c r="E43" i="14" s="1"/>
  <c r="G50" i="15"/>
  <c r="I50" i="15" s="1"/>
  <c r="H50" i="15"/>
  <c r="G30" i="1"/>
  <c r="G43" i="14" l="1"/>
  <c r="G44" i="14" s="1"/>
  <c r="J43" i="14"/>
  <c r="G33" i="1"/>
  <c r="G35" i="1" s="1"/>
  <c r="J50" i="15"/>
  <c r="E51" i="15" s="1"/>
  <c r="E28" i="1"/>
  <c r="E30" i="1" s="1"/>
  <c r="E29" i="4"/>
  <c r="E30" i="4" s="1"/>
  <c r="E32" i="4" s="1"/>
  <c r="C23" i="14" l="1"/>
  <c r="C24" i="14" s="1"/>
  <c r="E47" i="14"/>
  <c r="J44" i="14"/>
  <c r="G37" i="1"/>
  <c r="H37" i="1" s="1"/>
  <c r="F35" i="3"/>
  <c r="F36" i="3" s="1"/>
  <c r="E33" i="1"/>
  <c r="E35" i="1" s="1"/>
  <c r="G51" i="15"/>
  <c r="I51" i="15" s="1"/>
  <c r="J51" i="15" s="1"/>
  <c r="E52" i="15" s="1"/>
  <c r="H51" i="15"/>
  <c r="G47" i="14" l="1"/>
  <c r="I47" i="14" s="1"/>
  <c r="J47" i="14" s="1"/>
  <c r="E48" i="14" s="1"/>
  <c r="H47" i="14"/>
  <c r="E37" i="1"/>
  <c r="F37" i="1" s="1"/>
  <c r="E35" i="3"/>
  <c r="E36" i="3" s="1"/>
  <c r="I52" i="15"/>
  <c r="H52" i="15"/>
  <c r="G52" i="15"/>
  <c r="H48" i="14" l="1"/>
  <c r="G48" i="14"/>
  <c r="I48" i="14" s="1"/>
  <c r="J48" i="14" s="1"/>
  <c r="E49" i="14" s="1"/>
  <c r="J52" i="15"/>
  <c r="E53" i="15" s="1"/>
  <c r="G49" i="14" l="1"/>
  <c r="I49" i="14" s="1"/>
  <c r="J49" i="14" s="1"/>
  <c r="E50" i="14" s="1"/>
  <c r="H49" i="14"/>
  <c r="H53" i="15"/>
  <c r="G53" i="15"/>
  <c r="H50" i="14" l="1"/>
  <c r="G50" i="14"/>
  <c r="I50" i="14" s="1"/>
  <c r="I53" i="15"/>
  <c r="J53" i="15" s="1"/>
  <c r="E54" i="15" s="1"/>
  <c r="J50" i="14" l="1"/>
  <c r="E51" i="14" s="1"/>
  <c r="H51" i="14" s="1"/>
  <c r="G51" i="14"/>
  <c r="I54" i="15"/>
  <c r="H54" i="15"/>
  <c r="G54" i="15"/>
  <c r="I51" i="14" l="1"/>
  <c r="J51" i="14" s="1"/>
  <c r="E52" i="14" s="1"/>
  <c r="H52" i="14" s="1"/>
  <c r="J54" i="15"/>
  <c r="E55" i="15" s="1"/>
  <c r="G52" i="14" l="1"/>
  <c r="I52" i="14"/>
  <c r="J52" i="14" s="1"/>
  <c r="E53" i="14" s="1"/>
  <c r="G55" i="15"/>
  <c r="H55" i="15"/>
  <c r="H53" i="14" l="1"/>
  <c r="G53" i="14"/>
  <c r="I53" i="14" s="1"/>
  <c r="I55" i="15"/>
  <c r="J55" i="15" s="1"/>
  <c r="E56" i="15" s="1"/>
  <c r="J53" i="14" l="1"/>
  <c r="E54" i="14" s="1"/>
  <c r="G56" i="15"/>
  <c r="H56" i="15"/>
  <c r="G54" i="14" l="1"/>
  <c r="H54" i="14"/>
  <c r="I56" i="15"/>
  <c r="J56" i="15" s="1"/>
  <c r="E57" i="15" s="1"/>
  <c r="I54" i="14" l="1"/>
  <c r="J54" i="14" s="1"/>
  <c r="E55" i="14" s="1"/>
  <c r="G55" i="14" s="1"/>
  <c r="H55" i="14"/>
  <c r="H57" i="15"/>
  <c r="G57" i="15"/>
  <c r="I55" i="14" l="1"/>
  <c r="I57" i="15"/>
  <c r="J55" i="14" l="1"/>
  <c r="E56" i="14" s="1"/>
  <c r="J57" i="15"/>
  <c r="E58" i="15" s="1"/>
  <c r="H56" i="14" l="1"/>
  <c r="G56" i="14"/>
  <c r="G58" i="15"/>
  <c r="H58" i="15"/>
  <c r="H60" i="15" s="1"/>
  <c r="I56" i="14" l="1"/>
  <c r="J56" i="14" s="1"/>
  <c r="E57" i="14" s="1"/>
  <c r="G60" i="15"/>
  <c r="I58" i="15"/>
  <c r="G57" i="14" l="1"/>
  <c r="H57" i="14"/>
  <c r="I60" i="15"/>
  <c r="J58" i="15"/>
  <c r="E59" i="15" s="1"/>
  <c r="J59" i="15" s="1"/>
  <c r="C28" i="1"/>
  <c r="I57" i="14" l="1"/>
  <c r="J57" i="14" s="1"/>
  <c r="E58" i="14" s="1"/>
  <c r="H58" i="14" s="1"/>
  <c r="H60" i="14" s="1"/>
  <c r="E16" i="10" s="1"/>
  <c r="E63" i="15"/>
  <c r="J60" i="15"/>
  <c r="C26" i="15"/>
  <c r="F31" i="3"/>
  <c r="F37" i="3" s="1"/>
  <c r="C30" i="1"/>
  <c r="E18" i="10" l="1"/>
  <c r="E20" i="10" s="1"/>
  <c r="E23" i="10" s="1"/>
  <c r="E25" i="10" s="1"/>
  <c r="G58" i="14"/>
  <c r="G60" i="14" s="1"/>
  <c r="I58" i="14"/>
  <c r="C33" i="1"/>
  <c r="C35" i="1" s="1"/>
  <c r="F14" i="3"/>
  <c r="F20" i="3" s="1"/>
  <c r="H63" i="15"/>
  <c r="G63" i="15"/>
  <c r="I63" i="15" s="1"/>
  <c r="J63" i="15" s="1"/>
  <c r="E64" i="15" s="1"/>
  <c r="E27" i="10" l="1"/>
  <c r="E30" i="11"/>
  <c r="E31" i="11" s="1"/>
  <c r="I60" i="14"/>
  <c r="F21" i="11" s="1"/>
  <c r="J58" i="14"/>
  <c r="E59" i="14" s="1"/>
  <c r="J59" i="14" s="1"/>
  <c r="C37" i="1"/>
  <c r="D37" i="1" s="1"/>
  <c r="D35" i="3"/>
  <c r="D36" i="3" s="1"/>
  <c r="G64" i="15"/>
  <c r="I64" i="15" s="1"/>
  <c r="J64" i="15" s="1"/>
  <c r="E65" i="15" s="1"/>
  <c r="H64" i="15"/>
  <c r="E63" i="14" l="1"/>
  <c r="J60" i="14"/>
  <c r="C26" i="14"/>
  <c r="G65" i="15"/>
  <c r="I65" i="15" s="1"/>
  <c r="J65" i="15" s="1"/>
  <c r="E66" i="15" s="1"/>
  <c r="H65" i="15"/>
  <c r="F24" i="11" l="1"/>
  <c r="F22" i="11"/>
  <c r="F26" i="11" s="1"/>
  <c r="F32" i="11" s="1"/>
  <c r="H63" i="14"/>
  <c r="G63" i="14"/>
  <c r="I63" i="14" s="1"/>
  <c r="J63" i="14" s="1"/>
  <c r="E64" i="14" s="1"/>
  <c r="H66" i="15"/>
  <c r="G66" i="15"/>
  <c r="I66" i="15" s="1"/>
  <c r="J66" i="15" s="1"/>
  <c r="E67" i="15" s="1"/>
  <c r="F11" i="11" l="1"/>
  <c r="F15" i="11" s="1"/>
  <c r="H64" i="14"/>
  <c r="G64" i="14"/>
  <c r="I64" i="14" s="1"/>
  <c r="J64" i="14" s="1"/>
  <c r="E65" i="14" s="1"/>
  <c r="H67" i="15"/>
  <c r="G67" i="15"/>
  <c r="I67" i="15" s="1"/>
  <c r="J67" i="15" s="1"/>
  <c r="E68" i="15" s="1"/>
  <c r="G65" i="14" l="1"/>
  <c r="H65" i="14"/>
  <c r="H68" i="15"/>
  <c r="G68" i="15"/>
  <c r="I68" i="15" s="1"/>
  <c r="I65" i="14" l="1"/>
  <c r="J65" i="14" s="1"/>
  <c r="E66" i="14" s="1"/>
  <c r="J68" i="15"/>
  <c r="E69" i="15" s="1"/>
  <c r="H66" i="14" l="1"/>
  <c r="G66" i="14"/>
  <c r="I66" i="14" s="1"/>
  <c r="J66" i="14" s="1"/>
  <c r="E67" i="14" s="1"/>
  <c r="H69" i="15"/>
  <c r="G69" i="15"/>
  <c r="I69" i="15" s="1"/>
  <c r="G67" i="14" l="1"/>
  <c r="H67" i="14"/>
  <c r="J69" i="15"/>
  <c r="E70" i="15" s="1"/>
  <c r="I67" i="14" l="1"/>
  <c r="J67" i="14" s="1"/>
  <c r="E68" i="14" s="1"/>
  <c r="G68" i="14" s="1"/>
  <c r="H68" i="14"/>
  <c r="H70" i="15"/>
  <c r="G70" i="15"/>
  <c r="I70" i="15" s="1"/>
  <c r="J70" i="15" s="1"/>
  <c r="E71" i="15" s="1"/>
  <c r="I68" i="14" l="1"/>
  <c r="J68" i="14" s="1"/>
  <c r="E69" i="14" s="1"/>
  <c r="H71" i="15"/>
  <c r="G71" i="15"/>
  <c r="I71" i="15" s="1"/>
  <c r="J71" i="15" s="1"/>
  <c r="E72" i="15" s="1"/>
  <c r="H69" i="14" l="1"/>
  <c r="G69" i="14"/>
  <c r="H72" i="15"/>
  <c r="G72" i="15"/>
  <c r="I72" i="15" s="1"/>
  <c r="J72" i="15" s="1"/>
  <c r="E73" i="15" s="1"/>
  <c r="I69" i="14" l="1"/>
  <c r="J69" i="14" s="1"/>
  <c r="E70" i="14" s="1"/>
  <c r="H70" i="14" s="1"/>
  <c r="H73" i="15"/>
  <c r="G73" i="15"/>
  <c r="I73" i="15" s="1"/>
  <c r="J73" i="15" s="1"/>
  <c r="E74" i="15" s="1"/>
  <c r="G70" i="14" l="1"/>
  <c r="I70" i="14"/>
  <c r="J70" i="14" s="1"/>
  <c r="E71" i="14" s="1"/>
  <c r="G71" i="14" s="1"/>
  <c r="H74" i="15"/>
  <c r="H76" i="15" s="1"/>
  <c r="G74" i="15"/>
  <c r="H71" i="14" l="1"/>
  <c r="I71" i="14" s="1"/>
  <c r="J71" i="14" s="1"/>
  <c r="E72" i="14" s="1"/>
  <c r="G76" i="15"/>
  <c r="I74" i="15"/>
  <c r="G72" i="14" l="1"/>
  <c r="H72" i="14"/>
  <c r="I72" i="14" s="1"/>
  <c r="J72" i="14" s="1"/>
  <c r="E73" i="14" s="1"/>
  <c r="H73" i="14" s="1"/>
  <c r="J74" i="15"/>
  <c r="E75" i="15" s="1"/>
  <c r="J75" i="15" s="1"/>
  <c r="I76" i="15"/>
  <c r="E31" i="3" s="1"/>
  <c r="E37" i="3" s="1"/>
  <c r="E11" i="3" s="1"/>
  <c r="G73" i="14" l="1"/>
  <c r="I73" i="14"/>
  <c r="J73" i="14" s="1"/>
  <c r="E74" i="14" s="1"/>
  <c r="G74" i="14" s="1"/>
  <c r="E14" i="3"/>
  <c r="E20" i="3" s="1"/>
  <c r="J76" i="15"/>
  <c r="E79" i="15"/>
  <c r="H74" i="14" l="1"/>
  <c r="H76" i="14" s="1"/>
  <c r="D16" i="10" s="1"/>
  <c r="I74" i="14"/>
  <c r="G76" i="14"/>
  <c r="H79" i="15"/>
  <c r="G79" i="15"/>
  <c r="I79" i="15" s="1"/>
  <c r="J79" i="15" s="1"/>
  <c r="E80" i="15" s="1"/>
  <c r="D18" i="10" l="1"/>
  <c r="D20" i="10" s="1"/>
  <c r="D23" i="10" s="1"/>
  <c r="D25" i="10" s="1"/>
  <c r="I76" i="14"/>
  <c r="E21" i="11" s="1"/>
  <c r="J74" i="14"/>
  <c r="E75" i="14" s="1"/>
  <c r="J75" i="14" s="1"/>
  <c r="H80" i="15"/>
  <c r="G80" i="15"/>
  <c r="I80" i="15" s="1"/>
  <c r="J80" i="15" s="1"/>
  <c r="E81" i="15" s="1"/>
  <c r="D30" i="11" l="1"/>
  <c r="D31" i="11" s="1"/>
  <c r="D27" i="10"/>
  <c r="E79" i="14"/>
  <c r="J76" i="14"/>
  <c r="E24" i="11"/>
  <c r="E22" i="11"/>
  <c r="H81" i="15"/>
  <c r="G81" i="15"/>
  <c r="I81" i="15" s="1"/>
  <c r="J81" i="15" s="1"/>
  <c r="E82" i="15" s="1"/>
  <c r="E26" i="11" l="1"/>
  <c r="E32" i="11" s="1"/>
  <c r="E11" i="11" s="1"/>
  <c r="E15" i="11" s="1"/>
  <c r="H79" i="14"/>
  <c r="G79" i="14"/>
  <c r="I79" i="14" s="1"/>
  <c r="J79" i="14" s="1"/>
  <c r="E80" i="14" s="1"/>
  <c r="H82" i="15"/>
  <c r="G82" i="15"/>
  <c r="I82" i="15" s="1"/>
  <c r="J82" i="15"/>
  <c r="E83" i="15" s="1"/>
  <c r="G80" i="14" l="1"/>
  <c r="H80" i="14"/>
  <c r="H83" i="15"/>
  <c r="G83" i="15"/>
  <c r="I83" i="15" s="1"/>
  <c r="J83" i="15" s="1"/>
  <c r="E84" i="15" s="1"/>
  <c r="I80" i="14" l="1"/>
  <c r="J80" i="14" s="1"/>
  <c r="E81" i="14" s="1"/>
  <c r="H81" i="14" s="1"/>
  <c r="H84" i="15"/>
  <c r="G84" i="15"/>
  <c r="I84" i="15" s="1"/>
  <c r="J84" i="15" s="1"/>
  <c r="E85" i="15" s="1"/>
  <c r="G81" i="14" l="1"/>
  <c r="I81" i="14" s="1"/>
  <c r="J81" i="14" s="1"/>
  <c r="E82" i="14" s="1"/>
  <c r="G82" i="14" s="1"/>
  <c r="H85" i="15"/>
  <c r="G85" i="15"/>
  <c r="I85" i="15" s="1"/>
  <c r="J85" i="15" s="1"/>
  <c r="E86" i="15" s="1"/>
  <c r="H86" i="15" l="1"/>
  <c r="G86" i="15"/>
  <c r="I86" i="15" s="1"/>
  <c r="J86" i="15" s="1"/>
  <c r="E87" i="15" s="1"/>
  <c r="H82" i="14"/>
  <c r="I82" i="14"/>
  <c r="J82" i="14" s="1"/>
  <c r="E83" i="14" s="1"/>
  <c r="G83" i="14" s="1"/>
  <c r="G87" i="15" l="1"/>
  <c r="H87" i="15"/>
  <c r="H83" i="14"/>
  <c r="I83" i="14" s="1"/>
  <c r="I87" i="15" l="1"/>
  <c r="J87" i="15" s="1"/>
  <c r="E88" i="15" s="1"/>
  <c r="H88" i="15" s="1"/>
  <c r="G88" i="15"/>
  <c r="J83" i="14"/>
  <c r="E84" i="14" s="1"/>
  <c r="I88" i="15" l="1"/>
  <c r="H84" i="14"/>
  <c r="G84" i="14"/>
  <c r="I84" i="14" s="1"/>
  <c r="J88" i="15" l="1"/>
  <c r="E89" i="15" s="1"/>
  <c r="J84" i="14"/>
  <c r="E85" i="14" s="1"/>
  <c r="G89" i="15" l="1"/>
  <c r="H89" i="15"/>
  <c r="G85" i="14"/>
  <c r="H85" i="14"/>
  <c r="I89" i="15" l="1"/>
  <c r="I85" i="14"/>
  <c r="J85" i="14" s="1"/>
  <c r="E86" i="14" s="1"/>
  <c r="G86" i="14" s="1"/>
  <c r="J89" i="15" l="1"/>
  <c r="E90" i="15" s="1"/>
  <c r="H86" i="14"/>
  <c r="I86" i="14"/>
  <c r="J86" i="14" s="1"/>
  <c r="E87" i="14" s="1"/>
  <c r="H90" i="15" l="1"/>
  <c r="H92" i="15" s="1"/>
  <c r="G90" i="15"/>
  <c r="H87" i="14"/>
  <c r="G87" i="14"/>
  <c r="I87" i="14" s="1"/>
  <c r="J87" i="14" s="1"/>
  <c r="E88" i="14" s="1"/>
  <c r="I90" i="15" l="1"/>
  <c r="G92" i="15"/>
  <c r="H88" i="14"/>
  <c r="G88" i="14"/>
  <c r="I88" i="14" s="1"/>
  <c r="J88" i="14" s="1"/>
  <c r="E89" i="14" s="1"/>
  <c r="I92" i="15" l="1"/>
  <c r="D31" i="3" s="1"/>
  <c r="D37" i="3" s="1"/>
  <c r="D11" i="3" s="1"/>
  <c r="J90" i="15"/>
  <c r="E91" i="15" s="1"/>
  <c r="J91" i="15" s="1"/>
  <c r="G89" i="14"/>
  <c r="H89" i="14"/>
  <c r="D14" i="3" l="1"/>
  <c r="D20" i="3" s="1"/>
  <c r="J92" i="15"/>
  <c r="E95" i="15"/>
  <c r="I89" i="14"/>
  <c r="J89" i="14" s="1"/>
  <c r="E90" i="14" s="1"/>
  <c r="H90" i="14" s="1"/>
  <c r="H92" i="14" s="1"/>
  <c r="H95" i="15" l="1"/>
  <c r="H108" i="15" s="1"/>
  <c r="G95" i="15"/>
  <c r="G90" i="14"/>
  <c r="I90" i="14" s="1"/>
  <c r="I95" i="15" l="1"/>
  <c r="G92" i="14"/>
  <c r="J90" i="14"/>
  <c r="E91" i="14" s="1"/>
  <c r="J91" i="14" s="1"/>
  <c r="I92" i="14"/>
  <c r="I108" i="15" l="1"/>
  <c r="J95" i="15"/>
  <c r="E96" i="15" s="1"/>
  <c r="D21" i="11"/>
  <c r="D24" i="11" s="1"/>
  <c r="J92" i="14"/>
  <c r="E95" i="14"/>
  <c r="H96" i="15" l="1"/>
  <c r="G96" i="15"/>
  <c r="D22" i="11"/>
  <c r="D26" i="11" s="1"/>
  <c r="D32" i="11" s="1"/>
  <c r="D11" i="11" s="1"/>
  <c r="D15" i="11" s="1"/>
  <c r="H95" i="14"/>
  <c r="H108" i="14" s="1"/>
  <c r="G95" i="14"/>
  <c r="I96" i="15" l="1"/>
  <c r="J96" i="15" s="1"/>
  <c r="E97" i="15" s="1"/>
  <c r="G108" i="15"/>
  <c r="I95" i="14"/>
  <c r="G97" i="15" l="1"/>
  <c r="I97" i="15" s="1"/>
  <c r="J97" i="15" s="1"/>
  <c r="E98" i="15" s="1"/>
  <c r="H97" i="15"/>
  <c r="I108" i="14"/>
  <c r="J95" i="14"/>
  <c r="E96" i="14" s="1"/>
  <c r="H98" i="15" l="1"/>
  <c r="G98" i="15"/>
  <c r="I98" i="15" s="1"/>
  <c r="J98" i="15" s="1"/>
  <c r="E99" i="15" s="1"/>
  <c r="H96" i="14"/>
  <c r="G96" i="14"/>
  <c r="G99" i="15" l="1"/>
  <c r="H99" i="15"/>
  <c r="I96" i="14"/>
  <c r="J96" i="14" s="1"/>
  <c r="E97" i="14" s="1"/>
  <c r="G108" i="14"/>
  <c r="I99" i="15" l="1"/>
  <c r="J99" i="15" s="1"/>
  <c r="E100" i="15" s="1"/>
  <c r="H100" i="15" s="1"/>
  <c r="G100" i="15"/>
  <c r="G97" i="14"/>
  <c r="H97" i="14"/>
  <c r="I100" i="15" l="1"/>
  <c r="J100" i="15" s="1"/>
  <c r="E101" i="15" s="1"/>
  <c r="H101" i="15" s="1"/>
  <c r="G101" i="15"/>
  <c r="I97" i="14"/>
  <c r="J97" i="14" s="1"/>
  <c r="E98" i="14" s="1"/>
  <c r="G98" i="14" s="1"/>
  <c r="I101" i="15" l="1"/>
  <c r="J101" i="15" s="1"/>
  <c r="E102" i="15" s="1"/>
  <c r="G102" i="15"/>
  <c r="H102" i="15"/>
  <c r="I102" i="15" s="1"/>
  <c r="J102" i="15" s="1"/>
  <c r="E103" i="15" s="1"/>
  <c r="H98" i="14"/>
  <c r="I98" i="14" s="1"/>
  <c r="J98" i="14" s="1"/>
  <c r="E99" i="14" s="1"/>
  <c r="G103" i="15" l="1"/>
  <c r="H103" i="15"/>
  <c r="I103" i="15" s="1"/>
  <c r="J103" i="15" s="1"/>
  <c r="E104" i="15" s="1"/>
  <c r="H99" i="14"/>
  <c r="G99" i="14"/>
  <c r="H104" i="15" l="1"/>
  <c r="G104" i="15"/>
  <c r="I104" i="15" s="1"/>
  <c r="J104" i="15" s="1"/>
  <c r="E105" i="15" s="1"/>
  <c r="I99" i="14"/>
  <c r="J99" i="14" s="1"/>
  <c r="E100" i="14" s="1"/>
  <c r="G100" i="14" s="1"/>
  <c r="H105" i="15" l="1"/>
  <c r="G105" i="15"/>
  <c r="I105" i="15" s="1"/>
  <c r="J105" i="15" s="1"/>
  <c r="E106" i="15" s="1"/>
  <c r="H100" i="14"/>
  <c r="I100" i="14" s="1"/>
  <c r="J100" i="14" s="1"/>
  <c r="E101" i="14" s="1"/>
  <c r="G101" i="14" s="1"/>
  <c r="H106" i="15" l="1"/>
  <c r="G106" i="15"/>
  <c r="I106" i="15" s="1"/>
  <c r="J106" i="15" s="1"/>
  <c r="E107" i="15" s="1"/>
  <c r="J107" i="15" s="1"/>
  <c r="H101" i="14"/>
  <c r="I101" i="14" s="1"/>
  <c r="J101" i="14" s="1"/>
  <c r="E102" i="14" s="1"/>
  <c r="H102" i="14" s="1"/>
  <c r="E111" i="15" l="1"/>
  <c r="J108" i="15"/>
  <c r="G102" i="14"/>
  <c r="I102" i="14" s="1"/>
  <c r="J102" i="14" s="1"/>
  <c r="E103" i="14" s="1"/>
  <c r="H111" i="15" l="1"/>
  <c r="H124" i="15" s="1"/>
  <c r="G111" i="15"/>
  <c r="H103" i="14"/>
  <c r="G103" i="14"/>
  <c r="I103" i="14" s="1"/>
  <c r="J103" i="14" s="1"/>
  <c r="E104" i="14" s="1"/>
  <c r="G124" i="15" l="1"/>
  <c r="I111" i="15"/>
  <c r="G104" i="14"/>
  <c r="H104" i="14"/>
  <c r="I124" i="15" l="1"/>
  <c r="J111" i="15"/>
  <c r="E112" i="15" s="1"/>
  <c r="I104" i="14"/>
  <c r="J104" i="14" s="1"/>
  <c r="E105" i="14" s="1"/>
  <c r="H112" i="15" l="1"/>
  <c r="G112" i="15"/>
  <c r="I112" i="15" s="1"/>
  <c r="J112" i="15" s="1"/>
  <c r="E113" i="15" s="1"/>
  <c r="G105" i="14"/>
  <c r="H105" i="14"/>
  <c r="H113" i="15" l="1"/>
  <c r="G113" i="15"/>
  <c r="I113" i="15" s="1"/>
  <c r="J113" i="15" s="1"/>
  <c r="E114" i="15" s="1"/>
  <c r="I105" i="14"/>
  <c r="J105" i="14" s="1"/>
  <c r="E106" i="14" s="1"/>
  <c r="G106" i="14" s="1"/>
  <c r="H114" i="15" l="1"/>
  <c r="G114" i="15"/>
  <c r="I114" i="15" s="1"/>
  <c r="J114" i="15" s="1"/>
  <c r="E115" i="15" s="1"/>
  <c r="H106" i="14"/>
  <c r="I106" i="14"/>
  <c r="J106" i="14" s="1"/>
  <c r="E107" i="14" s="1"/>
  <c r="J107" i="14" s="1"/>
  <c r="E111" i="14" s="1"/>
  <c r="H115" i="15" l="1"/>
  <c r="G115" i="15"/>
  <c r="I115" i="15" s="1"/>
  <c r="J115" i="15" s="1"/>
  <c r="E116" i="15" s="1"/>
  <c r="J108" i="14"/>
  <c r="G111" i="14"/>
  <c r="G124" i="14" s="1"/>
  <c r="H111" i="14"/>
  <c r="H124" i="14" s="1"/>
  <c r="I111" i="14" l="1"/>
  <c r="I124" i="14" s="1"/>
  <c r="G116" i="15"/>
  <c r="H116" i="15"/>
  <c r="I116" i="15" s="1"/>
  <c r="J116" i="15" s="1"/>
  <c r="E117" i="15" s="1"/>
  <c r="J111" i="14" l="1"/>
  <c r="E112" i="14" s="1"/>
  <c r="G112" i="14" s="1"/>
  <c r="H117" i="15"/>
  <c r="G117" i="15"/>
  <c r="I117" i="15" s="1"/>
  <c r="J117" i="15" s="1"/>
  <c r="E118" i="15" s="1"/>
  <c r="H112" i="14"/>
  <c r="G118" i="15" l="1"/>
  <c r="H118" i="15"/>
  <c r="I118" i="15" s="1"/>
  <c r="J118" i="15" s="1"/>
  <c r="E119" i="15" s="1"/>
  <c r="I112" i="14"/>
  <c r="J112" i="14" s="1"/>
  <c r="E113" i="14" s="1"/>
  <c r="H113" i="14" s="1"/>
  <c r="G119" i="15" l="1"/>
  <c r="H119" i="15"/>
  <c r="G113" i="14"/>
  <c r="I113" i="14" s="1"/>
  <c r="J113" i="14" s="1"/>
  <c r="E114" i="14" s="1"/>
  <c r="H114" i="14" s="1"/>
  <c r="I119" i="15" l="1"/>
  <c r="J119" i="15" s="1"/>
  <c r="E120" i="15" s="1"/>
  <c r="G114" i="14"/>
  <c r="I114" i="14" s="1"/>
  <c r="J114" i="14" s="1"/>
  <c r="E115" i="14" s="1"/>
  <c r="H115" i="14" s="1"/>
  <c r="H120" i="15" l="1"/>
  <c r="G120" i="15"/>
  <c r="I120" i="15" s="1"/>
  <c r="J120" i="15" s="1"/>
  <c r="E121" i="15" s="1"/>
  <c r="G115" i="14"/>
  <c r="I115" i="14" s="1"/>
  <c r="J115" i="14" s="1"/>
  <c r="E116" i="14" s="1"/>
  <c r="G116" i="14" s="1"/>
  <c r="H121" i="15" l="1"/>
  <c r="G121" i="15"/>
  <c r="I121" i="15" s="1"/>
  <c r="J121" i="15" s="1"/>
  <c r="E122" i="15" s="1"/>
  <c r="H116" i="14"/>
  <c r="I116" i="14" s="1"/>
  <c r="J116" i="14" s="1"/>
  <c r="E117" i="14" s="1"/>
  <c r="G117" i="14" s="1"/>
  <c r="H122" i="15" l="1"/>
  <c r="G122" i="15"/>
  <c r="I122" i="15" s="1"/>
  <c r="J122" i="15" s="1"/>
  <c r="E123" i="15" s="1"/>
  <c r="J123" i="15" s="1"/>
  <c r="J124" i="15" s="1"/>
  <c r="H117" i="14"/>
  <c r="I117" i="14"/>
  <c r="J117" i="14" s="1"/>
  <c r="E118" i="14" s="1"/>
  <c r="H118" i="14" s="1"/>
  <c r="G118" i="14" l="1"/>
  <c r="I118" i="14" s="1"/>
  <c r="J118" i="14" s="1"/>
  <c r="E119" i="14" s="1"/>
  <c r="H119" i="14" s="1"/>
  <c r="G119" i="14" l="1"/>
  <c r="I119" i="14" s="1"/>
  <c r="J119" i="14" s="1"/>
  <c r="E120" i="14" s="1"/>
  <c r="G120" i="14" s="1"/>
  <c r="H120" i="14" l="1"/>
  <c r="I120" i="14"/>
  <c r="J120" i="14" s="1"/>
  <c r="E121" i="14" s="1"/>
  <c r="G121" i="14" s="1"/>
  <c r="H121" i="14" l="1"/>
  <c r="I121" i="14" s="1"/>
  <c r="J121" i="14" s="1"/>
  <c r="E122" i="14" s="1"/>
  <c r="H122" i="14" l="1"/>
  <c r="G122" i="14"/>
  <c r="I122" i="14" s="1"/>
  <c r="J122" i="14" s="1"/>
  <c r="E123" i="14" s="1"/>
  <c r="J123" i="14" s="1"/>
  <c r="J12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Valérie Dumas</author>
  </authors>
  <commentList>
    <comment ref="I4" authorId="0" shapeId="0" xr:uid="{2553DD29-2792-4F4B-88F9-C0D4F1DA54DA}">
      <text>
        <r>
          <rPr>
            <sz val="9"/>
            <color indexed="81"/>
            <rFont val="Tahoma"/>
            <family val="2"/>
          </rPr>
          <t>Joindre une référence au contrat ou au dernier renouvellement dans le dossier permanent CW.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Valérie Dumas</author>
  </authors>
  <commentList>
    <comment ref="I4" authorId="0" shapeId="0" xr:uid="{A023C27D-D385-4279-936E-EEC5ACEC5FC5}">
      <text>
        <r>
          <rPr>
            <sz val="9"/>
            <color indexed="81"/>
            <rFont val="Tahoma"/>
            <family val="2"/>
          </rPr>
          <t>Joindre une référence au contrat ou au dernier renouvellement dans le dossier permanent CW.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Valérie Dumas</author>
  </authors>
  <commentList>
    <comment ref="I4" authorId="0" shapeId="0" xr:uid="{9F415A0C-2FFA-479A-BDEE-D88E3B9DA269}">
      <text>
        <r>
          <rPr>
            <sz val="9"/>
            <color indexed="81"/>
            <rFont val="Tahoma"/>
            <family val="2"/>
          </rPr>
          <t>Joindre une référence au contrat ou au dernier renouvellement dans le dossier permanent CW.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Rachelle Fancelli</author>
  </authors>
  <commentList>
    <comment ref="E16" authorId="0" shapeId="0" xr:uid="{CB2DC0E9-6F45-4711-B4AE-7D5AB16624FB}">
      <text>
        <r>
          <rPr>
            <b/>
            <sz val="9"/>
            <color indexed="81"/>
            <rFont val="Tahoma"/>
            <family val="2"/>
          </rPr>
          <t>Rachelle Fancelli:</t>
        </r>
        <r>
          <rPr>
            <sz val="9"/>
            <color indexed="81"/>
            <rFont val="Tahoma"/>
            <family val="2"/>
          </rPr>
          <t xml:space="preserve">
Cie à Patrick Bélanger</t>
        </r>
      </text>
    </comment>
    <comment ref="F28" authorId="0" shapeId="0" xr:uid="{D60EDAB0-34B2-4969-9696-E2707615B6F5}">
      <text>
        <r>
          <rPr>
            <b/>
            <sz val="9"/>
            <color indexed="81"/>
            <rFont val="Tahoma"/>
            <family val="2"/>
          </rPr>
          <t>Rachelle Fancelli:</t>
        </r>
        <r>
          <rPr>
            <sz val="9"/>
            <color indexed="81"/>
            <rFont val="Tahoma"/>
            <family val="2"/>
          </rPr>
          <t xml:space="preserve">
Comprend ajustement:
Ecart aquistion     462 642
BNR                   80 914
Actions A                 100
       Placement Camion BS          543 656
+ ajustement du placement de Gestion Frédéric Lafleur contre le capital action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<sst xmlns="http://schemas.openxmlformats.org/spreadsheetml/2006/main" count="490" uniqueCount="177">
  <si>
    <t>GROUPE FRÉDÉRIC LAFLEUR</t>
  </si>
  <si>
    <t>.</t>
  </si>
  <si>
    <t>BILAN CUMULÉ</t>
  </si>
  <si>
    <t>AU 30 SEPTEMBRE 2021</t>
  </si>
  <si>
    <t>ACTIF</t>
  </si>
  <si>
    <t>À COURT TERME</t>
  </si>
  <si>
    <t xml:space="preserve"> Encaisse</t>
  </si>
  <si>
    <t>PASSIF</t>
  </si>
  <si>
    <t xml:space="preserve"> Découvert bancaire</t>
  </si>
  <si>
    <t xml:space="preserve"> Emprunts bancaires</t>
  </si>
  <si>
    <t xml:space="preserve"> Créditeurs</t>
  </si>
  <si>
    <t xml:space="preserve"> Dû à un administrateur, sans intérêt</t>
  </si>
  <si>
    <t xml:space="preserve"> Dû à une société ayant un administrateur commun</t>
  </si>
  <si>
    <t xml:space="preserve"> Impôts sur les bénéfices à payer</t>
  </si>
  <si>
    <t xml:space="preserve"> Dette à long terme échéant au cours du prochain exercice</t>
  </si>
  <si>
    <t xml:space="preserve"> Obligations à court terme découlant de contrats de location-acquisition</t>
  </si>
  <si>
    <t>DETTE À LONG TERME</t>
  </si>
  <si>
    <t>OBLIGATIONS DÉCOULANT DE CONTRATS DE LOCATION-ACQUISITION</t>
  </si>
  <si>
    <t>CAPITAUX PROPRES</t>
  </si>
  <si>
    <t xml:space="preserve"> Capital-actions</t>
  </si>
  <si>
    <t xml:space="preserve"> Bénéfices non répartis</t>
  </si>
  <si>
    <t>AU NOM DU CONSEIL D'ADMINISTRATION</t>
  </si>
  <si>
    <t>____________________________  Administrateur</t>
  </si>
  <si>
    <t>NOTES COMPLÉMENTAIRES</t>
  </si>
  <si>
    <t xml:space="preserve"> Assurances</t>
  </si>
  <si>
    <t xml:space="preserve"> Énergie</t>
  </si>
  <si>
    <t xml:space="preserve"> Entretien et réparations</t>
  </si>
  <si>
    <t xml:space="preserve"> Honoraires professionnels</t>
  </si>
  <si>
    <t>SYNDICAT DES COPROPRIÉTAIRES 165-187 JOSEPH-CARRIER</t>
  </si>
  <si>
    <t>PRODUITS</t>
  </si>
  <si>
    <t>AU 31 DÉCEMBRE 2022</t>
  </si>
  <si>
    <t xml:space="preserve"> Comptes clients </t>
  </si>
  <si>
    <t xml:space="preserve"> Créditeurs et frais courus</t>
  </si>
  <si>
    <t>1) STATUTS CONSTITUTIFS ET NATURE DES ACTIVITÉS</t>
  </si>
  <si>
    <t>Le syndicat de copropriété est constitué en vertu du Code civil du Québec. Au sens des lois fédérale et provinciale de l'impôt sur le revenu, il est un organisme sans but lucratif et est exempté de l'impôt sur les bénéfices. Ce syndicat a pour objet de régir les espaces communs des condos 165-187 Joseph-Carrier à Vaudreuil-Dorion.</t>
  </si>
  <si>
    <t>2) MÉTHODE DE COMPTABILITÉ APPLIQUÉE DANS LA PRÉPARATION DES INFORMATIONS FINANCIÈRES</t>
  </si>
  <si>
    <t>La méthode de comptabilité appliquée dans la préparation des informations financières se fonde sur le coût historique, compte tenu des opérations de trésorerie et de l'ajout des éléments suivants:</t>
  </si>
  <si>
    <t>- Comptes à recevoir;</t>
  </si>
  <si>
    <t>- Fournisseurs et charges à payer.</t>
  </si>
  <si>
    <t>2) CHANGEMENT DE PRÉSENTATION</t>
  </si>
  <si>
    <t>Certains chiffres de l'exercice 2021 ont été reclassés afin de rendre leur présentation identique à celle de l'exercice 2022.</t>
  </si>
  <si>
    <t xml:space="preserve"> Taxes et permis</t>
  </si>
  <si>
    <t xml:space="preserve"> Intérêts et frais bancaires</t>
  </si>
  <si>
    <t>GO-DENTISTE INC.</t>
  </si>
  <si>
    <t>CHIFFRES D'AFFAIRES</t>
  </si>
  <si>
    <t>Année 1</t>
  </si>
  <si>
    <t>FRAIS D'EXPLOITATION</t>
  </si>
  <si>
    <t xml:space="preserve"> Amortissement des immobilisations corporelles</t>
  </si>
  <si>
    <t xml:space="preserve"> Intérêts sur la dette à long terme</t>
  </si>
  <si>
    <t>BÉNÉFICE AVANT IMPÔTS SUR LES BÉNÉFICES</t>
  </si>
  <si>
    <t>IMPÔTS SUR LES BÉNÉFICES</t>
  </si>
  <si>
    <t xml:space="preserve"> Exigibles</t>
  </si>
  <si>
    <t>Année 2</t>
  </si>
  <si>
    <t xml:space="preserve"> Salaires et charges sociales</t>
  </si>
  <si>
    <t xml:space="preserve"> Honoraires des dentistes et denturologistes</t>
  </si>
  <si>
    <t xml:space="preserve"> Frais de laboratoire, fournitures dentaires et entretien d'équipements</t>
  </si>
  <si>
    <t xml:space="preserve"> Loyer</t>
  </si>
  <si>
    <t xml:space="preserve"> Publicité</t>
  </si>
  <si>
    <t xml:space="preserve"> Frais de déplacements</t>
  </si>
  <si>
    <t>Frais de laboratoires</t>
  </si>
  <si>
    <t>Taux</t>
  </si>
  <si>
    <t>Moyenne</t>
  </si>
  <si>
    <t>Immobilisations</t>
  </si>
  <si>
    <t>BÉNÉFICE NET</t>
  </si>
  <si>
    <t>Mobilier</t>
  </si>
  <si>
    <t>Solde début</t>
  </si>
  <si>
    <t>Acquisition</t>
  </si>
  <si>
    <t>Solde Année 1</t>
  </si>
  <si>
    <t>Am. Cul début</t>
  </si>
  <si>
    <t>Amortissement</t>
  </si>
  <si>
    <t>Solde Année 2</t>
  </si>
  <si>
    <t>Am. Cul fin Année 2</t>
  </si>
  <si>
    <t>Am. Cul fin Année 1</t>
  </si>
  <si>
    <t>IMMOBILISATIONS CORPORELLES</t>
  </si>
  <si>
    <t>RÉSULTATS PRÉVISIONNELS</t>
  </si>
  <si>
    <t>BILAN PRÉVISIONNEL</t>
  </si>
  <si>
    <t xml:space="preserve"> Papeterie, frais de bureau et frais informatiques</t>
  </si>
  <si>
    <t xml:space="preserve"> Télécommunications</t>
  </si>
  <si>
    <t>Frais de bureau</t>
  </si>
  <si>
    <t>Bâtiment</t>
  </si>
  <si>
    <t>Ajustement</t>
  </si>
  <si>
    <t xml:space="preserve">Solde de fin </t>
  </si>
  <si>
    <t>Capital</t>
  </si>
  <si>
    <t>Intérêts</t>
  </si>
  <si>
    <t>Paiement</t>
  </si>
  <si>
    <t>Nouvel emprunt</t>
  </si>
  <si>
    <t>Solde au début</t>
  </si>
  <si>
    <t xml:space="preserve">Taux </t>
  </si>
  <si>
    <t>/</t>
  </si>
  <si>
    <t>Cédule d'amortissement</t>
  </si>
  <si>
    <t>A -Sommaire</t>
  </si>
  <si>
    <t xml:space="preserve">Portion CT </t>
  </si>
  <si>
    <t>Écart</t>
  </si>
  <si>
    <t>Solde selon la cédule</t>
  </si>
  <si>
    <t>KK</t>
  </si>
  <si>
    <t>Solde au GL</t>
  </si>
  <si>
    <t xml:space="preserve">Description aux ÉF: </t>
  </si>
  <si>
    <t>Code de liaison</t>
  </si>
  <si>
    <t>Concilation du solde à la date de clôture</t>
  </si>
  <si>
    <t>NON</t>
  </si>
  <si>
    <t>OUI</t>
  </si>
  <si>
    <t>Effectuez choix</t>
  </si>
  <si>
    <t>Caution</t>
  </si>
  <si>
    <t>Garantie</t>
  </si>
  <si>
    <t>Ratios</t>
  </si>
  <si>
    <t>Capital seulement</t>
  </si>
  <si>
    <t>Commentaire</t>
  </si>
  <si>
    <t>Capital + intérêts</t>
  </si>
  <si>
    <t>Mensuel</t>
  </si>
  <si>
    <t>Variable BDC</t>
  </si>
  <si>
    <t>Variable</t>
  </si>
  <si>
    <t>Fixe</t>
  </si>
  <si>
    <t>Solde initial</t>
  </si>
  <si>
    <t>Principales informations</t>
  </si>
  <si>
    <t xml:space="preserve">ref. </t>
  </si>
  <si>
    <t xml:space="preserve">Suivi de l'emprunt </t>
  </si>
  <si>
    <t>Selon tableau d'amortissement</t>
  </si>
  <si>
    <t>Terrain</t>
  </si>
  <si>
    <t>Au jugement</t>
  </si>
  <si>
    <t>Année 3</t>
  </si>
  <si>
    <t>Solde Année 3</t>
  </si>
  <si>
    <t>Am. Cul fin Année 3</t>
  </si>
  <si>
    <t>SUR 3 ANS</t>
  </si>
  <si>
    <t xml:space="preserve"> Portion court terme de la dette long terme</t>
  </si>
  <si>
    <t>Selon schedule de prêt</t>
  </si>
  <si>
    <t>BÉNÉFICE AVANT IMPÔT ET AMORT. (BAIA)</t>
  </si>
  <si>
    <t>N.B. % affiché en fonction du Chiffre d'affaires</t>
  </si>
  <si>
    <t>Tableau provenant de Annie Castonguay, RBC</t>
  </si>
  <si>
    <t>Enseigne</t>
  </si>
  <si>
    <t>Au nom du conseil d'administration</t>
  </si>
  <si>
    <t>Administrateur</t>
  </si>
  <si>
    <t>Non audité - Voir avis au lecteur</t>
  </si>
  <si>
    <t xml:space="preserve"> Sous-traitance</t>
  </si>
  <si>
    <t>Fournitures</t>
  </si>
  <si>
    <t xml:space="preserve"> Fournitures</t>
  </si>
  <si>
    <t xml:space="preserve"> Frais de laboratoires</t>
  </si>
  <si>
    <t xml:space="preserve"> Frais de bureau</t>
  </si>
  <si>
    <t>Ajusté pour augmenter le salaire de Dr. Grenier selon la LOI. Par la suite, croissance de 5% par année (pour les autres employés)</t>
  </si>
  <si>
    <t>Utilisation ponctuelle de sous-traitements. Environ selon le solde de 2023</t>
  </si>
  <si>
    <t>Taux de 26,76% du Chiffre d'affaires. Moyenne des 4 derniers exercices de la Clinique du Dr. Grenier</t>
  </si>
  <si>
    <t>Taux de 1,96% du Chiffre d'affaires. Moyenne des 4 derniers exercices de la Clinique du Dr. Grenier</t>
  </si>
  <si>
    <t>Année 1 basé sur la moyenne de 2022 et 2023. Ensuite, croissance de 5% par année</t>
  </si>
  <si>
    <t>Entretien et réparations</t>
  </si>
  <si>
    <t>Moyenne des 4 derniers exercices et croissance de 5% par année</t>
  </si>
  <si>
    <t>Autres</t>
  </si>
  <si>
    <t xml:space="preserve"> Stocks</t>
  </si>
  <si>
    <t>Approximatif</t>
  </si>
  <si>
    <t>Niveau de stock</t>
  </si>
  <si>
    <t>Chiffres d'affaires</t>
  </si>
  <si>
    <t>Stocks</t>
  </si>
  <si>
    <t>5% du chiffre d'affaires annuel - Correspond à la moyenne arrondie des 4 derniers exerices</t>
  </si>
  <si>
    <t>Équipement méd.</t>
  </si>
  <si>
    <t>Matériel informatique</t>
  </si>
  <si>
    <t>2024 net</t>
  </si>
  <si>
    <t>Basé sur les immobilisations. Amorties au tx de 20% (sauf matériel informatique à 30%)</t>
  </si>
  <si>
    <t>Créditeurs</t>
  </si>
  <si>
    <t>Selon schedule de prêt 700k$ + BPV à 5%</t>
  </si>
  <si>
    <t>ÉCART D'ACQUISITION</t>
  </si>
  <si>
    <t>CLINIQUE VÉTÉRINAIRE VETA (ACQUISITION DE CLINIQUE VÉTÉRINAIRE VALLEYFIELD INC.)</t>
  </si>
  <si>
    <t>Basé sur le Chiffres d'affaires de 2024, majoré de 2% annuellement</t>
  </si>
  <si>
    <t>Suite à fusion d'une Middleco avec Clinique Vétérinaire Valleyfield Inc.</t>
  </si>
  <si>
    <t>Taux de 26,5% utilisé</t>
  </si>
  <si>
    <t>SOCIÉTÉ IMMOBILIÈRE (BÂTIMENT CLINIQUE VÉTÉRINAIRE VALLEYFIELD INC.)</t>
  </si>
  <si>
    <t>500$ par mois pour internet, téléphonie et cellulaire et croissance de 5% par année</t>
  </si>
  <si>
    <t>3 000$ honoraires Ringuette + 1 500$ pour incorporation Année 1. 3 500$ année 2 et 3 par la suite</t>
  </si>
  <si>
    <t>1% du chiffre d'affaires (considérant les frais de transactions sur les paiements par carte)</t>
  </si>
  <si>
    <t>Selon rapport d'évaluation + 5% par année</t>
  </si>
  <si>
    <t>Au jugement, assurance entreprise (assurance bâtiment dans société immobilière)</t>
  </si>
  <si>
    <t xml:space="preserve"> Taxes et licences</t>
  </si>
  <si>
    <t>Selon taxes municipales 2025 + 5% par année</t>
  </si>
  <si>
    <t>Selon schedule de prêt et BPV</t>
  </si>
  <si>
    <t>Taux de 12,20%</t>
  </si>
  <si>
    <t>Initialement planifié à 62 500$ par année par Jean-Samuel - Réajusté pour couvrir les dépenses</t>
  </si>
  <si>
    <t>Prêt sur 25 ans, 4,95 % (TP)</t>
  </si>
  <si>
    <t>Prêt de 700k$ à 4,95% (TP) sur 10 ans + BPV à 5% sur 3 ans (100k$ remboursé par année)</t>
  </si>
  <si>
    <t>Aucune acquisition d'immobilisations ne seraient nécessaires lors des 3 premiers exercices</t>
  </si>
  <si>
    <t>70 000$ par année (pour couvrir les dépenses et services de la dette de la société immo)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</si>
</sst>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0.00\ &quot;$&quot;_);[Red]\(#,##0.00\ &quot;$&quot;\)"/>
    <numFmt numFmtId="44" formatCode="_ * #,##0.00_)\ &quot;$&quot;_ ;_ * \(#,##0.00\)\ &quot;$&quot;_ ;_ * &quot;-&quot;??_)\ &quot;$&quot;_ ;_ @_ "/>
    <numFmt numFmtId="43" formatCode="_ * #,##0.00_)_ ;_ * \(#,##0.00\)_ ;_ * &quot;-&quot;??_)_ ;_ @_ "/>
    <numFmt numFmtId="164" formatCode="_ * #,##0_)\ &quot;$&quot;_ ;_ * \(#,##0\)\ &quot;$&quot;_ ;_ * &quot;-&quot;??_)\ &quot;$&quot;_ ;_ @_ "/>
    <numFmt numFmtId="165" formatCode="_ * #,##0_)\ _$_ ;_ * \(#,##0\)\ _$_ ;_ * &quot;-&quot;??_)\ _$_ ;_ @_ "/>
    <numFmt numFmtId="166" formatCode="[$-F800]dddd\,\ mmmm\ dd\,\ yyyy"/>
    <numFmt numFmtId="167" formatCode="_ * #,##0.00_)\ _$_ ;_ * \(#,##0.00\)\ _$_ ;_ * &quot;-&quot;??_)\ _$_ ;_ @_ "/>
    <numFmt numFmtId="168" formatCode="0.0%"/>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8"/>
      <color theme="1"/>
      <name val="Aptos Narrow"/>
      <family val="2"/>
      <scheme val="minor"/>
    </font>
    <font>
      <b/>
      <sz val="9"/>
      <color indexed="81"/>
      <name val="Tahoma"/>
      <family val="2"/>
    </font>
    <font>
      <sz val="9"/>
      <color indexed="81"/>
      <name val="Tahoma"/>
      <family val="2"/>
    </font>
    <font>
      <i/>
      <sz val="11"/>
      <color rgb="FF0000FF"/>
      <name val="Aptos Narrow"/>
      <family val="2"/>
      <scheme val="minor"/>
    </font>
    <font>
      <sz val="11"/>
      <color theme="2"/>
      <name val="Aptos Narrow"/>
      <family val="2"/>
      <scheme val="minor"/>
    </font>
    <font>
      <b/>
      <sz val="11"/>
      <color rgb="FFFF0000"/>
      <name val="Aptos Narrow"/>
      <family val="2"/>
      <scheme val="minor"/>
    </font>
    <font>
      <b/>
      <sz val="11"/>
      <color rgb="FFFFFFFF"/>
      <name val="Aptos Narrow"/>
      <family val="2"/>
      <scheme val="minor"/>
    </font>
    <font>
      <i/>
      <sz val="10"/>
      <name val="Arial"/>
      <family val="2"/>
    </font>
    <font>
      <u/>
      <sz val="11"/>
      <color theme="10"/>
      <name val="Aptos Narrow"/>
      <family val="2"/>
      <scheme val="minor"/>
    </font>
    <font>
      <b/>
      <u/>
      <sz val="11"/>
      <color rgb="FFFF0000"/>
      <name val="Aptos Narrow"/>
      <family val="2"/>
      <scheme val="minor"/>
    </font>
    <font>
      <sz val="10"/>
      <color theme="1"/>
      <name val="Aptos Narrow"/>
      <family val="2"/>
      <scheme val="minor"/>
    </font>
    <font>
      <sz val="10"/>
      <name val="Arial"/>
      <family val="2"/>
    </font>
    <font>
      <b/>
      <sz val="10"/>
      <color theme="2"/>
      <name val="Arial"/>
      <family val="2"/>
    </font>
    <font>
      <b/>
      <sz val="12"/>
      <name val="Arial"/>
      <family val="2"/>
    </font>
    <font>
      <sz val="14"/>
      <color rgb="FFFFFFFF"/>
      <name val="Arial"/>
      <family val="2"/>
    </font>
    <font>
      <sz val="15"/>
      <color rgb="FFFFFFFF"/>
      <name val="Arial"/>
      <family val="2"/>
    </font>
    <font>
      <i/>
      <sz val="11"/>
      <color rgb="FFFF0000"/>
      <name val="Aptos Narrow"/>
      <family val="2"/>
      <scheme val="minor"/>
    </font>
    <font>
      <sz val="11"/>
      <color rgb="FFFF0000"/>
      <name val="Aptos Narrow"/>
      <family val="2"/>
      <scheme val="minor"/>
    </font>
    <font>
      <b/>
      <sz val="8"/>
      <color rgb="FF0000FF"/>
      <name val="Aptos Narrow"/>
      <family val="2"/>
      <scheme val="minor"/>
    </font>
    <font>
      <b/>
      <sz val="11"/>
      <color rgb="FF0000FF"/>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2"/>
        <bgColor indexed="64"/>
      </patternFill>
    </fill>
    <fill>
      <patternFill patternType="solid">
        <fgColor theme="3"/>
        <bgColor indexed="64"/>
      </patternFill>
    </fill>
    <fill>
      <patternFill patternType="solid">
        <fgColor theme="2" tint="0.59999389629810485"/>
        <bgColor indexed="64"/>
      </patternFill>
    </fill>
  </fills>
  <borders count="15">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medium">
        <color indexed="8"/>
      </bottom>
      <diagonal/>
    </border>
    <border>
      <left/>
      <right/>
      <top style="thin">
        <color indexed="64"/>
      </top>
      <bottom style="medium">
        <color indexed="64"/>
      </bottom>
      <diagonal/>
    </border>
  </borders>
  <cellStyleXfs count="8">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0" borderId="0"/>
    <xf numFmtId="0" fontId="12" fillId="0" borderId="0" applyNumberFormat="0" applyFill="0" applyBorder="0" applyAlignment="0" applyProtection="0"/>
    <xf numFmtId="0" fontId="15" fillId="0" borderId="0"/>
    <xf numFmtId="0" fontId="15" fillId="0" borderId="0"/>
  </cellStyleXfs>
  <cellXfs count="122">
    <xf numFmtId="0" fontId="0" fillId="0" borderId="0" xfId="0"/>
    <xf numFmtId="0" fontId="2" fillId="0" borderId="0" xfId="0" applyFont="1"/>
    <xf numFmtId="0" fontId="0" fillId="0" borderId="0" xfId="0" applyAlignment="1">
      <alignment horizontal="center"/>
    </xf>
    <xf numFmtId="0" fontId="2" fillId="0" borderId="1" xfId="0" applyFont="1" applyBorder="1"/>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3" fillId="0" borderId="0" xfId="0" applyFont="1"/>
    <xf numFmtId="165" fontId="2" fillId="0" borderId="0" xfId="0" applyNumberFormat="1" applyFont="1"/>
    <xf numFmtId="165" fontId="0" fillId="0" borderId="0" xfId="0" applyNumberFormat="1"/>
    <xf numFmtId="0" fontId="2" fillId="0" borderId="2" xfId="0" applyFont="1" applyBorder="1"/>
    <xf numFmtId="0" fontId="0" fillId="0" borderId="2" xfId="0" applyBorder="1"/>
    <xf numFmtId="165" fontId="2" fillId="0" borderId="2" xfId="0" applyNumberFormat="1" applyFont="1" applyBorder="1"/>
    <xf numFmtId="165" fontId="0" fillId="0" borderId="2" xfId="0" applyNumberFormat="1" applyBorder="1"/>
    <xf numFmtId="165" fontId="2" fillId="0" borderId="1" xfId="0" applyNumberFormat="1" applyFont="1" applyBorder="1"/>
    <xf numFmtId="165" fontId="0" fillId="0" borderId="1" xfId="0" applyNumberFormat="1" applyBorder="1"/>
    <xf numFmtId="0" fontId="2" fillId="0" borderId="3" xfId="0" applyFont="1" applyBorder="1" applyAlignment="1">
      <alignment vertical="center"/>
    </xf>
    <xf numFmtId="0" fontId="0" fillId="0" borderId="3" xfId="0" applyBorder="1"/>
    <xf numFmtId="0" fontId="4" fillId="0" borderId="0" xfId="0" applyFont="1"/>
    <xf numFmtId="164" fontId="2" fillId="0" borderId="3" xfId="0" applyNumberFormat="1" applyFont="1" applyBorder="1" applyAlignment="1">
      <alignment vertical="center"/>
    </xf>
    <xf numFmtId="164" fontId="0" fillId="0" borderId="3" xfId="0" applyNumberFormat="1" applyBorder="1" applyAlignment="1">
      <alignment vertical="center"/>
    </xf>
    <xf numFmtId="164" fontId="0" fillId="0" borderId="0" xfId="0" applyNumberFormat="1"/>
    <xf numFmtId="0" fontId="2" fillId="0" borderId="3" xfId="0" applyFont="1" applyBorder="1"/>
    <xf numFmtId="164" fontId="2" fillId="0" borderId="0" xfId="0" applyNumberFormat="1" applyFont="1"/>
    <xf numFmtId="0" fontId="2" fillId="0" borderId="0" xfId="0" applyFont="1" applyAlignment="1">
      <alignment horizontal="right"/>
    </xf>
    <xf numFmtId="0" fontId="0" fillId="0" borderId="0" xfId="0" applyAlignment="1">
      <alignment horizontal="right"/>
    </xf>
    <xf numFmtId="0" fontId="2" fillId="0" borderId="1" xfId="0" quotePrefix="1" applyFont="1" applyBorder="1"/>
    <xf numFmtId="0" fontId="0" fillId="0" borderId="0" xfId="0" applyAlignment="1">
      <alignment horizontal="left"/>
    </xf>
    <xf numFmtId="0" fontId="2" fillId="0" borderId="0" xfId="0" applyFont="1" applyAlignment="1">
      <alignment horizontal="left"/>
    </xf>
    <xf numFmtId="0" fontId="0" fillId="0" borderId="0" xfId="0" applyAlignment="1">
      <alignment horizontal="left" indent="2"/>
    </xf>
    <xf numFmtId="0" fontId="0" fillId="0" borderId="0" xfId="0" quotePrefix="1" applyAlignment="1">
      <alignment horizontal="left" indent="2"/>
    </xf>
    <xf numFmtId="0" fontId="0" fillId="0" borderId="1" xfId="0" applyBorder="1" applyAlignment="1">
      <alignment horizontal="left"/>
    </xf>
    <xf numFmtId="0" fontId="2" fillId="0" borderId="0" xfId="0" applyFont="1" applyAlignment="1">
      <alignment vertical="top"/>
    </xf>
    <xf numFmtId="0" fontId="0" fillId="0" borderId="0" xfId="0" applyAlignment="1">
      <alignment vertical="top"/>
    </xf>
    <xf numFmtId="0" fontId="2" fillId="0" borderId="1" xfId="0" applyFont="1" applyBorder="1" applyAlignment="1">
      <alignment vertical="top"/>
    </xf>
    <xf numFmtId="0" fontId="0" fillId="0" borderId="1" xfId="0" applyBorder="1" applyAlignment="1">
      <alignment vertical="top"/>
    </xf>
    <xf numFmtId="0" fontId="2" fillId="0" borderId="1" xfId="0" quotePrefix="1" applyFont="1" applyBorder="1" applyAlignment="1">
      <alignment horizontal="right" indent="1"/>
    </xf>
    <xf numFmtId="164" fontId="2" fillId="0" borderId="3" xfId="1" applyNumberFormat="1" applyFont="1" applyFill="1" applyBorder="1" applyAlignment="1">
      <alignment vertical="center"/>
    </xf>
    <xf numFmtId="164" fontId="2" fillId="0" borderId="1" xfId="0" applyNumberFormat="1" applyFont="1" applyBorder="1"/>
    <xf numFmtId="0" fontId="0" fillId="0" borderId="0" xfId="0" quotePrefix="1" applyAlignment="1">
      <alignment horizontal="left"/>
    </xf>
    <xf numFmtId="0" fontId="7" fillId="0" borderId="0" xfId="0" applyFont="1"/>
    <xf numFmtId="43" fontId="0" fillId="0" borderId="0" xfId="2" applyFont="1"/>
    <xf numFmtId="10" fontId="0" fillId="0" borderId="0" xfId="3" applyNumberFormat="1" applyFont="1" applyAlignment="1">
      <alignment horizontal="center"/>
    </xf>
    <xf numFmtId="43" fontId="2" fillId="0" borderId="0" xfId="2" applyFont="1"/>
    <xf numFmtId="43" fontId="2" fillId="0" borderId="4" xfId="2" applyFont="1" applyBorder="1"/>
    <xf numFmtId="0" fontId="2" fillId="0" borderId="0" xfId="0" applyFont="1" applyAlignment="1">
      <alignment horizontal="center"/>
    </xf>
    <xf numFmtId="0" fontId="2" fillId="0" borderId="1" xfId="0" applyFont="1" applyBorder="1" applyAlignment="1">
      <alignment horizontal="left"/>
    </xf>
    <xf numFmtId="43" fontId="2" fillId="0" borderId="2" xfId="0" applyNumberFormat="1" applyFont="1" applyBorder="1"/>
    <xf numFmtId="14" fontId="2" fillId="0" borderId="2" xfId="0" applyNumberFormat="1" applyFont="1" applyBorder="1" applyAlignment="1">
      <alignment horizontal="center"/>
    </xf>
    <xf numFmtId="43" fontId="0" fillId="2" borderId="0" xfId="2" applyFont="1" applyFill="1"/>
    <xf numFmtId="10" fontId="0" fillId="0" borderId="0" xfId="2" applyNumberFormat="1" applyFont="1" applyAlignment="1">
      <alignment horizontal="center"/>
    </xf>
    <xf numFmtId="17" fontId="0" fillId="0" borderId="0" xfId="0" applyNumberFormat="1" applyAlignment="1">
      <alignment horizontal="center"/>
    </xf>
    <xf numFmtId="43" fontId="0" fillId="0" borderId="0" xfId="2" applyFont="1" applyFill="1"/>
    <xf numFmtId="0" fontId="8" fillId="0" borderId="0" xfId="2" applyNumberFormat="1" applyFont="1" applyAlignment="1">
      <alignment horizontal="center"/>
    </xf>
    <xf numFmtId="43" fontId="2" fillId="0" borderId="0" xfId="2" applyFont="1" applyAlignment="1">
      <alignment horizontal="center"/>
    </xf>
    <xf numFmtId="14" fontId="0" fillId="0" borderId="0" xfId="0" applyNumberFormat="1"/>
    <xf numFmtId="8" fontId="0" fillId="0" borderId="0" xfId="2" applyNumberFormat="1" applyFont="1"/>
    <xf numFmtId="43" fontId="0" fillId="3" borderId="0" xfId="2" applyFont="1" applyFill="1"/>
    <xf numFmtId="10" fontId="9" fillId="0" borderId="0" xfId="2" applyNumberFormat="1" applyFont="1" applyAlignment="1">
      <alignment horizontal="center"/>
    </xf>
    <xf numFmtId="0" fontId="10" fillId="4" borderId="2" xfId="4" applyFont="1" applyFill="1" applyBorder="1"/>
    <xf numFmtId="0" fontId="10" fillId="4" borderId="5" xfId="4" applyFont="1" applyFill="1" applyBorder="1"/>
    <xf numFmtId="43" fontId="9" fillId="0" borderId="0" xfId="2" applyFont="1"/>
    <xf numFmtId="43" fontId="0" fillId="2" borderId="0" xfId="2" applyFont="1" applyFill="1" applyAlignment="1">
      <alignment horizontal="center"/>
    </xf>
    <xf numFmtId="43" fontId="11" fillId="0" borderId="0" xfId="2" applyFont="1" applyFill="1" applyBorder="1"/>
    <xf numFmtId="43" fontId="11" fillId="0" borderId="2" xfId="2" applyFont="1" applyFill="1" applyBorder="1"/>
    <xf numFmtId="43" fontId="13" fillId="0" borderId="0" xfId="5" quotePrefix="1" applyNumberFormat="1" applyFont="1"/>
    <xf numFmtId="43" fontId="0" fillId="0" borderId="10" xfId="2" applyFont="1" applyBorder="1"/>
    <xf numFmtId="43" fontId="0" fillId="0" borderId="11" xfId="2" applyFont="1" applyBorder="1"/>
    <xf numFmtId="43" fontId="0" fillId="0" borderId="12" xfId="2" applyFont="1" applyBorder="1"/>
    <xf numFmtId="0" fontId="9" fillId="5" borderId="0" xfId="0" applyFont="1" applyFill="1" applyAlignment="1">
      <alignment horizontal="center"/>
    </xf>
    <xf numFmtId="0" fontId="10" fillId="0" borderId="0" xfId="4" applyFont="1"/>
    <xf numFmtId="43" fontId="0" fillId="0" borderId="0" xfId="2" applyFont="1" applyAlignment="1">
      <alignment horizontal="center"/>
    </xf>
    <xf numFmtId="43" fontId="0" fillId="5" borderId="0" xfId="2" applyFont="1" applyFill="1"/>
    <xf numFmtId="43" fontId="14" fillId="0" borderId="0" xfId="2" applyFont="1" applyFill="1" applyAlignment="1">
      <alignment horizontal="center"/>
    </xf>
    <xf numFmtId="10" fontId="0" fillId="5" borderId="0" xfId="3" applyNumberFormat="1" applyFont="1" applyFill="1" applyAlignment="1">
      <alignment horizontal="center"/>
    </xf>
    <xf numFmtId="10" fontId="0" fillId="0" borderId="0" xfId="3" applyNumberFormat="1" applyFont="1" applyFill="1" applyAlignment="1">
      <alignment horizontal="center"/>
    </xf>
    <xf numFmtId="43" fontId="0" fillId="0" borderId="0" xfId="2" applyFont="1" applyFill="1" applyAlignment="1">
      <alignment horizontal="center"/>
    </xf>
    <xf numFmtId="0" fontId="12" fillId="3" borderId="0" xfId="5" quotePrefix="1" applyFill="1"/>
    <xf numFmtId="0" fontId="16" fillId="0" borderId="0" xfId="6" applyFont="1" applyAlignment="1">
      <alignment horizontal="right"/>
    </xf>
    <xf numFmtId="0" fontId="17" fillId="0" borderId="0" xfId="0" applyFont="1"/>
    <xf numFmtId="0" fontId="18" fillId="4" borderId="13" xfId="0" applyFont="1" applyFill="1" applyBorder="1"/>
    <xf numFmtId="39" fontId="18" fillId="4" borderId="0" xfId="7" applyNumberFormat="1" applyFont="1" applyFill="1"/>
    <xf numFmtId="0" fontId="18" fillId="4" borderId="0" xfId="7" applyFont="1" applyFill="1"/>
    <xf numFmtId="0" fontId="18" fillId="4" borderId="0" xfId="0" applyFont="1" applyFill="1" applyProtection="1">
      <protection locked="0"/>
    </xf>
    <xf numFmtId="0" fontId="19" fillId="4" borderId="0" xfId="6" applyFont="1" applyFill="1" applyProtection="1">
      <protection locked="0"/>
    </xf>
    <xf numFmtId="167" fontId="0" fillId="0" borderId="0" xfId="0" applyNumberFormat="1"/>
    <xf numFmtId="164" fontId="2" fillId="0" borderId="1" xfId="1" applyNumberFormat="1" applyFont="1" applyFill="1" applyBorder="1"/>
    <xf numFmtId="0" fontId="0" fillId="0" borderId="2" xfId="0" applyBorder="1" applyAlignment="1">
      <alignment horizontal="left"/>
    </xf>
    <xf numFmtId="164" fontId="2" fillId="0" borderId="0" xfId="1" applyNumberFormat="1" applyFont="1" applyFill="1"/>
    <xf numFmtId="43" fontId="20" fillId="0" borderId="0" xfId="2" applyFont="1"/>
    <xf numFmtId="0" fontId="2" fillId="0" borderId="0" xfId="0" quotePrefix="1" applyFont="1" applyAlignment="1">
      <alignment horizontal="right" indent="1"/>
    </xf>
    <xf numFmtId="164" fontId="2" fillId="0" borderId="0" xfId="1" applyNumberFormat="1" applyFont="1" applyFill="1" applyBorder="1" applyAlignment="1">
      <alignment vertical="center"/>
    </xf>
    <xf numFmtId="168" fontId="22" fillId="0" borderId="0" xfId="3" applyNumberFormat="1" applyFont="1" applyAlignment="1">
      <alignment horizontal="left" vertical="center"/>
    </xf>
    <xf numFmtId="10" fontId="0" fillId="0" borderId="0" xfId="3" applyNumberFormat="1" applyFont="1"/>
    <xf numFmtId="9" fontId="0" fillId="0" borderId="0" xfId="3" applyFont="1"/>
    <xf numFmtId="0" fontId="23" fillId="0" borderId="0" xfId="0" applyFont="1"/>
    <xf numFmtId="0" fontId="21" fillId="0" borderId="0" xfId="0" applyFont="1"/>
    <xf numFmtId="0" fontId="0" fillId="6" borderId="0" xfId="0" applyFill="1"/>
    <xf numFmtId="10" fontId="0" fillId="0" borderId="0" xfId="0" applyNumberFormat="1"/>
    <xf numFmtId="0" fontId="2" fillId="0" borderId="14" xfId="0" applyFont="1" applyBorder="1" applyAlignment="1">
      <alignment horizontal="right"/>
    </xf>
    <xf numFmtId="10" fontId="2" fillId="0" borderId="14" xfId="0" applyNumberFormat="1" applyFont="1" applyBorder="1"/>
    <xf numFmtId="43" fontId="2" fillId="0" borderId="14" xfId="2" applyFont="1" applyBorder="1"/>
    <xf numFmtId="0" fontId="2" fillId="0" borderId="0" xfId="0" applyFont="1" applyAlignment="1">
      <alignment horizontal="center" vertical="center" wrapText="1"/>
    </xf>
    <xf numFmtId="9" fontId="0" fillId="0" borderId="0" xfId="0" applyNumberFormat="1"/>
    <xf numFmtId="43" fontId="2" fillId="0" borderId="0" xfId="0" applyNumberFormat="1" applyFont="1"/>
    <xf numFmtId="168" fontId="22" fillId="0" borderId="0" xfId="3" applyNumberFormat="1" applyFont="1" applyFill="1" applyAlignment="1">
      <alignment horizontal="left" vertical="center"/>
    </xf>
    <xf numFmtId="166" fontId="19" fillId="4" borderId="3" xfId="6" applyNumberFormat="1" applyFont="1" applyFill="1" applyBorder="1" applyAlignment="1" applyProtection="1">
      <alignment horizontal="left"/>
      <protection locked="0"/>
    </xf>
    <xf numFmtId="43" fontId="0" fillId="0" borderId="0" xfId="2" applyFont="1" applyAlignment="1">
      <alignment horizontal="center"/>
    </xf>
    <xf numFmtId="43" fontId="21" fillId="0" borderId="9" xfId="2" applyFont="1" applyBorder="1" applyAlignment="1">
      <alignment horizontal="center" vertical="center" wrapText="1"/>
    </xf>
    <xf numFmtId="43" fontId="21" fillId="0" borderId="0" xfId="2" applyFont="1" applyBorder="1" applyAlignment="1">
      <alignment horizontal="center" vertical="center" wrapText="1"/>
    </xf>
    <xf numFmtId="43" fontId="21" fillId="0" borderId="8" xfId="2" applyFont="1" applyBorder="1" applyAlignment="1">
      <alignment horizontal="center" vertical="center" wrapText="1"/>
    </xf>
    <xf numFmtId="43" fontId="21" fillId="0" borderId="7" xfId="2" applyFont="1" applyBorder="1" applyAlignment="1">
      <alignment horizontal="center" vertical="center" wrapText="1"/>
    </xf>
    <xf numFmtId="43" fontId="21" fillId="0" borderId="1" xfId="2" applyFont="1" applyBorder="1" applyAlignment="1">
      <alignment horizontal="center" vertical="center" wrapText="1"/>
    </xf>
    <xf numFmtId="43" fontId="21" fillId="0" borderId="6" xfId="2" applyFont="1" applyBorder="1" applyAlignment="1">
      <alignment horizontal="center" vertical="center" wrapText="1"/>
    </xf>
    <xf numFmtId="43" fontId="21" fillId="0" borderId="9" xfId="2" applyFont="1" applyBorder="1" applyAlignment="1">
      <alignment horizontal="left" vertical="center" wrapText="1"/>
    </xf>
    <xf numFmtId="43" fontId="21" fillId="0" borderId="0" xfId="2" applyFont="1" applyBorder="1" applyAlignment="1">
      <alignment horizontal="left" vertical="center" wrapText="1"/>
    </xf>
    <xf numFmtId="43" fontId="21" fillId="0" borderId="8" xfId="2" applyFont="1" applyBorder="1" applyAlignment="1">
      <alignment horizontal="left" vertical="center" wrapText="1"/>
    </xf>
    <xf numFmtId="43" fontId="21" fillId="0" borderId="7" xfId="2" applyFont="1" applyBorder="1" applyAlignment="1">
      <alignment horizontal="left" vertical="center" wrapText="1"/>
    </xf>
    <xf numFmtId="43" fontId="21" fillId="0" borderId="1" xfId="2" applyFont="1" applyBorder="1" applyAlignment="1">
      <alignment horizontal="left" vertical="center" wrapText="1"/>
    </xf>
    <xf numFmtId="43" fontId="21" fillId="0" borderId="6" xfId="2" applyFont="1" applyBorder="1" applyAlignment="1">
      <alignment horizontal="left" vertical="center" wrapText="1"/>
    </xf>
    <xf numFmtId="0" fontId="0" fillId="0" borderId="0" xfId="0" applyAlignment="1">
      <alignment horizontal="left" vertical="top" wrapText="1" indent="1"/>
    </xf>
    <xf numFmtId="165" fontId="2" fillId="0" borderId="0" xfId="0" applyNumberFormat="1" applyFont="1" applyFill="1"/>
  </cellXfs>
  <cellStyles count="8">
    <cellStyle name="Lien hypertexte" xfId="5" builtinId="8"/>
    <cellStyle name="Milliers" xfId="2" builtinId="3"/>
    <cellStyle name="Monétaire" xfId="1" builtinId="4"/>
    <cellStyle name="Normal" xfId="0" builtinId="0"/>
    <cellStyle name="Normal 13" xfId="6" xr:uid="{BDC3762E-E076-4AFB-8617-BDFFE54FDD13}"/>
    <cellStyle name="Normal 3" xfId="7" xr:uid="{D3D9C03E-1D2F-4A11-9560-EEE34A1DA354}"/>
    <cellStyle name="Normal 7 2 5" xfId="4" xr:uid="{516FB3DF-7912-498B-ADD6-884059B8E7AB}"/>
    <cellStyle name="Pourcentage" xfId="3" builtinId="5"/>
  </cellStyles>
  <dxfs count="6">
    <dxf>
      <fill>
        <patternFill>
          <bgColor theme="6"/>
        </patternFill>
      </fill>
    </dxf>
    <dxf>
      <fill>
        <patternFill>
          <bgColor theme="5"/>
        </patternFill>
      </fill>
    </dxf>
    <dxf>
      <fill>
        <patternFill>
          <bgColor theme="6"/>
        </patternFill>
      </fill>
    </dxf>
    <dxf>
      <fill>
        <patternFill>
          <bgColor theme="5"/>
        </patternFill>
      </fill>
    </dxf>
    <dxf>
      <fill>
        <patternFill>
          <bgColor theme="6"/>
        </patternFill>
      </fill>
    </dxf>
    <dxf>
      <fill>
        <patternFill>
          <bgColor theme="5"/>
        </patternFill>
      </fill>
    </dxf>
  </dxfs>
  <tableStyles count="0" defaultTableStyle="TableStyleMedium2" defaultPivotStyle="PivotStyleLight16"/>
  <colors>
    <mruColors>
      <color rgb="FF92101C"/>
      <color rgb="FFD01727"/>
      <color rgb="FF5BC1A8"/>
      <color rgb="FF1C1348"/>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352425</xdr:colOff>
      <xdr:row>2</xdr:row>
      <xdr:rowOff>180975</xdr:rowOff>
    </xdr:from>
    <xdr:to>
      <xdr:col>15</xdr:col>
      <xdr:colOff>390970</xdr:colOff>
      <xdr:row>20</xdr:row>
      <xdr:rowOff>105244</xdr:rowOff>
    </xdr:to>
    <xdr:pic>
      <xdr:nvPicPr>
        <xdr:cNvPr id="2" name="Image 1">
          <a:extLst>
            <a:ext uri="{FF2B5EF4-FFF2-40B4-BE49-F238E27FC236}">
              <a16:creationId xmlns:a16="http://schemas.microsoft.com/office/drawing/2014/main" id="{F47871A3-C04A-BEE1-B61B-77776B3713E1}"/>
            </a:ext>
          </a:extLst>
        </xdr:cNvPr>
        <xdr:cNvPicPr>
          <a:picLocks noChangeAspect="1"/>
        </xdr:cNvPicPr>
      </xdr:nvPicPr>
      <xdr:blipFill>
        <a:blip xmlns:r="http://schemas.openxmlformats.org/officeDocument/2006/relationships" r:embed="rId1"/>
        <a:stretch>
          <a:fillRect/>
        </a:stretch>
      </xdr:blipFill>
      <xdr:spPr>
        <a:xfrm>
          <a:off x="9248775" y="666750"/>
          <a:ext cx="3191320" cy="33627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733425</xdr:colOff>
      <xdr:row>21</xdr:row>
      <xdr:rowOff>85725</xdr:rowOff>
    </xdr:from>
    <xdr:to>
      <xdr:col>21</xdr:col>
      <xdr:colOff>647700</xdr:colOff>
      <xdr:row>32</xdr:row>
      <xdr:rowOff>85725</xdr:rowOff>
    </xdr:to>
    <xdr:pic>
      <xdr:nvPicPr>
        <xdr:cNvPr id="2" name="Picture 1">
          <a:extLst>
            <a:ext uri="{FF2B5EF4-FFF2-40B4-BE49-F238E27FC236}">
              <a16:creationId xmlns:a16="http://schemas.microsoft.com/office/drawing/2014/main" id="{ADBC2BEF-1A03-42E2-9D18-5AF62FA4A1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9775" y="4200525"/>
          <a:ext cx="7639050" cy="208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371475</xdr:colOff>
      <xdr:row>1</xdr:row>
      <xdr:rowOff>38100</xdr:rowOff>
    </xdr:from>
    <xdr:to>
      <xdr:col>15</xdr:col>
      <xdr:colOff>219494</xdr:colOff>
      <xdr:row>17</xdr:row>
      <xdr:rowOff>114745</xdr:rowOff>
    </xdr:to>
    <xdr:pic>
      <xdr:nvPicPr>
        <xdr:cNvPr id="3" name="Image 2">
          <a:extLst>
            <a:ext uri="{FF2B5EF4-FFF2-40B4-BE49-F238E27FC236}">
              <a16:creationId xmlns:a16="http://schemas.microsoft.com/office/drawing/2014/main" id="{7B9E6406-D21E-43A9-ABFB-4C4818584852}"/>
            </a:ext>
          </a:extLst>
        </xdr:cNvPr>
        <xdr:cNvPicPr>
          <a:picLocks noChangeAspect="1"/>
        </xdr:cNvPicPr>
      </xdr:nvPicPr>
      <xdr:blipFill>
        <a:blip xmlns:r="http://schemas.openxmlformats.org/officeDocument/2006/relationships" r:embed="rId2"/>
        <a:stretch>
          <a:fillRect/>
        </a:stretch>
      </xdr:blipFill>
      <xdr:spPr>
        <a:xfrm>
          <a:off x="9267825" y="276225"/>
          <a:ext cx="3000794" cy="3191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733425</xdr:colOff>
      <xdr:row>3</xdr:row>
      <xdr:rowOff>28575</xdr:rowOff>
    </xdr:from>
    <xdr:to>
      <xdr:col>17</xdr:col>
      <xdr:colOff>86273</xdr:colOff>
      <xdr:row>8</xdr:row>
      <xdr:rowOff>162078</xdr:rowOff>
    </xdr:to>
    <xdr:pic>
      <xdr:nvPicPr>
        <xdr:cNvPr id="2" name="Image 1">
          <a:extLst>
            <a:ext uri="{FF2B5EF4-FFF2-40B4-BE49-F238E27FC236}">
              <a16:creationId xmlns:a16="http://schemas.microsoft.com/office/drawing/2014/main" id="{7AF9726E-10D1-C42F-9DC9-06E89512B5EE}"/>
            </a:ext>
          </a:extLst>
        </xdr:cNvPr>
        <xdr:cNvPicPr>
          <a:picLocks noChangeAspect="1"/>
        </xdr:cNvPicPr>
      </xdr:nvPicPr>
      <xdr:blipFill>
        <a:blip xmlns:r="http://schemas.openxmlformats.org/officeDocument/2006/relationships" r:embed="rId1"/>
        <a:stretch>
          <a:fillRect/>
        </a:stretch>
      </xdr:blipFill>
      <xdr:spPr>
        <a:xfrm>
          <a:off x="10334625" y="600075"/>
          <a:ext cx="3924848" cy="10955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819150</xdr:colOff>
      <xdr:row>2</xdr:row>
      <xdr:rowOff>85724</xdr:rowOff>
    </xdr:from>
    <xdr:to>
      <xdr:col>14</xdr:col>
      <xdr:colOff>685801</xdr:colOff>
      <xdr:row>18</xdr:row>
      <xdr:rowOff>57150</xdr:rowOff>
    </xdr:to>
    <xdr:pic>
      <xdr:nvPicPr>
        <xdr:cNvPr id="4" name="Image 3">
          <a:extLst>
            <a:ext uri="{FF2B5EF4-FFF2-40B4-BE49-F238E27FC236}">
              <a16:creationId xmlns:a16="http://schemas.microsoft.com/office/drawing/2014/main" id="{E0C6E93A-FF53-4284-845A-775608589850}"/>
            </a:ext>
          </a:extLst>
        </xdr:cNvPr>
        <xdr:cNvPicPr>
          <a:picLocks noChangeAspect="1"/>
        </xdr:cNvPicPr>
      </xdr:nvPicPr>
      <xdr:blipFill rotWithShape="1">
        <a:blip xmlns:r="http://schemas.openxmlformats.org/officeDocument/2006/relationships" r:embed="rId1"/>
        <a:srcRect l="46725" t="8057" r="36866" b="62495"/>
        <a:stretch>
          <a:fillRect/>
        </a:stretch>
      </xdr:blipFill>
      <xdr:spPr>
        <a:xfrm>
          <a:off x="8867775" y="571499"/>
          <a:ext cx="3000376" cy="3028951"/>
        </a:xfrm>
        <a:prstGeom prst="rect">
          <a:avLst/>
        </a:prstGeom>
      </xdr:spPr>
    </xdr:pic>
    <xdr:clientData/>
  </xdr:twoCellAnchor>
</xdr:wsDr>
</file>

<file path=xl/theme/theme1.xml><?xml version="1.0" encoding="utf-8"?>
<a:theme xmlns:a="http://schemas.openxmlformats.org/drawingml/2006/main" name="Thème Ringuette et Associés">
  <a:themeElements>
    <a:clrScheme name="Ringuette et Associés">
      <a:dk1>
        <a:sysClr val="windowText" lastClr="000000"/>
      </a:dk1>
      <a:lt1>
        <a:srgbClr val="BFBFBF"/>
      </a:lt1>
      <a:dk2>
        <a:srgbClr val="9FC4E9"/>
      </a:dk2>
      <a:lt2>
        <a:srgbClr val="24629F"/>
      </a:lt2>
      <a:accent1>
        <a:srgbClr val="84E084"/>
      </a:accent1>
      <a:accent2>
        <a:srgbClr val="FEC1A3"/>
      </a:accent2>
      <a:accent3>
        <a:srgbClr val="FD94FE"/>
      </a:accent3>
      <a:accent4>
        <a:srgbClr val="C184FE"/>
      </a:accent4>
      <a:accent5>
        <a:srgbClr val="FFFF66"/>
      </a:accent5>
      <a:accent6>
        <a:srgbClr val="3CB679"/>
      </a:accent6>
      <a:hlink>
        <a:srgbClr val="0000FF"/>
      </a:hlink>
      <a:folHlink>
        <a:srgbClr val="0000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6.bin"/><Relationship Id="rId1" Type="http://schemas.openxmlformats.org/officeDocument/2006/relationships/hyperlink" Target="cw:KK"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hyperlink" Target="cw:KK"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1.bin"/><Relationship Id="rId1" Type="http://schemas.openxmlformats.org/officeDocument/2006/relationships/hyperlink" Target="cw:KK"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B94D2-48B5-4BEC-A1BA-23CBFB072567}">
  <sheetPr>
    <tabColor rgb="FFD01727"/>
  </sheetPr>
  <dimension ref="A1"/>
  <sheetViews>
    <sheetView topLeftCell="A10" workbookViewId="0">
      <selection activeCell="G14" sqref="G14"/>
    </sheetView>
  </sheetViews>
  <sheetFormatPr baseColWidth="10" defaultRowHeight="15" x14ac:dyDescent="0.25"/>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AE4F-CA50-4462-9F40-D31B251252CF}">
  <sheetPr>
    <tabColor rgb="FFD01727"/>
  </sheetPr>
  <dimension ref="A1:M40"/>
  <sheetViews>
    <sheetView tabSelected="1" view="pageLayout" zoomScaleNormal="115" workbookViewId="0">
      <selection activeCell="I4" sqref="I4"/>
    </sheetView>
  </sheetViews>
  <sheetFormatPr baseColWidth="10" defaultColWidth="11.42578125" defaultRowHeight="15" x14ac:dyDescent="0.25"/>
  <cols>
    <col min="1" max="1" width="28.28515625" customWidth="1"/>
    <col min="3" max="3" width="12.28515625" customWidth="1"/>
    <col min="4" max="4" width="5.140625" bestFit="1" customWidth="1"/>
    <col min="5" max="5" width="12.42578125" customWidth="1"/>
    <col min="6" max="6" width="5" customWidth="1"/>
    <col min="7" max="7" width="12.7109375" customWidth="1"/>
    <col min="8" max="8" width="5" customWidth="1"/>
    <col min="10" max="10" width="11.85546875" customWidth="1"/>
  </cols>
  <sheetData>
    <row r="1" spans="1:10" x14ac:dyDescent="0.25">
      <c r="G1">
        <v>1</v>
      </c>
    </row>
    <row r="2" spans="1:10" s="33" customFormat="1" ht="25.15" customHeight="1" x14ac:dyDescent="0.25">
      <c r="A2" s="32" t="s">
        <v>158</v>
      </c>
    </row>
    <row r="3" spans="1:10" s="33" customFormat="1" ht="25.15" customHeight="1" x14ac:dyDescent="0.25">
      <c r="A3" s="32" t="s">
        <v>74</v>
      </c>
    </row>
    <row r="4" spans="1:10" s="33" customFormat="1" ht="25.15" customHeight="1" x14ac:dyDescent="0.25">
      <c r="A4" s="34" t="s">
        <v>122</v>
      </c>
      <c r="B4" s="35"/>
      <c r="C4" s="35"/>
      <c r="D4" s="35"/>
      <c r="E4" s="35"/>
      <c r="F4" s="35"/>
      <c r="G4" s="35"/>
    </row>
    <row r="5" spans="1:10" s="33" customFormat="1" x14ac:dyDescent="0.25">
      <c r="A5" s="32"/>
    </row>
    <row r="6" spans="1:10" x14ac:dyDescent="0.25">
      <c r="A6" s="4"/>
      <c r="B6" s="4"/>
      <c r="C6" s="36" t="s">
        <v>119</v>
      </c>
      <c r="D6" s="36"/>
      <c r="E6" s="36" t="s">
        <v>52</v>
      </c>
      <c r="F6" s="36"/>
      <c r="G6" s="36" t="s">
        <v>45</v>
      </c>
      <c r="H6" s="90"/>
      <c r="J6" s="33"/>
    </row>
    <row r="8" spans="1:10" x14ac:dyDescent="0.25">
      <c r="A8" s="1" t="s">
        <v>44</v>
      </c>
      <c r="C8" s="23">
        <f>+E8*1.02</f>
        <v>1275654.2076000001</v>
      </c>
      <c r="D8" s="23"/>
      <c r="E8" s="23">
        <f>+G8*1.02</f>
        <v>1250641.3800000001</v>
      </c>
      <c r="F8" s="23"/>
      <c r="G8" s="23">
        <f>ROUND(1202077*1.02,0)</f>
        <v>1226119</v>
      </c>
      <c r="I8" s="40" t="s">
        <v>159</v>
      </c>
    </row>
    <row r="9" spans="1:10" x14ac:dyDescent="0.25">
      <c r="A9" s="7" t="s">
        <v>1</v>
      </c>
      <c r="E9" s="1"/>
      <c r="F9" s="1"/>
      <c r="G9" s="1"/>
      <c r="H9" s="1"/>
      <c r="I9" s="40"/>
      <c r="J9" s="96"/>
    </row>
    <row r="10" spans="1:10" x14ac:dyDescent="0.25">
      <c r="A10" s="1" t="s">
        <v>46</v>
      </c>
      <c r="C10" s="94"/>
      <c r="E10" s="1"/>
      <c r="F10" s="1"/>
      <c r="H10" s="1"/>
      <c r="I10" s="40"/>
    </row>
    <row r="11" spans="1:10" x14ac:dyDescent="0.25">
      <c r="A11" s="27" t="s">
        <v>53</v>
      </c>
      <c r="B11" s="93"/>
      <c r="C11" s="8">
        <f>ROUND(+E11*1.05,0)</f>
        <v>275857</v>
      </c>
      <c r="D11" s="92">
        <f>+C11/$C$8</f>
        <v>0.21624747392868629</v>
      </c>
      <c r="E11" s="8">
        <f>ROUND(+G11*1.05,0)</f>
        <v>262721</v>
      </c>
      <c r="F11" s="92">
        <f>+E11/$E$8</f>
        <v>0.21006901274928227</v>
      </c>
      <c r="G11" s="121">
        <f>ROUND(175000-(75000*1.15)+(90*30*52)*1.15,0)</f>
        <v>250210</v>
      </c>
      <c r="H11" s="92">
        <f>+G11/$G$8</f>
        <v>0.20406665258429238</v>
      </c>
      <c r="I11" s="40" t="s">
        <v>137</v>
      </c>
    </row>
    <row r="12" spans="1:10" x14ac:dyDescent="0.25">
      <c r="A12" s="27" t="s">
        <v>132</v>
      </c>
      <c r="B12" s="93"/>
      <c r="C12" s="8">
        <f>ROUND(+E12*1.05,0)</f>
        <v>27563</v>
      </c>
      <c r="D12" s="92">
        <f t="shared" ref="D12:D27" si="0">+C12/$C$8</f>
        <v>2.1606952601878438E-2</v>
      </c>
      <c r="E12" s="8">
        <f>ROUND(+G12*1.05,0)</f>
        <v>26250</v>
      </c>
      <c r="F12" s="92">
        <f t="shared" ref="F12:F27" si="1">+E12/$E$8</f>
        <v>2.0989230341954618E-2</v>
      </c>
      <c r="G12" s="8">
        <v>25000</v>
      </c>
      <c r="H12" s="92">
        <f t="shared" ref="H12:H27" si="2">+G12/$G$8</f>
        <v>2.0389538046470205E-2</v>
      </c>
      <c r="I12" s="40" t="s">
        <v>138</v>
      </c>
    </row>
    <row r="13" spans="1:10" x14ac:dyDescent="0.25">
      <c r="A13" s="27" t="s">
        <v>134</v>
      </c>
      <c r="B13" s="93"/>
      <c r="C13" s="8">
        <f>ROUND(+C8*'Hypothèses - Veta'!$C$8,0)</f>
        <v>341333</v>
      </c>
      <c r="D13" s="92">
        <f t="shared" si="0"/>
        <v>0.26757486313017353</v>
      </c>
      <c r="E13" s="8">
        <f>ROUND(+E8*'Hypothèses - Veta'!$C$8,0)</f>
        <v>334640</v>
      </c>
      <c r="F13" s="92">
        <f t="shared" si="1"/>
        <v>0.26757470634787406</v>
      </c>
      <c r="G13" s="8">
        <f>ROUND(+G8*'Hypothèses - Veta'!$C$8,0)</f>
        <v>328079</v>
      </c>
      <c r="H13" s="92">
        <f t="shared" si="2"/>
        <v>0.26757517010991594</v>
      </c>
      <c r="I13" s="40" t="s">
        <v>139</v>
      </c>
    </row>
    <row r="14" spans="1:10" x14ac:dyDescent="0.25">
      <c r="A14" s="27" t="s">
        <v>135</v>
      </c>
      <c r="B14" s="93"/>
      <c r="C14" s="8">
        <f>ROUND('Hypothèses - Veta'!$C$16*'Résultats - Veta'!C8,0)</f>
        <v>25035</v>
      </c>
      <c r="D14" s="92">
        <f t="shared" si="0"/>
        <v>1.9625224336539081E-2</v>
      </c>
      <c r="E14" s="8">
        <f>ROUND('Hypothèses - Veta'!$C$16*'Résultats - Veta'!E8,0)</f>
        <v>24544</v>
      </c>
      <c r="F14" s="92">
        <f t="shared" si="1"/>
        <v>1.9625130267159396E-2</v>
      </c>
      <c r="G14" s="8">
        <f>ROUND('Hypothèses - Veta'!$C$16*'Résultats - Veta'!G8,0)</f>
        <v>24063</v>
      </c>
      <c r="H14" s="92">
        <f t="shared" si="2"/>
        <v>1.96253381604885E-2</v>
      </c>
      <c r="I14" s="40" t="s">
        <v>140</v>
      </c>
    </row>
    <row r="15" spans="1:10" x14ac:dyDescent="0.25">
      <c r="A15" s="27" t="s">
        <v>56</v>
      </c>
      <c r="B15" s="93"/>
      <c r="C15" s="8">
        <f>'Résultats - Immo'!D9</f>
        <v>70000</v>
      </c>
      <c r="D15" s="105">
        <f t="shared" si="0"/>
        <v>5.4873804815567633E-2</v>
      </c>
      <c r="E15" s="8">
        <f>'Résultats - Immo'!E9</f>
        <v>70000</v>
      </c>
      <c r="F15" s="105">
        <f t="shared" si="1"/>
        <v>5.5971280911878987E-2</v>
      </c>
      <c r="G15" s="8">
        <f>'Résultats - Immo'!F9</f>
        <v>70000</v>
      </c>
      <c r="H15" s="92">
        <f t="shared" si="2"/>
        <v>5.7090706530116574E-2</v>
      </c>
      <c r="I15" s="40" t="s">
        <v>176</v>
      </c>
    </row>
    <row r="16" spans="1:10" x14ac:dyDescent="0.25">
      <c r="A16" s="27" t="s">
        <v>25</v>
      </c>
      <c r="B16" s="93"/>
      <c r="C16" s="8">
        <f>ROUND(+E16*1.05,0)</f>
        <v>22050</v>
      </c>
      <c r="D16" s="92">
        <f t="shared" si="0"/>
        <v>1.7285248516903804E-2</v>
      </c>
      <c r="E16" s="8">
        <f>ROUND(+G16*1.05,0)</f>
        <v>21000</v>
      </c>
      <c r="F16" s="92">
        <f t="shared" si="1"/>
        <v>1.6791384273563695E-2</v>
      </c>
      <c r="G16" s="8">
        <v>20000</v>
      </c>
      <c r="H16" s="92">
        <f t="shared" si="2"/>
        <v>1.6311630437176164E-2</v>
      </c>
      <c r="I16" s="40" t="s">
        <v>141</v>
      </c>
    </row>
    <row r="17" spans="1:13" x14ac:dyDescent="0.25">
      <c r="A17" s="39" t="s">
        <v>77</v>
      </c>
      <c r="B17" s="93"/>
      <c r="C17" s="8">
        <f>ROUND(+E17*1.05,0)</f>
        <v>6615</v>
      </c>
      <c r="D17" s="92">
        <f t="shared" si="0"/>
        <v>5.1855745550711419E-3</v>
      </c>
      <c r="E17" s="8">
        <f>ROUND(+G17*1.05,0)</f>
        <v>6300</v>
      </c>
      <c r="F17" s="92">
        <f t="shared" si="1"/>
        <v>5.0374152820691085E-3</v>
      </c>
      <c r="G17" s="8">
        <f>500*12</f>
        <v>6000</v>
      </c>
      <c r="H17" s="92">
        <f t="shared" si="2"/>
        <v>4.893489131152849E-3</v>
      </c>
      <c r="I17" s="40" t="s">
        <v>163</v>
      </c>
    </row>
    <row r="18" spans="1:13" x14ac:dyDescent="0.25">
      <c r="A18" s="27" t="s">
        <v>136</v>
      </c>
      <c r="B18" s="93"/>
      <c r="C18" s="8">
        <f>ROUND(+E18*1.05,0)</f>
        <v>8083</v>
      </c>
      <c r="D18" s="92">
        <f t="shared" si="0"/>
        <v>6.3363566332033314E-3</v>
      </c>
      <c r="E18" s="8">
        <f>ROUND(+G18*1.05,0)</f>
        <v>7698</v>
      </c>
      <c r="F18" s="92">
        <f t="shared" si="1"/>
        <v>6.1552417208520635E-3</v>
      </c>
      <c r="G18" s="8">
        <f>ROUND('Hypothèses - Veta'!C25,0)</f>
        <v>7331</v>
      </c>
      <c r="H18" s="92">
        <f t="shared" si="2"/>
        <v>5.9790281367469228E-3</v>
      </c>
      <c r="I18" s="40" t="s">
        <v>143</v>
      </c>
    </row>
    <row r="19" spans="1:13" x14ac:dyDescent="0.25">
      <c r="A19" s="27" t="s">
        <v>26</v>
      </c>
      <c r="B19" s="93"/>
      <c r="C19" s="8">
        <f>ROUND(+E19*1.05,0)</f>
        <v>10249</v>
      </c>
      <c r="D19" s="92">
        <f t="shared" si="0"/>
        <v>8.0343089364964676E-3</v>
      </c>
      <c r="E19" s="8">
        <f>ROUND(+G19*1.05,0)</f>
        <v>9761</v>
      </c>
      <c r="F19" s="92">
        <f t="shared" si="1"/>
        <v>7.8047953282978687E-3</v>
      </c>
      <c r="G19" s="8">
        <f>ROUND('Hypothèses - Veta'!D25,0)</f>
        <v>9296</v>
      </c>
      <c r="H19" s="92">
        <f t="shared" si="2"/>
        <v>7.5816458271994805E-3</v>
      </c>
      <c r="I19" s="40" t="s">
        <v>143</v>
      </c>
    </row>
    <row r="20" spans="1:13" x14ac:dyDescent="0.25">
      <c r="A20" s="27" t="s">
        <v>24</v>
      </c>
      <c r="B20" s="93"/>
      <c r="C20" s="8">
        <f t="shared" ref="C20:C24" si="3">ROUND(+E20*1.05,0)</f>
        <v>3308</v>
      </c>
      <c r="D20" s="92">
        <f t="shared" si="0"/>
        <v>2.5931792332842532E-3</v>
      </c>
      <c r="E20" s="8">
        <f t="shared" ref="E20:E24" si="4">ROUND(+G20*1.05,0)</f>
        <v>3150</v>
      </c>
      <c r="F20" s="92">
        <f t="shared" si="1"/>
        <v>2.5187076410345542E-3</v>
      </c>
      <c r="G20" s="8">
        <v>3000</v>
      </c>
      <c r="H20" s="92">
        <f t="shared" si="2"/>
        <v>2.4467445655764245E-3</v>
      </c>
      <c r="I20" s="40" t="s">
        <v>167</v>
      </c>
    </row>
    <row r="21" spans="1:13" x14ac:dyDescent="0.25">
      <c r="A21" s="27" t="s">
        <v>41</v>
      </c>
      <c r="B21" s="93"/>
      <c r="C21" s="8">
        <f t="shared" si="3"/>
        <v>1924</v>
      </c>
      <c r="D21" s="92">
        <f t="shared" si="0"/>
        <v>1.5082457209307446E-3</v>
      </c>
      <c r="E21" s="8">
        <f t="shared" si="4"/>
        <v>1832</v>
      </c>
      <c r="F21" s="92">
        <f t="shared" si="1"/>
        <v>1.4648483804366042E-3</v>
      </c>
      <c r="G21" s="8">
        <f>ROUND('Hypothèses - Veta'!F25,0)</f>
        <v>1745</v>
      </c>
      <c r="H21" s="92">
        <f t="shared" si="2"/>
        <v>1.4231897556436202E-3</v>
      </c>
      <c r="I21" s="40" t="s">
        <v>143</v>
      </c>
    </row>
    <row r="22" spans="1:13" x14ac:dyDescent="0.25">
      <c r="A22" s="39" t="s">
        <v>58</v>
      </c>
      <c r="B22" s="93"/>
      <c r="C22" s="8">
        <f t="shared" si="3"/>
        <v>5671</v>
      </c>
      <c r="D22" s="92">
        <f t="shared" si="0"/>
        <v>4.4455621015583435E-3</v>
      </c>
      <c r="E22" s="8">
        <f t="shared" si="4"/>
        <v>5401</v>
      </c>
      <c r="F22" s="92">
        <f t="shared" si="1"/>
        <v>4.3185841172151199E-3</v>
      </c>
      <c r="G22" s="8">
        <f>ROUND('Hypothèses - Veta'!G25,0)</f>
        <v>5144</v>
      </c>
      <c r="H22" s="92">
        <f t="shared" si="2"/>
        <v>4.1953513484417095E-3</v>
      </c>
      <c r="I22" s="40" t="s">
        <v>143</v>
      </c>
    </row>
    <row r="23" spans="1:13" x14ac:dyDescent="0.25">
      <c r="A23" s="39" t="s">
        <v>57</v>
      </c>
      <c r="B23" s="93"/>
      <c r="C23" s="8">
        <f t="shared" si="3"/>
        <v>5692</v>
      </c>
      <c r="D23" s="92">
        <f t="shared" si="0"/>
        <v>4.4620242430030137E-3</v>
      </c>
      <c r="E23" s="8">
        <f t="shared" si="4"/>
        <v>5421</v>
      </c>
      <c r="F23" s="92">
        <f t="shared" si="1"/>
        <v>4.3345759117613715E-3</v>
      </c>
      <c r="G23" s="8">
        <f>ROUND('Hypothèses - Veta'!H25,0)</f>
        <v>5163</v>
      </c>
      <c r="H23" s="92">
        <f t="shared" si="2"/>
        <v>4.2108473973570268E-3</v>
      </c>
      <c r="I23" s="40" t="s">
        <v>143</v>
      </c>
    </row>
    <row r="24" spans="1:13" x14ac:dyDescent="0.25">
      <c r="A24" s="39" t="s">
        <v>27</v>
      </c>
      <c r="B24" s="93"/>
      <c r="C24" s="8">
        <f t="shared" si="3"/>
        <v>14156</v>
      </c>
      <c r="D24" s="92">
        <f t="shared" si="0"/>
        <v>1.1097051156702507E-2</v>
      </c>
      <c r="E24" s="8">
        <f t="shared" si="4"/>
        <v>13482</v>
      </c>
      <c r="F24" s="92">
        <f t="shared" si="1"/>
        <v>1.0780068703627892E-2</v>
      </c>
      <c r="G24" s="8">
        <f>ROUND('Hypothèses - Veta'!I25,0)</f>
        <v>12840</v>
      </c>
      <c r="H24" s="92">
        <f t="shared" si="2"/>
        <v>1.0472066740667097E-2</v>
      </c>
      <c r="I24" s="40" t="s">
        <v>143</v>
      </c>
    </row>
    <row r="25" spans="1:13" x14ac:dyDescent="0.25">
      <c r="A25" s="39" t="s">
        <v>47</v>
      </c>
      <c r="B25" s="93"/>
      <c r="C25" s="8">
        <f>'Hypothèses - Veta'!H41</f>
        <v>1728</v>
      </c>
      <c r="D25" s="92">
        <f t="shared" si="0"/>
        <v>1.3545990674471552E-3</v>
      </c>
      <c r="E25" s="8">
        <f>'Hypothèses - Veta'!G41</f>
        <v>2165</v>
      </c>
      <c r="F25" s="92">
        <f t="shared" si="1"/>
        <v>1.7311117596316857E-3</v>
      </c>
      <c r="G25" s="8">
        <f>'Hypothèses - Veta'!F41</f>
        <v>2716</v>
      </c>
      <c r="H25" s="92">
        <f t="shared" si="2"/>
        <v>2.2151194133685228E-3</v>
      </c>
      <c r="I25" s="40" t="s">
        <v>154</v>
      </c>
    </row>
    <row r="26" spans="1:13" x14ac:dyDescent="0.25">
      <c r="A26" s="39" t="s">
        <v>48</v>
      </c>
      <c r="B26" s="93"/>
      <c r="C26" s="8">
        <f>ROUND('Prêt - Veta'!H76+'BPV - Veta'!H76,0)</f>
        <v>32640</v>
      </c>
      <c r="D26" s="92">
        <f t="shared" si="0"/>
        <v>2.5586871274001822E-2</v>
      </c>
      <c r="E26" s="8">
        <f>ROUND('Prêt - Veta'!H60+'BPV - Veta'!H60,0)</f>
        <v>40593</v>
      </c>
      <c r="F26" s="92">
        <f t="shared" si="1"/>
        <v>3.2457745800798625E-2</v>
      </c>
      <c r="G26" s="8">
        <f>ROUND(SUM('BPV - Veta'!H44,'Prêt - Veta'!H44),0)</f>
        <v>48402</v>
      </c>
      <c r="H26" s="92">
        <f t="shared" si="2"/>
        <v>3.9475776821010035E-2</v>
      </c>
      <c r="I26" s="40" t="s">
        <v>156</v>
      </c>
    </row>
    <row r="27" spans="1:13" x14ac:dyDescent="0.25">
      <c r="A27" s="39" t="s">
        <v>42</v>
      </c>
      <c r="B27" s="93"/>
      <c r="C27" s="8">
        <f>ROUND(0.01*C8,0)</f>
        <v>12757</v>
      </c>
      <c r="D27" s="92">
        <f t="shared" si="0"/>
        <v>1.0000358971888518E-2</v>
      </c>
      <c r="E27" s="8">
        <f>ROUND(0.01*E8,0)</f>
        <v>12506</v>
      </c>
      <c r="F27" s="92">
        <f t="shared" si="1"/>
        <v>9.9996691297708374E-3</v>
      </c>
      <c r="G27" s="8">
        <f>ROUND(0.01*G8,0)</f>
        <v>12261</v>
      </c>
      <c r="H27" s="92">
        <f t="shared" si="2"/>
        <v>9.9998450395108462E-3</v>
      </c>
      <c r="I27" s="40" t="s">
        <v>165</v>
      </c>
    </row>
    <row r="28" spans="1:13" x14ac:dyDescent="0.25">
      <c r="A28" s="11"/>
      <c r="B28" s="11"/>
      <c r="C28" s="12">
        <f>SUM(C11:C27)</f>
        <v>864661</v>
      </c>
      <c r="D28" s="12"/>
      <c r="E28" s="12">
        <f>SUM(E11:E27)</f>
        <v>847464</v>
      </c>
      <c r="F28" s="12"/>
      <c r="G28" s="12">
        <f>SUM(G11:G27)</f>
        <v>831250</v>
      </c>
      <c r="H28" s="8"/>
      <c r="I28" s="40"/>
    </row>
    <row r="29" spans="1:13" x14ac:dyDescent="0.25">
      <c r="C29" s="8"/>
      <c r="D29" s="8"/>
      <c r="E29" s="8"/>
      <c r="F29" s="8"/>
      <c r="G29" s="8"/>
      <c r="H29" s="8"/>
      <c r="I29" s="40"/>
    </row>
    <row r="30" spans="1:13" x14ac:dyDescent="0.25">
      <c r="A30" s="1" t="s">
        <v>49</v>
      </c>
      <c r="C30" s="8">
        <f>C8-C28</f>
        <v>410993.20760000008</v>
      </c>
      <c r="D30" s="8"/>
      <c r="E30" s="8">
        <f>E8-E28</f>
        <v>403177.38000000012</v>
      </c>
      <c r="F30" s="8"/>
      <c r="G30" s="8">
        <f>G8-G28</f>
        <v>394869</v>
      </c>
      <c r="H30" s="8"/>
      <c r="I30" s="40"/>
      <c r="K30" s="21"/>
      <c r="L30" s="21"/>
      <c r="M30" s="21"/>
    </row>
    <row r="31" spans="1:13" x14ac:dyDescent="0.25">
      <c r="I31" s="40"/>
      <c r="K31" s="21"/>
    </row>
    <row r="32" spans="1:13" x14ac:dyDescent="0.25">
      <c r="A32" s="28" t="s">
        <v>50</v>
      </c>
      <c r="C32" s="8"/>
      <c r="D32" s="8"/>
      <c r="E32" s="8"/>
      <c r="F32" s="8"/>
      <c r="H32" s="8"/>
      <c r="I32" s="40"/>
    </row>
    <row r="33" spans="1:9" x14ac:dyDescent="0.25">
      <c r="A33" s="31" t="s">
        <v>51</v>
      </c>
      <c r="B33" s="4"/>
      <c r="C33" s="14">
        <f>IF(C30&gt;500000,(500000*0.122)+((C30-500000)*0.265),ROUND(0.122*C30,0))</f>
        <v>50141</v>
      </c>
      <c r="D33" s="14"/>
      <c r="E33" s="14">
        <f>IF(E30&gt;500000,(500000*0.122)+((E30-500000)*0.265),ROUND(0.122*E30,0))</f>
        <v>49188</v>
      </c>
      <c r="F33" s="14"/>
      <c r="G33" s="14">
        <f>IF(G30&gt;500000,(500000*0.122)+((G30-500000)*0.265),ROUND(0.122*G30,0))</f>
        <v>48174</v>
      </c>
      <c r="H33" s="8"/>
      <c r="I33" s="40" t="s">
        <v>171</v>
      </c>
    </row>
    <row r="34" spans="1:9" x14ac:dyDescent="0.25">
      <c r="E34" s="8"/>
      <c r="F34" s="8"/>
      <c r="G34" s="8"/>
      <c r="H34" s="8"/>
      <c r="I34" s="40"/>
    </row>
    <row r="35" spans="1:9" ht="26.45" customHeight="1" thickBot="1" x14ac:dyDescent="0.3">
      <c r="A35" s="16" t="s">
        <v>63</v>
      </c>
      <c r="B35" s="17"/>
      <c r="C35" s="37">
        <f>+C30-C33</f>
        <v>360852.20760000008</v>
      </c>
      <c r="D35" s="37"/>
      <c r="E35" s="37">
        <f>+E30-E33</f>
        <v>353989.38000000012</v>
      </c>
      <c r="F35" s="37"/>
      <c r="G35" s="37">
        <f>+G30-G33</f>
        <v>346695</v>
      </c>
      <c r="H35" s="91"/>
      <c r="I35" s="40"/>
    </row>
    <row r="36" spans="1:9" x14ac:dyDescent="0.25">
      <c r="I36" s="40"/>
    </row>
    <row r="37" spans="1:9" x14ac:dyDescent="0.25">
      <c r="A37" s="1" t="s">
        <v>125</v>
      </c>
      <c r="C37" s="8">
        <f>SUM(C35,C33,C25)</f>
        <v>412721.20760000008</v>
      </c>
      <c r="D37" s="92">
        <f>+C37/$C$8</f>
        <v>0.32353689984411105</v>
      </c>
      <c r="E37" s="8">
        <f>SUM(E35,E33,E25)</f>
        <v>405342.38000000012</v>
      </c>
      <c r="F37" s="92">
        <f>+E37/$C$8</f>
        <v>0.31775255205139502</v>
      </c>
      <c r="G37" s="8">
        <f>SUM(G35,G33,G25)</f>
        <v>397585</v>
      </c>
      <c r="H37" s="92">
        <f>+G37/$C$8</f>
        <v>0.31167145267996371</v>
      </c>
    </row>
    <row r="38" spans="1:9" x14ac:dyDescent="0.25">
      <c r="A38" s="95" t="s">
        <v>126</v>
      </c>
    </row>
    <row r="40" spans="1:9" x14ac:dyDescent="0.25">
      <c r="A40" s="18"/>
    </row>
  </sheetData>
  <pageMargins left="0.55118110236220474" right="0.51181102362204722" top="0.59055118110236227" bottom="0.74803149606299213" header="0.31496062992125984" footer="0.3149606299212598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3A9A-F0D2-4598-B2AD-7E7896AF5F06}">
  <sheetPr>
    <tabColor rgb="FFD01727"/>
  </sheetPr>
  <dimension ref="A1:H45"/>
  <sheetViews>
    <sheetView view="pageLayout" topLeftCell="A2" zoomScaleNormal="100" workbookViewId="0">
      <selection activeCell="F18" sqref="D18:F18"/>
    </sheetView>
  </sheetViews>
  <sheetFormatPr baseColWidth="10" defaultColWidth="11.42578125" defaultRowHeight="15" x14ac:dyDescent="0.25"/>
  <cols>
    <col min="1" max="1" width="29.140625" customWidth="1"/>
    <col min="3" max="3" width="15.140625" customWidth="1"/>
    <col min="4" max="6" width="12.42578125" customWidth="1"/>
  </cols>
  <sheetData>
    <row r="1" spans="1:7" x14ac:dyDescent="0.25">
      <c r="F1">
        <v>2</v>
      </c>
    </row>
    <row r="2" spans="1:7" s="33" customFormat="1" ht="25.9" customHeight="1" x14ac:dyDescent="0.25">
      <c r="A2" s="32" t="str">
        <f>'Résultats - Veta'!A2</f>
        <v>CLINIQUE VÉTÉRINAIRE VETA (ACQUISITION DE CLINIQUE VÉTÉRINAIRE VALLEYFIELD INC.)</v>
      </c>
    </row>
    <row r="3" spans="1:7" s="33" customFormat="1" ht="25.9" customHeight="1" x14ac:dyDescent="0.25">
      <c r="A3" s="32" t="s">
        <v>75</v>
      </c>
    </row>
    <row r="4" spans="1:7" s="33" customFormat="1" ht="25.9" customHeight="1" x14ac:dyDescent="0.25">
      <c r="A4" s="34"/>
      <c r="B4" s="35"/>
      <c r="C4" s="35"/>
      <c r="D4" s="35"/>
      <c r="E4" s="35"/>
      <c r="F4" s="35"/>
    </row>
    <row r="5" spans="1:7" x14ac:dyDescent="0.25">
      <c r="D5" s="2"/>
      <c r="E5" s="2"/>
      <c r="F5" s="2"/>
    </row>
    <row r="6" spans="1:7" x14ac:dyDescent="0.25">
      <c r="D6" s="2"/>
      <c r="E6" s="2"/>
      <c r="F6" s="2"/>
    </row>
    <row r="7" spans="1:7" x14ac:dyDescent="0.25">
      <c r="A7" s="4"/>
      <c r="B7" s="4"/>
      <c r="C7" s="4"/>
      <c r="D7" s="36" t="str">
        <f>'Résultats - Veta'!C6</f>
        <v>Année 3</v>
      </c>
      <c r="E7" s="36" t="str">
        <f>'Résultats - Veta'!E6</f>
        <v>Année 2</v>
      </c>
      <c r="F7" s="36" t="str">
        <f>'Résultats - Veta'!G6</f>
        <v>Année 1</v>
      </c>
    </row>
    <row r="9" spans="1:7" x14ac:dyDescent="0.25">
      <c r="A9" s="1" t="s">
        <v>4</v>
      </c>
    </row>
    <row r="10" spans="1:7" x14ac:dyDescent="0.25">
      <c r="A10" s="1" t="s">
        <v>5</v>
      </c>
      <c r="E10" s="21"/>
    </row>
    <row r="11" spans="1:7" x14ac:dyDescent="0.25">
      <c r="A11" t="s">
        <v>6</v>
      </c>
      <c r="D11" s="88">
        <f>D37-D12-D16-D18-D13</f>
        <v>574745.5876000002</v>
      </c>
      <c r="E11" s="88">
        <f>E37-E12-E16-E18-E13</f>
        <v>373414.38000000012</v>
      </c>
      <c r="F11" s="88">
        <f>F37-F12-F16-F18-F13</f>
        <v>175557</v>
      </c>
    </row>
    <row r="12" spans="1:7" x14ac:dyDescent="0.25">
      <c r="A12" t="s">
        <v>31</v>
      </c>
      <c r="D12" s="8">
        <v>5000</v>
      </c>
      <c r="E12" s="8">
        <v>5000</v>
      </c>
      <c r="F12" s="8">
        <v>5000</v>
      </c>
      <c r="G12" s="40" t="s">
        <v>146</v>
      </c>
    </row>
    <row r="13" spans="1:7" x14ac:dyDescent="0.25">
      <c r="A13" s="4" t="s">
        <v>145</v>
      </c>
      <c r="B13" s="4"/>
      <c r="C13" s="4"/>
      <c r="D13" s="14">
        <f>ROUND(0.05*'Résultats - Veta'!C8,0)</f>
        <v>63783</v>
      </c>
      <c r="E13" s="14">
        <f>ROUND(0.05*'Résultats - Veta'!E8,0)</f>
        <v>62532</v>
      </c>
      <c r="F13" s="14">
        <f>ROUND(0.05*'Résultats - Veta'!G8,0)</f>
        <v>61306</v>
      </c>
      <c r="G13" s="40" t="s">
        <v>150</v>
      </c>
    </row>
    <row r="14" spans="1:7" x14ac:dyDescent="0.25">
      <c r="A14" s="87"/>
      <c r="B14" s="11"/>
      <c r="C14" s="11"/>
      <c r="D14" s="12">
        <f>SUM(D11:D13)</f>
        <v>643528.5876000002</v>
      </c>
      <c r="E14" s="12">
        <f>SUM(E11:E13)</f>
        <v>440946.38000000012</v>
      </c>
      <c r="F14" s="12">
        <f>SUM(F11:F13)</f>
        <v>241863</v>
      </c>
    </row>
    <row r="15" spans="1:7" x14ac:dyDescent="0.25">
      <c r="A15" s="27"/>
      <c r="D15" s="8"/>
      <c r="E15" s="8"/>
      <c r="F15" s="9"/>
    </row>
    <row r="16" spans="1:7" x14ac:dyDescent="0.25">
      <c r="A16" s="46" t="s">
        <v>73</v>
      </c>
      <c r="B16" s="4"/>
      <c r="C16" s="4"/>
      <c r="D16" s="14">
        <f>+E16-'Résultats - Veta'!C25</f>
        <v>6857</v>
      </c>
      <c r="E16" s="14">
        <f>+F16-'Résultats - Veta'!E25</f>
        <v>8585</v>
      </c>
      <c r="F16" s="14">
        <f>SUM('Hypothèses - Veta'!D37:D40)-'Hypothèses - Veta'!F41</f>
        <v>10750</v>
      </c>
      <c r="G16" s="40" t="s">
        <v>175</v>
      </c>
    </row>
    <row r="17" spans="1:8" x14ac:dyDescent="0.25">
      <c r="A17" s="27"/>
      <c r="D17" s="8"/>
      <c r="E17" s="8"/>
      <c r="F17" s="9"/>
    </row>
    <row r="18" spans="1:8" x14ac:dyDescent="0.25">
      <c r="A18" s="46" t="s">
        <v>157</v>
      </c>
      <c r="B18" s="4"/>
      <c r="C18" s="4"/>
      <c r="D18" s="14">
        <v>1000000</v>
      </c>
      <c r="E18" s="14">
        <v>1000000</v>
      </c>
      <c r="F18" s="14">
        <v>1000000</v>
      </c>
      <c r="G18" s="40" t="s">
        <v>160</v>
      </c>
    </row>
    <row r="19" spans="1:8" x14ac:dyDescent="0.25">
      <c r="A19" s="27"/>
      <c r="D19" s="8"/>
      <c r="E19" s="8"/>
      <c r="F19" s="9"/>
    </row>
    <row r="20" spans="1:8" ht="25.9" customHeight="1" thickBot="1" x14ac:dyDescent="0.3">
      <c r="A20" s="22"/>
      <c r="B20" s="17"/>
      <c r="C20" s="17"/>
      <c r="D20" s="19">
        <f>SUM(D14:D18)</f>
        <v>1650385.5876000002</v>
      </c>
      <c r="E20" s="19">
        <f>SUM(E14:E18)</f>
        <v>1449531.3800000001</v>
      </c>
      <c r="F20" s="19">
        <f>SUM(F14:F18)</f>
        <v>1252613</v>
      </c>
    </row>
    <row r="23" spans="1:8" x14ac:dyDescent="0.25">
      <c r="A23" s="1" t="s">
        <v>7</v>
      </c>
      <c r="G23" s="21"/>
    </row>
    <row r="24" spans="1:8" x14ac:dyDescent="0.25">
      <c r="A24" s="1" t="s">
        <v>5</v>
      </c>
      <c r="F24" s="9"/>
    </row>
    <row r="25" spans="1:8" x14ac:dyDescent="0.25">
      <c r="A25" t="s">
        <v>32</v>
      </c>
      <c r="D25" s="88">
        <f>D13</f>
        <v>63783</v>
      </c>
      <c r="E25" s="88">
        <f>E13</f>
        <v>62532</v>
      </c>
      <c r="F25" s="88">
        <f>F13</f>
        <v>61306</v>
      </c>
      <c r="G25" s="40" t="s">
        <v>150</v>
      </c>
    </row>
    <row r="26" spans="1:8" x14ac:dyDescent="0.25">
      <c r="A26" s="4" t="s">
        <v>123</v>
      </c>
      <c r="B26" s="4"/>
      <c r="C26" s="4"/>
      <c r="D26" s="14">
        <f>ROUND('Prêt - Veta'!I92,0)</f>
        <v>64351</v>
      </c>
      <c r="E26" s="14">
        <f>ROUND('Prêt - Veta'!I76+100000,0)</f>
        <v>161249</v>
      </c>
      <c r="F26" s="14">
        <f>ROUND('Prêt - Veta'!I60+100000,0)</f>
        <v>158297</v>
      </c>
      <c r="G26" s="40" t="s">
        <v>170</v>
      </c>
    </row>
    <row r="27" spans="1:8" x14ac:dyDescent="0.25">
      <c r="A27" s="4"/>
      <c r="B27" s="4"/>
      <c r="C27" s="4"/>
      <c r="D27" s="14">
        <f>SUM(D25:D26)</f>
        <v>128134</v>
      </c>
      <c r="E27" s="14">
        <f>SUM(E25:E26)</f>
        <v>223781</v>
      </c>
      <c r="F27" s="14">
        <f>SUM(F25:F26)</f>
        <v>219603</v>
      </c>
    </row>
    <row r="28" spans="1:8" x14ac:dyDescent="0.25">
      <c r="D28" s="1"/>
      <c r="E28" s="1"/>
    </row>
    <row r="29" spans="1:8" x14ac:dyDescent="0.25">
      <c r="A29" s="46" t="s">
        <v>16</v>
      </c>
      <c r="B29" s="4"/>
      <c r="C29" s="4"/>
      <c r="D29" s="14">
        <f>ROUND('Prêt - Veta'!J76,0)-'Bilan - Veta'!D26+'BPV - Veta'!J76</f>
        <v>460615</v>
      </c>
      <c r="E29" s="14">
        <f>ROUND('Prêt - Veta'!J60,0)-'Bilan - Veta'!E26+'BPV - Veta'!J60</f>
        <v>524966</v>
      </c>
      <c r="F29" s="14">
        <f>ROUND('Prêt - Veta'!J44,0)-F26+'BPV - Veta'!J44</f>
        <v>686215</v>
      </c>
      <c r="G29" s="40" t="s">
        <v>174</v>
      </c>
      <c r="H29" s="9"/>
    </row>
    <row r="30" spans="1:8" x14ac:dyDescent="0.25">
      <c r="D30" s="1"/>
      <c r="E30" s="1"/>
      <c r="G30" s="40"/>
    </row>
    <row r="31" spans="1:8" x14ac:dyDescent="0.25">
      <c r="A31" s="4"/>
      <c r="B31" s="4"/>
      <c r="C31" s="4"/>
      <c r="D31" s="14">
        <f>SUM(D27:D29)</f>
        <v>588749</v>
      </c>
      <c r="E31" s="14">
        <f>SUM(E27:E29)</f>
        <v>748747</v>
      </c>
      <c r="F31" s="14">
        <f>SUM(F27:F29)</f>
        <v>905818</v>
      </c>
    </row>
    <row r="32" spans="1:8" x14ac:dyDescent="0.25">
      <c r="D32" s="1"/>
      <c r="E32" s="1"/>
      <c r="G32" s="9"/>
    </row>
    <row r="33" spans="1:6" x14ac:dyDescent="0.25">
      <c r="A33" s="1" t="s">
        <v>18</v>
      </c>
      <c r="D33" s="1"/>
      <c r="E33" s="1"/>
    </row>
    <row r="34" spans="1:6" x14ac:dyDescent="0.25">
      <c r="A34" s="27" t="s">
        <v>19</v>
      </c>
      <c r="D34" s="8">
        <v>100</v>
      </c>
      <c r="E34" s="8">
        <v>100</v>
      </c>
      <c r="F34" s="8">
        <v>100</v>
      </c>
    </row>
    <row r="35" spans="1:6" x14ac:dyDescent="0.25">
      <c r="A35" s="31" t="s">
        <v>20</v>
      </c>
      <c r="B35" s="4"/>
      <c r="C35" s="4"/>
      <c r="D35" s="14">
        <f>SUM('Résultats - Veta'!C35:G35)</f>
        <v>1061536.5876000002</v>
      </c>
      <c r="E35" s="14">
        <f>SUM('Résultats - Veta'!E35:G35)</f>
        <v>700684.38000000012</v>
      </c>
      <c r="F35" s="14">
        <f>'Résultats - Veta'!G35</f>
        <v>346695</v>
      </c>
    </row>
    <row r="36" spans="1:6" x14ac:dyDescent="0.25">
      <c r="A36" s="4"/>
      <c r="B36" s="4"/>
      <c r="C36" s="4"/>
      <c r="D36" s="14">
        <f>+D34+D35</f>
        <v>1061636.5876000002</v>
      </c>
      <c r="E36" s="14">
        <f>+E34+E35</f>
        <v>700784.38000000012</v>
      </c>
      <c r="F36" s="14">
        <f>+F34+F35</f>
        <v>346795</v>
      </c>
    </row>
    <row r="37" spans="1:6" ht="25.9" customHeight="1" thickBot="1" x14ac:dyDescent="0.3">
      <c r="A37" s="17"/>
      <c r="B37" s="17"/>
      <c r="C37" s="17"/>
      <c r="D37" s="19">
        <f>+D31+D36</f>
        <v>1650385.5876000002</v>
      </c>
      <c r="E37" s="19">
        <f>+E31+E36</f>
        <v>1449531.3800000001</v>
      </c>
      <c r="F37" s="19">
        <f>+F31+F36</f>
        <v>1252613</v>
      </c>
    </row>
    <row r="39" spans="1:6" x14ac:dyDescent="0.25">
      <c r="F39" s="24" t="s">
        <v>129</v>
      </c>
    </row>
    <row r="41" spans="1:6" x14ac:dyDescent="0.25">
      <c r="C41" s="4"/>
      <c r="D41" s="4"/>
      <c r="E41" s="4"/>
      <c r="F41" s="25" t="s">
        <v>130</v>
      </c>
    </row>
    <row r="44" spans="1:6" x14ac:dyDescent="0.25">
      <c r="A44" t="s">
        <v>131</v>
      </c>
    </row>
    <row r="45" spans="1:6" x14ac:dyDescent="0.25">
      <c r="F45" s="25"/>
    </row>
  </sheetData>
  <pageMargins left="0.62992125984251968" right="0.51181102362204722" top="0.59055118110236227" bottom="0.74803149606299213" header="0.31496062992125984" footer="0.31496062992125984"/>
  <pageSetup paperSize="11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18A18-96C4-4617-A903-4AAEF35EE72C}">
  <sheetPr>
    <tabColor rgb="FF5BC1A8"/>
  </sheetPr>
  <dimension ref="A2:M40"/>
  <sheetViews>
    <sheetView view="pageLayout" topLeftCell="A4" zoomScaleNormal="115" workbookViewId="0">
      <selection activeCell="E37" sqref="E37"/>
    </sheetView>
  </sheetViews>
  <sheetFormatPr baseColWidth="10" defaultColWidth="11.42578125" defaultRowHeight="15" x14ac:dyDescent="0.25"/>
  <cols>
    <col min="1" max="1" width="28.28515625" customWidth="1"/>
    <col min="3" max="3" width="12.28515625" customWidth="1"/>
    <col min="4" max="4" width="5.140625" bestFit="1" customWidth="1"/>
    <col min="5" max="5" width="12.42578125" customWidth="1"/>
    <col min="6" max="6" width="5" customWidth="1"/>
    <col min="7" max="7" width="12.7109375" customWidth="1"/>
    <col min="8" max="8" width="5" customWidth="1"/>
    <col min="10" max="10" width="11.85546875" customWidth="1"/>
  </cols>
  <sheetData>
    <row r="2" spans="1:9" s="33" customFormat="1" ht="25.15" customHeight="1" x14ac:dyDescent="0.25">
      <c r="A2" s="32" t="s">
        <v>43</v>
      </c>
    </row>
    <row r="3" spans="1:9" s="33" customFormat="1" ht="25.15" customHeight="1" x14ac:dyDescent="0.25">
      <c r="A3" s="32" t="s">
        <v>74</v>
      </c>
    </row>
    <row r="4" spans="1:9" s="33" customFormat="1" ht="25.15" customHeight="1" x14ac:dyDescent="0.25">
      <c r="A4" s="34" t="s">
        <v>122</v>
      </c>
      <c r="B4" s="35"/>
      <c r="C4" s="35"/>
      <c r="D4" s="35"/>
      <c r="E4" s="35"/>
      <c r="F4" s="35"/>
      <c r="G4" s="35"/>
    </row>
    <row r="5" spans="1:9" s="33" customFormat="1" x14ac:dyDescent="0.25">
      <c r="A5" s="32"/>
    </row>
    <row r="7" spans="1:9" x14ac:dyDescent="0.25">
      <c r="A7" s="4"/>
      <c r="B7" s="4"/>
      <c r="C7" s="36"/>
      <c r="D7" s="36"/>
      <c r="E7" s="36"/>
      <c r="F7" s="36"/>
      <c r="G7" s="36" t="s">
        <v>52</v>
      </c>
      <c r="H7" s="90"/>
    </row>
    <row r="9" spans="1:9" x14ac:dyDescent="0.25">
      <c r="A9" s="3" t="s">
        <v>44</v>
      </c>
      <c r="B9" s="4"/>
      <c r="C9" s="38"/>
      <c r="D9" s="38"/>
      <c r="E9" s="38"/>
      <c r="F9" s="38"/>
      <c r="G9" s="38">
        <v>1124170</v>
      </c>
      <c r="H9" s="23"/>
      <c r="I9" s="40"/>
    </row>
    <row r="10" spans="1:9" x14ac:dyDescent="0.25">
      <c r="A10" s="7" t="s">
        <v>1</v>
      </c>
      <c r="F10" s="1"/>
      <c r="G10" s="1"/>
      <c r="H10" s="1"/>
      <c r="I10" s="40"/>
    </row>
    <row r="11" spans="1:9" x14ac:dyDescent="0.25">
      <c r="A11" s="1" t="s">
        <v>46</v>
      </c>
      <c r="F11" s="1"/>
      <c r="G11" s="1"/>
      <c r="H11" s="1"/>
      <c r="I11" s="40"/>
    </row>
    <row r="12" spans="1:9" x14ac:dyDescent="0.25">
      <c r="A12" s="27" t="s">
        <v>53</v>
      </c>
      <c r="C12" s="8"/>
      <c r="D12" s="92"/>
      <c r="E12" s="92"/>
      <c r="F12" s="92"/>
      <c r="G12" s="8">
        <f>0.345*G9</f>
        <v>387838.64999999997</v>
      </c>
      <c r="H12" s="92">
        <f>+G12/$G$9</f>
        <v>0.34499999999999997</v>
      </c>
      <c r="I12" s="40"/>
    </row>
    <row r="13" spans="1:9" x14ac:dyDescent="0.25">
      <c r="A13" s="27" t="s">
        <v>54</v>
      </c>
      <c r="C13" s="8"/>
      <c r="D13" s="92"/>
      <c r="E13" s="92"/>
      <c r="F13" s="92"/>
      <c r="G13" s="8">
        <f>ROUND(0.34*(G9*0.93)+0.4*(G9*0.07),0)</f>
        <v>386939</v>
      </c>
      <c r="H13" s="92">
        <f>+G13/$G$9</f>
        <v>0.3441997206828149</v>
      </c>
      <c r="I13" s="40"/>
    </row>
    <row r="14" spans="1:9" x14ac:dyDescent="0.25">
      <c r="A14" s="27" t="s">
        <v>55</v>
      </c>
      <c r="C14" s="8"/>
      <c r="D14" s="92"/>
      <c r="E14" s="92"/>
      <c r="F14" s="92"/>
      <c r="G14" s="8">
        <f>ROUND(0.056*G9,-3)</f>
        <v>63000</v>
      </c>
      <c r="H14" s="92">
        <f>+G14/$G$9</f>
        <v>5.6041346059759647E-2</v>
      </c>
      <c r="I14" s="40"/>
    </row>
    <row r="15" spans="1:9" x14ac:dyDescent="0.25">
      <c r="A15" s="27" t="s">
        <v>56</v>
      </c>
      <c r="C15" s="8"/>
      <c r="D15" s="92"/>
      <c r="E15" s="92"/>
      <c r="F15" s="92"/>
      <c r="G15" s="8">
        <v>131017</v>
      </c>
      <c r="H15" s="92">
        <f t="shared" ref="H15:H27" si="0">+G15/$G$9</f>
        <v>0.11654554026526237</v>
      </c>
      <c r="I15" s="40"/>
    </row>
    <row r="16" spans="1:9" x14ac:dyDescent="0.25">
      <c r="A16" s="27" t="s">
        <v>25</v>
      </c>
      <c r="C16" s="8"/>
      <c r="D16" s="92"/>
      <c r="E16" s="92"/>
      <c r="F16" s="92"/>
      <c r="G16" s="8">
        <v>9270</v>
      </c>
      <c r="H16" s="92">
        <f t="shared" si="0"/>
        <v>8.246083777364634E-3</v>
      </c>
      <c r="I16" s="40"/>
    </row>
    <row r="17" spans="1:13" x14ac:dyDescent="0.25">
      <c r="A17" s="27" t="s">
        <v>41</v>
      </c>
      <c r="C17" s="8"/>
      <c r="D17" s="92"/>
      <c r="E17" s="92"/>
      <c r="F17" s="92"/>
      <c r="G17" s="8">
        <v>1500</v>
      </c>
      <c r="H17" s="92">
        <f t="shared" si="0"/>
        <v>1.3343177633276106E-3</v>
      </c>
      <c r="I17" s="40"/>
    </row>
    <row r="18" spans="1:13" x14ac:dyDescent="0.25">
      <c r="A18" s="27" t="s">
        <v>26</v>
      </c>
      <c r="C18" s="8"/>
      <c r="D18" s="92"/>
      <c r="E18" s="92"/>
      <c r="F18" s="92"/>
      <c r="G18" s="8">
        <v>4447</v>
      </c>
      <c r="H18" s="92">
        <f t="shared" si="0"/>
        <v>3.9558073956785893E-3</v>
      </c>
      <c r="I18" s="40"/>
    </row>
    <row r="19" spans="1:13" x14ac:dyDescent="0.25">
      <c r="A19" s="27" t="s">
        <v>24</v>
      </c>
      <c r="C19" s="8"/>
      <c r="D19" s="92"/>
      <c r="E19" s="92"/>
      <c r="F19" s="92"/>
      <c r="G19" s="8">
        <v>4200</v>
      </c>
      <c r="H19" s="92">
        <f t="shared" si="0"/>
        <v>3.7360897373173098E-3</v>
      </c>
      <c r="I19" s="40"/>
    </row>
    <row r="20" spans="1:13" x14ac:dyDescent="0.25">
      <c r="A20" s="39" t="s">
        <v>57</v>
      </c>
      <c r="C20" s="8"/>
      <c r="D20" s="92"/>
      <c r="E20" s="92"/>
      <c r="F20" s="92"/>
      <c r="G20" s="8">
        <v>25120</v>
      </c>
      <c r="H20" s="92">
        <f t="shared" si="0"/>
        <v>2.2345374809859719E-2</v>
      </c>
      <c r="I20" s="40"/>
    </row>
    <row r="21" spans="1:13" x14ac:dyDescent="0.25">
      <c r="A21" s="39" t="s">
        <v>58</v>
      </c>
      <c r="C21" s="8"/>
      <c r="D21" s="92"/>
      <c r="E21" s="92"/>
      <c r="F21" s="92"/>
      <c r="G21" s="8">
        <v>1030</v>
      </c>
      <c r="H21" s="92">
        <f t="shared" si="0"/>
        <v>9.1623153081829263E-4</v>
      </c>
      <c r="I21" s="40"/>
    </row>
    <row r="22" spans="1:13" x14ac:dyDescent="0.25">
      <c r="A22" s="39" t="s">
        <v>76</v>
      </c>
      <c r="C22" s="8"/>
      <c r="D22" s="92"/>
      <c r="E22" s="92"/>
      <c r="F22" s="92"/>
      <c r="G22" s="8">
        <v>33482</v>
      </c>
      <c r="H22" s="92">
        <f t="shared" si="0"/>
        <v>2.9783751567823372E-2</v>
      </c>
      <c r="I22" s="40"/>
    </row>
    <row r="23" spans="1:13" x14ac:dyDescent="0.25">
      <c r="A23" s="39" t="s">
        <v>77</v>
      </c>
      <c r="C23" s="8"/>
      <c r="D23" s="92"/>
      <c r="E23" s="92"/>
      <c r="F23" s="92"/>
      <c r="G23" s="8">
        <v>6180</v>
      </c>
      <c r="H23" s="92">
        <f t="shared" si="0"/>
        <v>5.497389184909756E-3</v>
      </c>
      <c r="I23" s="40"/>
    </row>
    <row r="24" spans="1:13" x14ac:dyDescent="0.25">
      <c r="A24" s="39" t="s">
        <v>27</v>
      </c>
      <c r="C24" s="8"/>
      <c r="D24" s="92"/>
      <c r="E24" s="92"/>
      <c r="F24" s="92"/>
      <c r="G24" s="8">
        <v>7500</v>
      </c>
      <c r="H24" s="92">
        <f t="shared" si="0"/>
        <v>6.6715888166380532E-3</v>
      </c>
      <c r="I24" s="40"/>
    </row>
    <row r="25" spans="1:13" x14ac:dyDescent="0.25">
      <c r="A25" s="39" t="s">
        <v>47</v>
      </c>
      <c r="C25" s="8"/>
      <c r="D25" s="92"/>
      <c r="E25" s="92"/>
      <c r="F25" s="92"/>
      <c r="G25" s="8">
        <v>149740</v>
      </c>
      <c r="H25" s="92">
        <f t="shared" si="0"/>
        <v>0.13320049458711761</v>
      </c>
      <c r="I25" s="40"/>
    </row>
    <row r="26" spans="1:13" x14ac:dyDescent="0.25">
      <c r="A26" s="39" t="s">
        <v>48</v>
      </c>
      <c r="C26" s="8"/>
      <c r="D26" s="92"/>
      <c r="E26" s="92"/>
      <c r="F26" s="92"/>
      <c r="G26" s="8">
        <v>54920</v>
      </c>
      <c r="H26" s="92">
        <f t="shared" si="0"/>
        <v>4.8853821041301586E-2</v>
      </c>
      <c r="I26" s="40"/>
    </row>
    <row r="27" spans="1:13" x14ac:dyDescent="0.25">
      <c r="A27" s="39" t="s">
        <v>42</v>
      </c>
      <c r="C27" s="8"/>
      <c r="D27" s="92"/>
      <c r="E27" s="92"/>
      <c r="F27" s="92"/>
      <c r="G27" s="8">
        <v>7725</v>
      </c>
      <c r="H27" s="92">
        <f t="shared" si="0"/>
        <v>6.8717364811371941E-3</v>
      </c>
      <c r="I27" s="40"/>
    </row>
    <row r="28" spans="1:13" x14ac:dyDescent="0.25">
      <c r="A28" s="11"/>
      <c r="B28" s="11"/>
      <c r="C28" s="12"/>
      <c r="D28" s="12"/>
      <c r="E28" s="12"/>
      <c r="F28" s="12"/>
      <c r="G28" s="12">
        <f>SUM(G12:G27)</f>
        <v>1273908.6499999999</v>
      </c>
      <c r="H28" s="8"/>
      <c r="I28" s="40"/>
    </row>
    <row r="29" spans="1:13" x14ac:dyDescent="0.25">
      <c r="C29" s="8"/>
      <c r="D29" s="8"/>
      <c r="E29" s="8"/>
      <c r="F29" s="8"/>
      <c r="G29" s="8"/>
      <c r="H29" s="8"/>
      <c r="I29" s="40"/>
    </row>
    <row r="30" spans="1:13" x14ac:dyDescent="0.25">
      <c r="A30" s="1" t="s">
        <v>49</v>
      </c>
      <c r="C30" s="8"/>
      <c r="D30" s="8"/>
      <c r="E30" s="8"/>
      <c r="F30" s="8"/>
      <c r="G30" s="8">
        <f>G9-G28</f>
        <v>-149738.64999999991</v>
      </c>
      <c r="H30" s="8"/>
      <c r="I30" s="40"/>
      <c r="K30" s="21"/>
      <c r="L30" s="21"/>
      <c r="M30" s="21"/>
    </row>
    <row r="31" spans="1:13" x14ac:dyDescent="0.25">
      <c r="I31" s="40"/>
      <c r="K31" s="21"/>
    </row>
    <row r="32" spans="1:13" x14ac:dyDescent="0.25">
      <c r="A32" s="28" t="s">
        <v>50</v>
      </c>
      <c r="C32" s="8"/>
      <c r="D32" s="8"/>
      <c r="E32" s="8"/>
      <c r="F32" s="8"/>
      <c r="G32" s="8"/>
      <c r="H32" s="8"/>
      <c r="I32" s="40"/>
    </row>
    <row r="33" spans="1:9" x14ac:dyDescent="0.25">
      <c r="A33" s="31" t="s">
        <v>51</v>
      </c>
      <c r="B33" s="4"/>
      <c r="C33" s="14"/>
      <c r="D33" s="14"/>
      <c r="E33" s="14"/>
      <c r="F33" s="14"/>
      <c r="G33" s="14">
        <f>IF(ROUND(0.122*G30,0)&lt;0,0,ROUND(0.122*G30,0))</f>
        <v>0</v>
      </c>
      <c r="H33" s="8"/>
      <c r="I33" s="40"/>
    </row>
    <row r="34" spans="1:9" x14ac:dyDescent="0.25">
      <c r="F34" s="8"/>
      <c r="G34" s="8"/>
      <c r="H34" s="8"/>
      <c r="I34" s="40"/>
    </row>
    <row r="35" spans="1:9" ht="26.45" customHeight="1" thickBot="1" x14ac:dyDescent="0.3">
      <c r="A35" s="16" t="s">
        <v>63</v>
      </c>
      <c r="B35" s="17"/>
      <c r="C35" s="37"/>
      <c r="D35" s="37"/>
      <c r="E35" s="37"/>
      <c r="F35" s="37"/>
      <c r="G35" s="37">
        <f>+G30-G33</f>
        <v>-149738.64999999991</v>
      </c>
      <c r="H35" s="91"/>
      <c r="I35" s="40"/>
    </row>
    <row r="36" spans="1:9" x14ac:dyDescent="0.25">
      <c r="I36" s="40"/>
    </row>
    <row r="37" spans="1:9" x14ac:dyDescent="0.25">
      <c r="A37" s="1" t="s">
        <v>125</v>
      </c>
      <c r="C37" s="8"/>
      <c r="D37" s="92"/>
      <c r="F37" s="92"/>
      <c r="G37" s="8">
        <f>SUM(G35,G33,G25)</f>
        <v>1.3500000000931323</v>
      </c>
      <c r="H37" s="92"/>
    </row>
    <row r="39" spans="1:9" x14ac:dyDescent="0.25">
      <c r="A39" s="1"/>
    </row>
    <row r="40" spans="1:9" x14ac:dyDescent="0.25">
      <c r="A40" s="18"/>
    </row>
  </sheetData>
  <pageMargins left="0.55118110236220474" right="0.51181102362204722" top="0.59055118110236227" bottom="0.74803149606299213" header="0.31496062992125984" footer="0.3149606299212598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D337-3CF4-41E2-A674-9529B163CB27}">
  <sheetPr>
    <tabColor rgb="FF92101C"/>
  </sheetPr>
  <dimension ref="B2:I48"/>
  <sheetViews>
    <sheetView zoomScaleNormal="100" workbookViewId="0">
      <selection activeCell="D41" sqref="D41"/>
    </sheetView>
  </sheetViews>
  <sheetFormatPr baseColWidth="10" defaultRowHeight="15" x14ac:dyDescent="0.25"/>
  <cols>
    <col min="2" max="2" width="13" bestFit="1" customWidth="1"/>
    <col min="3" max="5" width="13" customWidth="1"/>
    <col min="6" max="6" width="13" bestFit="1" customWidth="1"/>
    <col min="7" max="7" width="13.7109375" customWidth="1"/>
    <col min="9" max="9" width="15.28515625" customWidth="1"/>
    <col min="10" max="10" width="14.7109375" customWidth="1"/>
    <col min="11" max="11" width="18.5703125" customWidth="1"/>
  </cols>
  <sheetData>
    <row r="2" spans="2:3" s="97" customFormat="1" x14ac:dyDescent="0.25">
      <c r="B2" s="97" t="s">
        <v>133</v>
      </c>
    </row>
    <row r="4" spans="2:3" x14ac:dyDescent="0.25">
      <c r="B4">
        <v>2024</v>
      </c>
      <c r="C4" s="98">
        <v>0.2555</v>
      </c>
    </row>
    <row r="5" spans="2:3" x14ac:dyDescent="0.25">
      <c r="B5">
        <v>2023</v>
      </c>
      <c r="C5" s="98">
        <v>0.26960000000000001</v>
      </c>
    </row>
    <row r="6" spans="2:3" x14ac:dyDescent="0.25">
      <c r="B6">
        <v>2022</v>
      </c>
      <c r="C6" s="98">
        <v>0.27789999999999998</v>
      </c>
    </row>
    <row r="7" spans="2:3" x14ac:dyDescent="0.25">
      <c r="B7">
        <v>2021</v>
      </c>
      <c r="C7" s="98">
        <v>0.26729999999999998</v>
      </c>
    </row>
    <row r="8" spans="2:3" ht="15.75" thickBot="1" x14ac:dyDescent="0.3">
      <c r="B8" s="99" t="s">
        <v>61</v>
      </c>
      <c r="C8" s="100">
        <f>AVERAGE(C4:C7)</f>
        <v>0.26757500000000001</v>
      </c>
    </row>
    <row r="10" spans="2:3" s="97" customFormat="1" x14ac:dyDescent="0.25">
      <c r="B10" s="97" t="s">
        <v>59</v>
      </c>
    </row>
    <row r="12" spans="2:3" x14ac:dyDescent="0.25">
      <c r="B12">
        <v>2024</v>
      </c>
      <c r="C12" s="98">
        <v>2.24E-2</v>
      </c>
    </row>
    <row r="13" spans="2:3" x14ac:dyDescent="0.25">
      <c r="B13">
        <v>2023</v>
      </c>
      <c r="C13" s="98">
        <v>2.4E-2</v>
      </c>
    </row>
    <row r="14" spans="2:3" x14ac:dyDescent="0.25">
      <c r="B14">
        <v>2022</v>
      </c>
      <c r="C14" s="98">
        <v>1.8499999999999999E-2</v>
      </c>
    </row>
    <row r="15" spans="2:3" x14ac:dyDescent="0.25">
      <c r="B15">
        <v>2021</v>
      </c>
      <c r="C15" s="98">
        <v>1.3599999999999999E-2</v>
      </c>
    </row>
    <row r="16" spans="2:3" ht="15.75" thickBot="1" x14ac:dyDescent="0.3">
      <c r="B16" s="99" t="s">
        <v>61</v>
      </c>
      <c r="C16" s="100">
        <f>AVERAGE(C12:C15)</f>
        <v>1.9625E-2</v>
      </c>
    </row>
    <row r="18" spans="2:9" s="97" customFormat="1" x14ac:dyDescent="0.25">
      <c r="B18" s="97" t="s">
        <v>144</v>
      </c>
    </row>
    <row r="20" spans="2:9" ht="45" x14ac:dyDescent="0.25">
      <c r="C20" s="102" t="s">
        <v>78</v>
      </c>
      <c r="D20" s="102" t="s">
        <v>142</v>
      </c>
      <c r="E20" s="102" t="s">
        <v>24</v>
      </c>
      <c r="F20" s="102" t="s">
        <v>41</v>
      </c>
      <c r="G20" s="102" t="s">
        <v>58</v>
      </c>
      <c r="H20" s="102" t="s">
        <v>57</v>
      </c>
      <c r="I20" s="102" t="s">
        <v>27</v>
      </c>
    </row>
    <row r="21" spans="2:9" x14ac:dyDescent="0.25">
      <c r="B21">
        <v>2024</v>
      </c>
      <c r="C21" s="41">
        <v>7809</v>
      </c>
      <c r="D21" s="41">
        <v>10068</v>
      </c>
      <c r="E21" s="41">
        <v>6994</v>
      </c>
      <c r="F21" s="41">
        <v>2485</v>
      </c>
      <c r="G21" s="41">
        <v>5549</v>
      </c>
      <c r="H21" s="41">
        <v>3953</v>
      </c>
      <c r="I21" s="41">
        <v>14745</v>
      </c>
    </row>
    <row r="22" spans="2:9" x14ac:dyDescent="0.25">
      <c r="B22">
        <v>2023</v>
      </c>
      <c r="C22" s="41">
        <v>6237</v>
      </c>
      <c r="D22" s="41">
        <v>11018</v>
      </c>
      <c r="E22" s="41">
        <v>6311</v>
      </c>
      <c r="F22" s="41">
        <v>1836</v>
      </c>
      <c r="G22" s="41">
        <v>5581</v>
      </c>
      <c r="H22" s="41">
        <v>5767</v>
      </c>
      <c r="I22" s="41">
        <v>13266</v>
      </c>
    </row>
    <row r="23" spans="2:9" x14ac:dyDescent="0.25">
      <c r="B23">
        <v>2022</v>
      </c>
      <c r="C23" s="41">
        <v>6240</v>
      </c>
      <c r="D23" s="41">
        <v>7544</v>
      </c>
      <c r="E23" s="41">
        <v>5905</v>
      </c>
      <c r="F23" s="41">
        <v>1407</v>
      </c>
      <c r="G23" s="41">
        <v>4806</v>
      </c>
      <c r="H23" s="41">
        <v>5690</v>
      </c>
      <c r="I23" s="41">
        <v>11925</v>
      </c>
    </row>
    <row r="24" spans="2:9" x14ac:dyDescent="0.25">
      <c r="B24">
        <v>2021</v>
      </c>
      <c r="C24" s="41">
        <v>9038</v>
      </c>
      <c r="D24" s="41">
        <v>8553</v>
      </c>
      <c r="E24" s="41">
        <v>5537</v>
      </c>
      <c r="F24" s="41">
        <v>1250</v>
      </c>
      <c r="G24" s="41">
        <v>4640</v>
      </c>
      <c r="H24" s="41">
        <v>5242</v>
      </c>
      <c r="I24" s="41">
        <v>11425</v>
      </c>
    </row>
    <row r="25" spans="2:9" ht="15.75" thickBot="1" x14ac:dyDescent="0.3">
      <c r="B25" s="99" t="s">
        <v>61</v>
      </c>
      <c r="C25" s="101">
        <f>AVERAGE(C21:C24)</f>
        <v>7331</v>
      </c>
      <c r="D25" s="101">
        <f>AVERAGE(D21:D24)</f>
        <v>9295.75</v>
      </c>
      <c r="E25" s="101">
        <f t="shared" ref="E25:I25" si="0">AVERAGE(E21:E24)</f>
        <v>6186.75</v>
      </c>
      <c r="F25" s="101">
        <f t="shared" si="0"/>
        <v>1744.5</v>
      </c>
      <c r="G25" s="101">
        <f t="shared" si="0"/>
        <v>5144</v>
      </c>
      <c r="H25" s="101">
        <f t="shared" si="0"/>
        <v>5163</v>
      </c>
      <c r="I25" s="101">
        <f t="shared" si="0"/>
        <v>12840.25</v>
      </c>
    </row>
    <row r="27" spans="2:9" s="97" customFormat="1" x14ac:dyDescent="0.25">
      <c r="B27" s="97" t="s">
        <v>147</v>
      </c>
    </row>
    <row r="29" spans="2:9" x14ac:dyDescent="0.25">
      <c r="C29" s="45">
        <v>2024</v>
      </c>
      <c r="D29" s="45">
        <v>2023</v>
      </c>
      <c r="E29" s="45">
        <v>2022</v>
      </c>
      <c r="F29" s="45">
        <v>2021</v>
      </c>
    </row>
    <row r="30" spans="2:9" x14ac:dyDescent="0.25">
      <c r="B30" s="1" t="s">
        <v>148</v>
      </c>
      <c r="C30" s="41">
        <v>1202077</v>
      </c>
      <c r="D30" s="41">
        <v>1214957</v>
      </c>
      <c r="E30" s="41">
        <v>1147980</v>
      </c>
      <c r="F30" s="41">
        <v>1193976</v>
      </c>
    </row>
    <row r="31" spans="2:9" x14ac:dyDescent="0.25">
      <c r="B31" s="1" t="s">
        <v>149</v>
      </c>
      <c r="C31" s="41">
        <v>56954</v>
      </c>
      <c r="D31" s="41">
        <v>61128</v>
      </c>
      <c r="E31" s="41">
        <v>60295</v>
      </c>
      <c r="F31" s="41">
        <v>51969</v>
      </c>
    </row>
    <row r="32" spans="2:9" x14ac:dyDescent="0.25">
      <c r="C32" s="42">
        <f>+C31/C30</f>
        <v>4.7379660371174227E-2</v>
      </c>
      <c r="D32" s="42">
        <f>+D31/D30</f>
        <v>5.031289173197076E-2</v>
      </c>
      <c r="E32" s="42">
        <f>+E31/E30</f>
        <v>5.2522692032962247E-2</v>
      </c>
      <c r="F32" s="42">
        <f>+F31/F30</f>
        <v>4.3526000522623572E-2</v>
      </c>
    </row>
    <row r="34" spans="2:8" s="97" customFormat="1" x14ac:dyDescent="0.25">
      <c r="B34" s="97" t="s">
        <v>62</v>
      </c>
    </row>
    <row r="36" spans="2:8" x14ac:dyDescent="0.25">
      <c r="D36" s="45" t="s">
        <v>153</v>
      </c>
      <c r="E36" s="1"/>
      <c r="F36" s="45" t="s">
        <v>45</v>
      </c>
      <c r="G36" s="45" t="s">
        <v>52</v>
      </c>
      <c r="H36" s="45" t="s">
        <v>119</v>
      </c>
    </row>
    <row r="37" spans="2:8" x14ac:dyDescent="0.25">
      <c r="B37" t="s">
        <v>151</v>
      </c>
      <c r="D37" s="41">
        <f>10258</f>
        <v>10258</v>
      </c>
      <c r="E37" s="103">
        <v>0.2</v>
      </c>
      <c r="F37" s="41">
        <f>+ROUND(D37*E37,0)</f>
        <v>2052</v>
      </c>
      <c r="G37" s="85">
        <f>ROUND((D37-F37)*E37,0)</f>
        <v>1641</v>
      </c>
      <c r="H37" s="85">
        <f>ROUND((D37-F37-G37)*E37,0)</f>
        <v>1313</v>
      </c>
    </row>
    <row r="38" spans="2:8" x14ac:dyDescent="0.25">
      <c r="B38" t="s">
        <v>64</v>
      </c>
      <c r="D38" s="41">
        <v>498</v>
      </c>
      <c r="E38" s="103">
        <v>0.2</v>
      </c>
      <c r="F38" s="41">
        <f t="shared" ref="F38:F40" si="1">+ROUND(D38*E38,0)</f>
        <v>100</v>
      </c>
      <c r="G38" s="85">
        <f t="shared" ref="G38:G40" si="2">ROUND((D38-F38)*E38,0)</f>
        <v>80</v>
      </c>
      <c r="H38" s="85">
        <f>ROUND((D38-F38-G38)*E38,0)</f>
        <v>64</v>
      </c>
    </row>
    <row r="39" spans="2:8" x14ac:dyDescent="0.25">
      <c r="B39" t="s">
        <v>128</v>
      </c>
      <c r="D39" s="41">
        <f>2494</f>
        <v>2494</v>
      </c>
      <c r="E39" s="103">
        <v>0.2</v>
      </c>
      <c r="F39" s="41">
        <f t="shared" si="1"/>
        <v>499</v>
      </c>
      <c r="G39" s="85">
        <f t="shared" si="2"/>
        <v>399</v>
      </c>
      <c r="H39" s="85">
        <f>ROUND((D39-F39-G39)*E39,0)</f>
        <v>319</v>
      </c>
    </row>
    <row r="40" spans="2:8" x14ac:dyDescent="0.25">
      <c r="B40" t="s">
        <v>152</v>
      </c>
      <c r="D40" s="41">
        <f>216</f>
        <v>216</v>
      </c>
      <c r="E40" s="103">
        <v>0.3</v>
      </c>
      <c r="F40" s="41">
        <f t="shared" si="1"/>
        <v>65</v>
      </c>
      <c r="G40" s="85">
        <f t="shared" si="2"/>
        <v>45</v>
      </c>
      <c r="H40" s="85">
        <f>ROUND((D40-F40-G40)*E40,0)</f>
        <v>32</v>
      </c>
    </row>
    <row r="41" spans="2:8" x14ac:dyDescent="0.25">
      <c r="F41" s="104">
        <f>SUM(F37:F40)</f>
        <v>2716</v>
      </c>
      <c r="G41" s="104">
        <f>SUM(G37:G40)</f>
        <v>2165</v>
      </c>
      <c r="H41" s="104">
        <f>SUM(H37:H40)</f>
        <v>1728</v>
      </c>
    </row>
    <row r="42" spans="2:8" ht="14.25" customHeight="1" x14ac:dyDescent="0.25"/>
    <row r="43" spans="2:8" s="97" customFormat="1" x14ac:dyDescent="0.25">
      <c r="B43" s="97" t="s">
        <v>155</v>
      </c>
    </row>
    <row r="45" spans="2:8" x14ac:dyDescent="0.25">
      <c r="C45" s="45">
        <v>2024</v>
      </c>
      <c r="D45" s="45">
        <v>2023</v>
      </c>
      <c r="E45" s="45">
        <v>2022</v>
      </c>
      <c r="F45" s="45">
        <v>2021</v>
      </c>
    </row>
    <row r="46" spans="2:8" x14ac:dyDescent="0.25">
      <c r="B46" s="1" t="s">
        <v>148</v>
      </c>
      <c r="C46" s="41">
        <v>1202077</v>
      </c>
      <c r="D46" s="41">
        <v>1214957</v>
      </c>
      <c r="E46" s="41">
        <v>1147980</v>
      </c>
      <c r="F46" s="41">
        <v>1193976</v>
      </c>
    </row>
    <row r="47" spans="2:8" x14ac:dyDescent="0.25">
      <c r="B47" s="1" t="s">
        <v>155</v>
      </c>
      <c r="C47" s="41">
        <v>42924</v>
      </c>
      <c r="D47" s="41">
        <v>54915</v>
      </c>
      <c r="E47" s="41">
        <v>50848</v>
      </c>
      <c r="F47" s="41">
        <v>55711</v>
      </c>
    </row>
    <row r="48" spans="2:8" x14ac:dyDescent="0.25">
      <c r="C48" s="42">
        <f>+C47/C46</f>
        <v>3.5708195065707105E-2</v>
      </c>
      <c r="D48" s="42">
        <f>+D47/D46</f>
        <v>4.5199130504207145E-2</v>
      </c>
      <c r="E48" s="42">
        <f>+E47/E46</f>
        <v>4.4293454589801218E-2</v>
      </c>
      <c r="F48" s="42">
        <f>+F47/F46</f>
        <v>4.666006686901579E-2</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FE32-DBA9-4164-AADA-47E4EA6FD0DA}">
  <sheetPr>
    <tabColor rgb="FF92101C"/>
    <pageSetUpPr fitToPage="1"/>
  </sheetPr>
  <dimension ref="A1:M124"/>
  <sheetViews>
    <sheetView topLeftCell="A21" workbookViewId="0">
      <selection activeCell="I44" sqref="I44"/>
    </sheetView>
  </sheetViews>
  <sheetFormatPr baseColWidth="10" defaultRowHeight="15" outlineLevelRow="2" outlineLevelCol="1" x14ac:dyDescent="0.25"/>
  <cols>
    <col min="1" max="1" width="18.85546875" customWidth="1"/>
    <col min="2" max="2" width="3.28515625" customWidth="1"/>
    <col min="3" max="3" width="14.85546875" customWidth="1"/>
    <col min="4" max="4" width="2.7109375" customWidth="1"/>
    <col min="5" max="5" width="16.7109375" customWidth="1"/>
    <col min="6" max="6" width="18.7109375" customWidth="1"/>
    <col min="7" max="7" width="15.28515625" customWidth="1"/>
    <col min="8" max="8" width="15.42578125" customWidth="1"/>
    <col min="9" max="9" width="14.85546875" customWidth="1"/>
    <col min="10" max="10" width="12.7109375" customWidth="1"/>
    <col min="11" max="11" width="23.7109375" hidden="1" customWidth="1" outlineLevel="1"/>
    <col min="12" max="12" width="11.42578125" collapsed="1"/>
    <col min="13" max="13" width="13" bestFit="1" customWidth="1"/>
  </cols>
  <sheetData>
    <row r="1" spans="1:11" ht="18.75" x14ac:dyDescent="0.25">
      <c r="A1" s="84" t="str">
        <f>'Bilan - Immo'!A2</f>
        <v>SOCIÉTÉ IMMOBILIÈRE (BÂTIMENT CLINIQUE VÉTÉRINAIRE VALLEYFIELD INC.)</v>
      </c>
      <c r="B1" s="84"/>
      <c r="C1" s="83"/>
      <c r="D1" s="82"/>
      <c r="E1" s="81"/>
      <c r="F1" s="81"/>
      <c r="G1" s="81"/>
      <c r="H1" s="81"/>
      <c r="I1" s="81"/>
    </row>
    <row r="2" spans="1:11" ht="19.5" thickBot="1" x14ac:dyDescent="0.3">
      <c r="A2" s="106">
        <v>45292</v>
      </c>
      <c r="B2" s="106"/>
      <c r="C2" s="106"/>
      <c r="D2" s="106"/>
      <c r="E2" s="106"/>
      <c r="F2" s="80"/>
      <c r="G2" s="80"/>
      <c r="H2" s="80"/>
      <c r="I2" s="80"/>
    </row>
    <row r="4" spans="1:11" ht="15.75" x14ac:dyDescent="0.25">
      <c r="A4" s="79" t="s">
        <v>115</v>
      </c>
      <c r="C4" s="79"/>
      <c r="D4" s="79"/>
      <c r="H4" s="78" t="s">
        <v>114</v>
      </c>
      <c r="I4" s="77"/>
    </row>
    <row r="6" spans="1:11" x14ac:dyDescent="0.25">
      <c r="A6" s="60" t="s">
        <v>113</v>
      </c>
      <c r="B6" s="59"/>
      <c r="C6" s="59"/>
      <c r="D6" s="59"/>
      <c r="E6" s="59"/>
      <c r="F6" s="59"/>
      <c r="G6" s="59"/>
      <c r="H6" s="59"/>
      <c r="I6" s="59"/>
    </row>
    <row r="7" spans="1:11" x14ac:dyDescent="0.25">
      <c r="K7" t="s">
        <v>101</v>
      </c>
    </row>
    <row r="8" spans="1:11" x14ac:dyDescent="0.25">
      <c r="A8" s="1" t="s">
        <v>112</v>
      </c>
      <c r="B8" s="41"/>
      <c r="C8" s="72"/>
      <c r="D8" s="41"/>
      <c r="E8" s="41"/>
      <c r="F8" s="41"/>
      <c r="G8" s="41"/>
      <c r="H8" s="41"/>
      <c r="I8" s="41"/>
      <c r="J8" s="41"/>
      <c r="K8" t="s">
        <v>111</v>
      </c>
    </row>
    <row r="9" spans="1:11" x14ac:dyDescent="0.25">
      <c r="B9" s="41"/>
      <c r="C9" s="41"/>
      <c r="D9" s="41"/>
      <c r="E9" s="71" t="str" cm="1">
        <f t="array" ref="E9">_xlfn.SWITCH(C10,"Fixe","Taux","Variable","TP","Variable BDC","TB")</f>
        <v>TP</v>
      </c>
      <c r="F9" s="71" t="str">
        <f>IF($C$10="Fixe","","+/- prime")</f>
        <v>+/- prime</v>
      </c>
      <c r="G9" s="41"/>
      <c r="H9" s="41"/>
      <c r="I9" s="41"/>
      <c r="J9" s="41"/>
      <c r="K9" s="41" t="s">
        <v>110</v>
      </c>
    </row>
    <row r="10" spans="1:11" x14ac:dyDescent="0.25">
      <c r="A10" s="1" t="s">
        <v>60</v>
      </c>
      <c r="B10" s="41"/>
      <c r="C10" s="76" t="s">
        <v>110</v>
      </c>
      <c r="D10" s="75"/>
      <c r="E10" s="74">
        <v>4.9500000000000002E-2</v>
      </c>
      <c r="F10" s="74"/>
      <c r="G10" s="89"/>
      <c r="H10" s="41"/>
      <c r="I10" s="41"/>
      <c r="J10" s="41"/>
      <c r="K10" s="41" t="s">
        <v>109</v>
      </c>
    </row>
    <row r="11" spans="1:11" x14ac:dyDescent="0.25">
      <c r="B11" s="41"/>
      <c r="E11" s="71"/>
      <c r="F11" s="71"/>
      <c r="G11" s="41"/>
      <c r="H11" s="41"/>
      <c r="I11" s="41"/>
      <c r="J11" s="41"/>
      <c r="K11" s="41"/>
    </row>
    <row r="12" spans="1:11" x14ac:dyDescent="0.25">
      <c r="A12" s="1" t="s">
        <v>84</v>
      </c>
      <c r="B12" s="41"/>
      <c r="C12" s="73" t="s">
        <v>107</v>
      </c>
      <c r="D12" s="52"/>
      <c r="E12" s="72">
        <v>7407.49</v>
      </c>
      <c r="F12" s="2" t="s">
        <v>108</v>
      </c>
      <c r="G12" s="41"/>
      <c r="H12" s="41"/>
      <c r="I12" s="41"/>
      <c r="J12" s="41"/>
      <c r="K12" t="s">
        <v>101</v>
      </c>
    </row>
    <row r="13" spans="1:11" x14ac:dyDescent="0.25">
      <c r="B13" s="41"/>
      <c r="D13" s="41"/>
      <c r="E13" s="41"/>
      <c r="F13" s="41"/>
      <c r="G13" s="41"/>
      <c r="H13" s="41"/>
      <c r="I13" s="41"/>
      <c r="J13" s="41"/>
      <c r="K13" s="41" t="s">
        <v>107</v>
      </c>
    </row>
    <row r="14" spans="1:11" x14ac:dyDescent="0.25">
      <c r="B14" s="41"/>
      <c r="D14" s="41"/>
      <c r="E14" s="43" t="s">
        <v>106</v>
      </c>
      <c r="F14" s="41"/>
      <c r="G14" s="41"/>
      <c r="H14" s="41"/>
      <c r="I14" s="41"/>
      <c r="J14" s="41"/>
      <c r="K14" s="41" t="s">
        <v>105</v>
      </c>
    </row>
    <row r="15" spans="1:11" x14ac:dyDescent="0.25">
      <c r="A15" s="1" t="s">
        <v>104</v>
      </c>
      <c r="B15" s="41"/>
      <c r="C15" s="2" t="s">
        <v>99</v>
      </c>
      <c r="D15" s="41"/>
      <c r="E15" s="107"/>
      <c r="F15" s="107"/>
      <c r="G15" s="107"/>
      <c r="H15" s="107"/>
      <c r="I15" s="107"/>
      <c r="J15" s="41"/>
    </row>
    <row r="16" spans="1:11" x14ac:dyDescent="0.25">
      <c r="A16" s="1" t="s">
        <v>103</v>
      </c>
      <c r="B16" s="41"/>
      <c r="C16" s="2" t="s">
        <v>99</v>
      </c>
      <c r="D16" s="41"/>
      <c r="E16" s="107"/>
      <c r="F16" s="107"/>
      <c r="G16" s="107"/>
      <c r="H16" s="107"/>
      <c r="I16" s="107"/>
      <c r="J16" s="41"/>
      <c r="K16" t="s">
        <v>101</v>
      </c>
    </row>
    <row r="17" spans="1:13" x14ac:dyDescent="0.25">
      <c r="A17" s="1" t="s">
        <v>102</v>
      </c>
      <c r="B17" s="41"/>
      <c r="C17" s="2" t="s">
        <v>99</v>
      </c>
      <c r="D17" s="41"/>
      <c r="E17" s="107"/>
      <c r="F17" s="107"/>
      <c r="G17" s="107"/>
      <c r="H17" s="107"/>
      <c r="I17" s="107"/>
      <c r="J17" s="41"/>
      <c r="K17" s="41" t="s">
        <v>100</v>
      </c>
    </row>
    <row r="18" spans="1:13" x14ac:dyDescent="0.25">
      <c r="B18" s="41"/>
      <c r="C18" s="41"/>
      <c r="D18" s="41"/>
      <c r="E18" s="41"/>
      <c r="F18" s="41"/>
      <c r="G18" s="41"/>
      <c r="H18" s="41"/>
      <c r="I18" s="41"/>
      <c r="J18" s="41"/>
      <c r="K18" s="41" t="s">
        <v>99</v>
      </c>
    </row>
    <row r="19" spans="1:13" x14ac:dyDescent="0.25">
      <c r="A19" s="60" t="s">
        <v>98</v>
      </c>
      <c r="B19" s="59"/>
      <c r="C19" s="59"/>
      <c r="D19" s="59"/>
      <c r="E19" s="59"/>
      <c r="F19" s="59"/>
      <c r="G19" s="59"/>
      <c r="H19" s="59"/>
      <c r="I19" s="59"/>
      <c r="J19" s="41"/>
      <c r="K19" s="41"/>
    </row>
    <row r="20" spans="1:13" x14ac:dyDescent="0.25">
      <c r="A20" s="70"/>
      <c r="B20" s="70"/>
      <c r="C20" s="70"/>
      <c r="D20" s="70"/>
      <c r="E20" s="70"/>
      <c r="F20" s="70"/>
      <c r="G20" s="70"/>
      <c r="H20" s="70"/>
      <c r="I20" s="70"/>
      <c r="J20" s="52"/>
      <c r="K20" s="52"/>
    </row>
    <row r="21" spans="1:13" x14ac:dyDescent="0.25">
      <c r="A21" s="1" t="s">
        <v>97</v>
      </c>
      <c r="B21" s="41"/>
      <c r="C21" s="69"/>
      <c r="D21" s="41"/>
      <c r="E21" s="41"/>
      <c r="F21" s="68" t="s">
        <v>96</v>
      </c>
      <c r="G21" s="67"/>
      <c r="H21" s="67"/>
      <c r="I21" s="66"/>
      <c r="J21" s="41"/>
      <c r="K21" s="41"/>
      <c r="M21" s="95"/>
    </row>
    <row r="22" spans="1:13" ht="14.45" customHeight="1" x14ac:dyDescent="0.25">
      <c r="A22" t="s">
        <v>95</v>
      </c>
      <c r="C22" s="57"/>
      <c r="D22" s="52"/>
      <c r="E22" s="65" t="s">
        <v>94</v>
      </c>
      <c r="F22" s="108"/>
      <c r="G22" s="109"/>
      <c r="H22" s="109"/>
      <c r="I22" s="110"/>
      <c r="J22" s="41"/>
      <c r="K22" s="41"/>
    </row>
    <row r="23" spans="1:13" x14ac:dyDescent="0.25">
      <c r="A23" t="s">
        <v>93</v>
      </c>
      <c r="C23" s="49">
        <f>+J43</f>
        <v>644512.47433941963</v>
      </c>
      <c r="D23" s="52"/>
      <c r="E23" s="41"/>
      <c r="F23" s="108"/>
      <c r="G23" s="109"/>
      <c r="H23" s="109"/>
      <c r="I23" s="110"/>
      <c r="J23" s="41"/>
      <c r="K23" s="41"/>
    </row>
    <row r="24" spans="1:13" x14ac:dyDescent="0.25">
      <c r="A24" s="11" t="s">
        <v>92</v>
      </c>
      <c r="B24" s="11"/>
      <c r="C24" s="64">
        <f>ROUND(C22-C23,2)</f>
        <v>-644512.47</v>
      </c>
      <c r="D24" s="63"/>
      <c r="E24" s="41"/>
      <c r="F24" s="111"/>
      <c r="G24" s="112"/>
      <c r="H24" s="112"/>
      <c r="I24" s="113"/>
      <c r="J24" s="41"/>
      <c r="K24" s="41"/>
    </row>
    <row r="25" spans="1:13" x14ac:dyDescent="0.25">
      <c r="B25" s="41"/>
      <c r="C25" s="41"/>
      <c r="D25" s="41"/>
      <c r="E25" s="41"/>
      <c r="F25" s="41"/>
      <c r="G25" s="41"/>
      <c r="H25" s="41"/>
      <c r="I25" s="41"/>
      <c r="J25" s="41"/>
      <c r="K25" s="41"/>
    </row>
    <row r="26" spans="1:13" x14ac:dyDescent="0.25">
      <c r="A26" t="s">
        <v>91</v>
      </c>
      <c r="B26" s="41"/>
      <c r="C26" s="62">
        <f>+I60</f>
        <v>58297.337231784346</v>
      </c>
      <c r="D26" s="41"/>
      <c r="E26" s="61" t="s">
        <v>90</v>
      </c>
      <c r="F26" s="41"/>
      <c r="G26" s="41"/>
      <c r="H26" s="41"/>
      <c r="I26" s="41"/>
      <c r="J26" s="41"/>
      <c r="K26" s="41"/>
    </row>
    <row r="27" spans="1:13" x14ac:dyDescent="0.25">
      <c r="B27" s="41"/>
      <c r="C27" s="41"/>
      <c r="D27" s="41"/>
      <c r="E27" s="41"/>
      <c r="F27" s="41"/>
      <c r="G27" s="41"/>
      <c r="H27" s="41"/>
      <c r="I27" s="41"/>
      <c r="J27" s="41"/>
      <c r="K27" s="41"/>
    </row>
    <row r="28" spans="1:13" x14ac:dyDescent="0.25">
      <c r="A28" s="60" t="s">
        <v>89</v>
      </c>
      <c r="B28" s="59"/>
      <c r="C28" s="59"/>
      <c r="D28" s="59"/>
      <c r="E28" s="59"/>
      <c r="F28" s="59"/>
      <c r="G28" s="59"/>
      <c r="H28" s="59"/>
      <c r="I28" s="59"/>
      <c r="J28" s="59"/>
      <c r="K28" s="41"/>
    </row>
    <row r="29" spans="1:13" x14ac:dyDescent="0.25">
      <c r="B29" s="41"/>
      <c r="C29" s="54" t="s">
        <v>87</v>
      </c>
      <c r="D29" s="54"/>
      <c r="E29" s="54" t="s">
        <v>86</v>
      </c>
      <c r="F29" s="54" t="s">
        <v>85</v>
      </c>
      <c r="G29" s="54" t="s">
        <v>84</v>
      </c>
      <c r="H29" s="54" t="s">
        <v>83</v>
      </c>
      <c r="I29" s="54" t="s">
        <v>82</v>
      </c>
      <c r="J29" s="54" t="s">
        <v>81</v>
      </c>
      <c r="K29" s="41"/>
      <c r="L29" s="41"/>
    </row>
    <row r="30" spans="1:13" outlineLevel="1" x14ac:dyDescent="0.25">
      <c r="A30" s="45">
        <v>2024</v>
      </c>
      <c r="B30" s="1"/>
      <c r="K30" s="41"/>
      <c r="L30" s="41"/>
    </row>
    <row r="31" spans="1:13" outlineLevel="1" x14ac:dyDescent="0.25">
      <c r="A31" s="51">
        <f>EDATE($A$2,-12)+1</f>
        <v>44928</v>
      </c>
      <c r="B31" s="53">
        <v>1</v>
      </c>
      <c r="C31" s="50">
        <f>SUM($E$10:$F$10)</f>
        <v>4.9500000000000002E-2</v>
      </c>
      <c r="D31" s="58" t="s">
        <v>88</v>
      </c>
      <c r="E31" s="57">
        <v>700000</v>
      </c>
      <c r="F31" s="52"/>
      <c r="G31" s="41">
        <f t="shared" ref="G31:G42" si="0">MIN(IF($C$12="Capital seulement",I31+H31,$E$12),E31+F31)</f>
        <v>7407.49</v>
      </c>
      <c r="H31" s="41">
        <f t="shared" ref="H31:H42" si="1">(E31+F31)*C31/12</f>
        <v>2887.5</v>
      </c>
      <c r="I31" s="41">
        <f t="shared" ref="I31:I42" si="2">MIN(IF($C$12="Capital seulement",$E$12,G31-H31),E31+F31)</f>
        <v>4519.99</v>
      </c>
      <c r="J31" s="41">
        <f t="shared" ref="J31:J43" si="3">MAX(E31-I31+F31,0)</f>
        <v>695480.01</v>
      </c>
      <c r="K31" s="41"/>
      <c r="L31" s="41"/>
      <c r="M31" s="85"/>
    </row>
    <row r="32" spans="1:13" outlineLevel="1" x14ac:dyDescent="0.25">
      <c r="A32" s="51">
        <f t="shared" ref="A32:A42" si="4">EDATE(A31,1)</f>
        <v>44959</v>
      </c>
      <c r="B32" s="53">
        <v>2</v>
      </c>
      <c r="C32" s="50">
        <f t="shared" ref="C32:C42" si="5">SUM($E$10:$F$10)</f>
        <v>4.9500000000000002E-2</v>
      </c>
      <c r="D32" s="50"/>
      <c r="E32" s="41">
        <f t="shared" ref="E32:E43" si="6">+J31</f>
        <v>695480.01</v>
      </c>
      <c r="F32" s="52">
        <v>0</v>
      </c>
      <c r="G32" s="41">
        <f t="shared" si="0"/>
        <v>7407.49</v>
      </c>
      <c r="H32" s="41">
        <f t="shared" si="1"/>
        <v>2868.8550412500003</v>
      </c>
      <c r="I32" s="41">
        <f t="shared" si="2"/>
        <v>4538.634958749999</v>
      </c>
      <c r="J32" s="41">
        <f t="shared" si="3"/>
        <v>690941.37504125002</v>
      </c>
      <c r="K32" s="41"/>
      <c r="L32" s="41"/>
    </row>
    <row r="33" spans="1:12" outlineLevel="1" x14ac:dyDescent="0.25">
      <c r="A33" s="51">
        <f t="shared" si="4"/>
        <v>44987</v>
      </c>
      <c r="B33" s="53">
        <v>3</v>
      </c>
      <c r="C33" s="50">
        <f t="shared" si="5"/>
        <v>4.9500000000000002E-2</v>
      </c>
      <c r="D33" s="50"/>
      <c r="E33" s="41">
        <f t="shared" si="6"/>
        <v>690941.37504125002</v>
      </c>
      <c r="F33" s="52">
        <v>0</v>
      </c>
      <c r="G33" s="41">
        <f t="shared" si="0"/>
        <v>7407.49</v>
      </c>
      <c r="H33" s="41">
        <f t="shared" si="1"/>
        <v>2850.1331720451562</v>
      </c>
      <c r="I33" s="41">
        <f t="shared" si="2"/>
        <v>4557.3568279548435</v>
      </c>
      <c r="J33" s="41">
        <f t="shared" si="3"/>
        <v>686384.01821329514</v>
      </c>
      <c r="K33" s="41"/>
      <c r="L33" s="41"/>
    </row>
    <row r="34" spans="1:12" outlineLevel="1" x14ac:dyDescent="0.25">
      <c r="A34" s="51">
        <f t="shared" si="4"/>
        <v>45018</v>
      </c>
      <c r="B34" s="53">
        <v>4</v>
      </c>
      <c r="C34" s="50">
        <f t="shared" si="5"/>
        <v>4.9500000000000002E-2</v>
      </c>
      <c r="D34" s="50"/>
      <c r="E34" s="41">
        <f t="shared" si="6"/>
        <v>686384.01821329514</v>
      </c>
      <c r="F34" s="52">
        <v>0</v>
      </c>
      <c r="G34" s="41">
        <f t="shared" si="0"/>
        <v>7407.49</v>
      </c>
      <c r="H34" s="41">
        <f t="shared" si="1"/>
        <v>2831.3340751298424</v>
      </c>
      <c r="I34" s="41">
        <f t="shared" si="2"/>
        <v>4576.1559248701578</v>
      </c>
      <c r="J34" s="41">
        <f t="shared" si="3"/>
        <v>681807.86228842498</v>
      </c>
      <c r="K34" s="41"/>
      <c r="L34" s="41"/>
    </row>
    <row r="35" spans="1:12" outlineLevel="1" x14ac:dyDescent="0.25">
      <c r="A35" s="51">
        <f t="shared" si="4"/>
        <v>45048</v>
      </c>
      <c r="B35" s="53">
        <v>5</v>
      </c>
      <c r="C35" s="50">
        <f t="shared" si="5"/>
        <v>4.9500000000000002E-2</v>
      </c>
      <c r="D35" s="50"/>
      <c r="E35" s="41">
        <f t="shared" si="6"/>
        <v>681807.86228842498</v>
      </c>
      <c r="F35" s="52">
        <v>0</v>
      </c>
      <c r="G35" s="41">
        <f t="shared" si="0"/>
        <v>7407.49</v>
      </c>
      <c r="H35" s="41">
        <f t="shared" si="1"/>
        <v>2812.457431939753</v>
      </c>
      <c r="I35" s="41">
        <f t="shared" si="2"/>
        <v>4595.0325680602473</v>
      </c>
      <c r="J35" s="41">
        <f t="shared" si="3"/>
        <v>677212.82972036477</v>
      </c>
      <c r="K35" s="41"/>
      <c r="L35" s="56"/>
    </row>
    <row r="36" spans="1:12" outlineLevel="1" x14ac:dyDescent="0.25">
      <c r="A36" s="51">
        <f t="shared" si="4"/>
        <v>45079</v>
      </c>
      <c r="B36" s="53">
        <v>6</v>
      </c>
      <c r="C36" s="50">
        <f t="shared" si="5"/>
        <v>4.9500000000000002E-2</v>
      </c>
      <c r="D36" s="50"/>
      <c r="E36" s="41">
        <f t="shared" si="6"/>
        <v>677212.82972036477</v>
      </c>
      <c r="F36" s="52">
        <v>0</v>
      </c>
      <c r="G36" s="41">
        <f t="shared" si="0"/>
        <v>7407.49</v>
      </c>
      <c r="H36" s="41">
        <f t="shared" si="1"/>
        <v>2793.5029225965045</v>
      </c>
      <c r="I36" s="41">
        <f t="shared" si="2"/>
        <v>4613.9870774034953</v>
      </c>
      <c r="J36" s="41">
        <f t="shared" si="3"/>
        <v>672598.8426429613</v>
      </c>
      <c r="K36" s="41"/>
      <c r="L36" s="41"/>
    </row>
    <row r="37" spans="1:12" outlineLevel="1" x14ac:dyDescent="0.25">
      <c r="A37" s="51">
        <f t="shared" si="4"/>
        <v>45109</v>
      </c>
      <c r="B37" s="53">
        <v>7</v>
      </c>
      <c r="C37" s="50">
        <f t="shared" si="5"/>
        <v>4.9500000000000002E-2</v>
      </c>
      <c r="D37" s="50"/>
      <c r="E37" s="41">
        <f t="shared" si="6"/>
        <v>672598.8426429613</v>
      </c>
      <c r="F37" s="52">
        <v>0</v>
      </c>
      <c r="G37" s="41">
        <f t="shared" si="0"/>
        <v>7407.49</v>
      </c>
      <c r="H37" s="41">
        <f t="shared" si="1"/>
        <v>2774.4702259022156</v>
      </c>
      <c r="I37" s="41">
        <f t="shared" si="2"/>
        <v>4633.0197740977837</v>
      </c>
      <c r="J37" s="41">
        <f t="shared" si="3"/>
        <v>667965.82286886347</v>
      </c>
      <c r="K37" s="41"/>
      <c r="L37" s="41"/>
    </row>
    <row r="38" spans="1:12" outlineLevel="1" x14ac:dyDescent="0.25">
      <c r="A38" s="51">
        <f t="shared" si="4"/>
        <v>45140</v>
      </c>
      <c r="B38" s="53">
        <v>8</v>
      </c>
      <c r="C38" s="50">
        <f t="shared" si="5"/>
        <v>4.9500000000000002E-2</v>
      </c>
      <c r="D38" s="50"/>
      <c r="E38" s="41">
        <f t="shared" si="6"/>
        <v>667965.82286886347</v>
      </c>
      <c r="F38" s="52">
        <v>0</v>
      </c>
      <c r="G38" s="41">
        <f t="shared" si="0"/>
        <v>7407.49</v>
      </c>
      <c r="H38" s="41">
        <f t="shared" si="1"/>
        <v>2755.3590193340619</v>
      </c>
      <c r="I38" s="41">
        <f t="shared" si="2"/>
        <v>4652.1309806659374</v>
      </c>
      <c r="J38" s="41">
        <f t="shared" si="3"/>
        <v>663313.69188819756</v>
      </c>
      <c r="K38" s="41"/>
      <c r="L38" s="41"/>
    </row>
    <row r="39" spans="1:12" outlineLevel="1" x14ac:dyDescent="0.25">
      <c r="A39" s="51">
        <f t="shared" si="4"/>
        <v>45171</v>
      </c>
      <c r="B39" s="53">
        <v>9</v>
      </c>
      <c r="C39" s="50">
        <f t="shared" si="5"/>
        <v>4.9500000000000002E-2</v>
      </c>
      <c r="D39" s="50"/>
      <c r="E39" s="41">
        <f t="shared" si="6"/>
        <v>663313.69188819756</v>
      </c>
      <c r="F39" s="52">
        <v>0</v>
      </c>
      <c r="G39" s="41">
        <f t="shared" si="0"/>
        <v>7407.49</v>
      </c>
      <c r="H39" s="41">
        <f t="shared" si="1"/>
        <v>2736.168979038815</v>
      </c>
      <c r="I39" s="41">
        <f t="shared" si="2"/>
        <v>4671.3210209611843</v>
      </c>
      <c r="J39" s="41">
        <f t="shared" si="3"/>
        <v>658642.3708672364</v>
      </c>
      <c r="K39" s="41"/>
      <c r="L39" s="41"/>
    </row>
    <row r="40" spans="1:12" outlineLevel="1" x14ac:dyDescent="0.25">
      <c r="A40" s="51">
        <f t="shared" si="4"/>
        <v>45201</v>
      </c>
      <c r="B40" s="53">
        <v>10</v>
      </c>
      <c r="C40" s="50">
        <f t="shared" si="5"/>
        <v>4.9500000000000002E-2</v>
      </c>
      <c r="D40" s="50"/>
      <c r="E40" s="41">
        <f t="shared" si="6"/>
        <v>658642.3708672364</v>
      </c>
      <c r="F40" s="52">
        <v>0</v>
      </c>
      <c r="G40" s="41">
        <f t="shared" si="0"/>
        <v>7407.49</v>
      </c>
      <c r="H40" s="41">
        <f t="shared" si="1"/>
        <v>2716.8997798273504</v>
      </c>
      <c r="I40" s="41">
        <f t="shared" si="2"/>
        <v>4690.5902201726494</v>
      </c>
      <c r="J40" s="41">
        <f t="shared" si="3"/>
        <v>653951.78064706374</v>
      </c>
      <c r="K40" s="41"/>
      <c r="L40" s="41"/>
    </row>
    <row r="41" spans="1:12" outlineLevel="1" x14ac:dyDescent="0.25">
      <c r="A41" s="51">
        <f t="shared" si="4"/>
        <v>45232</v>
      </c>
      <c r="B41" s="53">
        <v>11</v>
      </c>
      <c r="C41" s="50">
        <f t="shared" si="5"/>
        <v>4.9500000000000002E-2</v>
      </c>
      <c r="D41" s="50"/>
      <c r="E41" s="41">
        <f t="shared" si="6"/>
        <v>653951.78064706374</v>
      </c>
      <c r="F41" s="52">
        <v>0</v>
      </c>
      <c r="G41" s="41">
        <f t="shared" si="0"/>
        <v>7407.49</v>
      </c>
      <c r="H41" s="41">
        <f t="shared" si="1"/>
        <v>2697.5510951691381</v>
      </c>
      <c r="I41" s="41">
        <f t="shared" si="2"/>
        <v>4709.9389048308622</v>
      </c>
      <c r="J41" s="41">
        <f t="shared" si="3"/>
        <v>649241.84174223291</v>
      </c>
    </row>
    <row r="42" spans="1:12" outlineLevel="1" x14ac:dyDescent="0.25">
      <c r="A42" s="51">
        <f t="shared" si="4"/>
        <v>45262</v>
      </c>
      <c r="B42" s="53">
        <v>12</v>
      </c>
      <c r="C42" s="50">
        <f t="shared" si="5"/>
        <v>4.9500000000000002E-2</v>
      </c>
      <c r="D42" s="50"/>
      <c r="E42" s="41">
        <f t="shared" si="6"/>
        <v>649241.84174223291</v>
      </c>
      <c r="F42" s="52">
        <v>0</v>
      </c>
      <c r="G42" s="41">
        <f t="shared" si="0"/>
        <v>7407.49</v>
      </c>
      <c r="H42" s="41">
        <f t="shared" si="1"/>
        <v>2678.1225971867111</v>
      </c>
      <c r="I42" s="41">
        <f t="shared" si="2"/>
        <v>4729.3674028132882</v>
      </c>
      <c r="J42" s="41">
        <f t="shared" si="3"/>
        <v>644512.47433941963</v>
      </c>
    </row>
    <row r="43" spans="1:12" outlineLevel="1" x14ac:dyDescent="0.25">
      <c r="A43" s="51" t="s">
        <v>80</v>
      </c>
      <c r="C43" s="50"/>
      <c r="D43" s="50"/>
      <c r="E43" s="41">
        <f t="shared" si="6"/>
        <v>644512.47433941963</v>
      </c>
      <c r="F43" s="52"/>
      <c r="G43" s="49">
        <f>MIN(IF($C$12="Capital seulement",I43+H43,$E$12),E43)</f>
        <v>7407.49</v>
      </c>
      <c r="H43" s="49">
        <f>-I43</f>
        <v>0</v>
      </c>
      <c r="I43" s="41"/>
      <c r="J43" s="41">
        <f t="shared" si="3"/>
        <v>644512.47433941963</v>
      </c>
    </row>
    <row r="44" spans="1:12" x14ac:dyDescent="0.25">
      <c r="A44" s="48" t="str">
        <f>CONCATENATE("Total exercice ",A30)</f>
        <v>Total exercice 2024</v>
      </c>
      <c r="B44" s="10"/>
      <c r="C44" s="10"/>
      <c r="D44" s="10"/>
      <c r="E44" s="10"/>
      <c r="F44" s="10"/>
      <c r="G44" s="47">
        <f>SUM(G31:G43)</f>
        <v>96297.37000000001</v>
      </c>
      <c r="H44" s="47">
        <f>SUM(H31:H43)</f>
        <v>33402.354339419544</v>
      </c>
      <c r="I44" s="47">
        <f>SUM(I31:I43)</f>
        <v>55487.525660580439</v>
      </c>
      <c r="J44" s="47">
        <f>+J43</f>
        <v>644512.47433941963</v>
      </c>
    </row>
    <row r="45" spans="1:12" x14ac:dyDescent="0.25">
      <c r="A45" s="55"/>
      <c r="J45" s="41"/>
    </row>
    <row r="46" spans="1:12" outlineLevel="1" x14ac:dyDescent="0.25">
      <c r="A46" s="45">
        <f>+A30+1</f>
        <v>2025</v>
      </c>
      <c r="B46" s="1"/>
      <c r="C46" s="54" t="s">
        <v>87</v>
      </c>
      <c r="D46" s="54"/>
      <c r="E46" s="54" t="s">
        <v>86</v>
      </c>
      <c r="F46" s="54" t="s">
        <v>85</v>
      </c>
      <c r="G46" s="54" t="s">
        <v>84</v>
      </c>
      <c r="H46" s="54" t="s">
        <v>83</v>
      </c>
      <c r="I46" s="54" t="s">
        <v>82</v>
      </c>
      <c r="J46" s="54" t="s">
        <v>81</v>
      </c>
    </row>
    <row r="47" spans="1:12" outlineLevel="2" x14ac:dyDescent="0.25">
      <c r="A47" s="51">
        <f>EDATE(A42,1)</f>
        <v>45293</v>
      </c>
      <c r="B47" s="53">
        <v>1</v>
      </c>
      <c r="C47" s="50">
        <f t="shared" ref="C47:C58" si="7">SUM($E$10:$F$10)</f>
        <v>4.9500000000000002E-2</v>
      </c>
      <c r="D47" s="50"/>
      <c r="E47" s="41">
        <f>+J43</f>
        <v>644512.47433941963</v>
      </c>
      <c r="F47" s="52">
        <v>0</v>
      </c>
      <c r="G47" s="41">
        <f t="shared" ref="G47:G58" si="8">MIN(IF($C$12="Capital seulement",I47+H47,$E$12),E47+F47)</f>
        <v>7407.49</v>
      </c>
      <c r="H47" s="41">
        <f t="shared" ref="H47:H58" si="9">(E47+F47)*C47/12</f>
        <v>2658.613956650106</v>
      </c>
      <c r="I47" s="41">
        <f t="shared" ref="I47:I58" si="10">MIN(IF($C$12="Capital seulement",$E$12,G47-H47),E47+F47)</f>
        <v>4748.8760433498937</v>
      </c>
      <c r="J47" s="41">
        <f t="shared" ref="J47:J59" si="11">MAX(E47-I47+F47,0)</f>
        <v>639763.59829606977</v>
      </c>
    </row>
    <row r="48" spans="1:12" outlineLevel="2" x14ac:dyDescent="0.25">
      <c r="A48" s="51">
        <f t="shared" ref="A48:A58" si="12">EDATE(A47,1)</f>
        <v>45324</v>
      </c>
      <c r="B48" s="53">
        <v>2</v>
      </c>
      <c r="C48" s="50">
        <f t="shared" si="7"/>
        <v>4.9500000000000002E-2</v>
      </c>
      <c r="D48" s="50"/>
      <c r="E48" s="41">
        <f t="shared" ref="E48:E59" si="13">+J47</f>
        <v>639763.59829606977</v>
      </c>
      <c r="F48" s="52">
        <v>0</v>
      </c>
      <c r="G48" s="41">
        <f t="shared" si="8"/>
        <v>7407.49</v>
      </c>
      <c r="H48" s="41">
        <f t="shared" si="9"/>
        <v>2639.0248429712879</v>
      </c>
      <c r="I48" s="41">
        <f t="shared" si="10"/>
        <v>4768.4651570287115</v>
      </c>
      <c r="J48" s="41">
        <f t="shared" si="11"/>
        <v>634995.13313904102</v>
      </c>
    </row>
    <row r="49" spans="1:10" outlineLevel="2" x14ac:dyDescent="0.25">
      <c r="A49" s="51">
        <f t="shared" si="12"/>
        <v>45353</v>
      </c>
      <c r="B49" s="53">
        <v>3</v>
      </c>
      <c r="C49" s="50">
        <f t="shared" si="7"/>
        <v>4.9500000000000002E-2</v>
      </c>
      <c r="D49" s="50"/>
      <c r="E49" s="41">
        <f t="shared" si="13"/>
        <v>634995.13313904102</v>
      </c>
      <c r="F49" s="52">
        <v>0</v>
      </c>
      <c r="G49" s="41">
        <f t="shared" si="8"/>
        <v>7407.49</v>
      </c>
      <c r="H49" s="41">
        <f t="shared" si="9"/>
        <v>2619.3549241985443</v>
      </c>
      <c r="I49" s="41">
        <f t="shared" si="10"/>
        <v>4788.135075801456</v>
      </c>
      <c r="J49" s="41">
        <f t="shared" si="11"/>
        <v>630206.99806323962</v>
      </c>
    </row>
    <row r="50" spans="1:10" outlineLevel="2" x14ac:dyDescent="0.25">
      <c r="A50" s="51">
        <f t="shared" si="12"/>
        <v>45384</v>
      </c>
      <c r="B50" s="53">
        <v>4</v>
      </c>
      <c r="C50" s="50">
        <f t="shared" si="7"/>
        <v>4.9500000000000002E-2</v>
      </c>
      <c r="D50" s="50"/>
      <c r="E50" s="41">
        <f t="shared" si="13"/>
        <v>630206.99806323962</v>
      </c>
      <c r="F50" s="52">
        <v>0</v>
      </c>
      <c r="G50" s="41">
        <f t="shared" si="8"/>
        <v>7407.49</v>
      </c>
      <c r="H50" s="41">
        <f t="shared" si="9"/>
        <v>2599.6038670108633</v>
      </c>
      <c r="I50" s="41">
        <f t="shared" si="10"/>
        <v>4807.886132989137</v>
      </c>
      <c r="J50" s="41">
        <f t="shared" si="11"/>
        <v>625399.11193025042</v>
      </c>
    </row>
    <row r="51" spans="1:10" outlineLevel="2" x14ac:dyDescent="0.25">
      <c r="A51" s="51">
        <f t="shared" si="12"/>
        <v>45414</v>
      </c>
      <c r="B51" s="53">
        <v>5</v>
      </c>
      <c r="C51" s="50">
        <f t="shared" si="7"/>
        <v>4.9500000000000002E-2</v>
      </c>
      <c r="D51" s="50"/>
      <c r="E51" s="41">
        <f t="shared" si="13"/>
        <v>625399.11193025042</v>
      </c>
      <c r="F51" s="52">
        <v>0</v>
      </c>
      <c r="G51" s="41">
        <f t="shared" si="8"/>
        <v>7407.49</v>
      </c>
      <c r="H51" s="41">
        <f t="shared" si="9"/>
        <v>2579.7713367122828</v>
      </c>
      <c r="I51" s="41">
        <f t="shared" si="10"/>
        <v>4827.7186632877165</v>
      </c>
      <c r="J51" s="41">
        <f t="shared" si="11"/>
        <v>620571.39326696272</v>
      </c>
    </row>
    <row r="52" spans="1:10" outlineLevel="2" x14ac:dyDescent="0.25">
      <c r="A52" s="51">
        <f t="shared" si="12"/>
        <v>45445</v>
      </c>
      <c r="B52" s="53">
        <v>6</v>
      </c>
      <c r="C52" s="50">
        <f t="shared" si="7"/>
        <v>4.9500000000000002E-2</v>
      </c>
      <c r="D52" s="50"/>
      <c r="E52" s="41">
        <f t="shared" si="13"/>
        <v>620571.39326696272</v>
      </c>
      <c r="F52" s="52">
        <v>0</v>
      </c>
      <c r="G52" s="41">
        <f t="shared" si="8"/>
        <v>7407.49</v>
      </c>
      <c r="H52" s="41">
        <f t="shared" si="9"/>
        <v>2559.8569972262212</v>
      </c>
      <c r="I52" s="41">
        <f t="shared" si="10"/>
        <v>4847.6330027737786</v>
      </c>
      <c r="J52" s="41">
        <f t="shared" si="11"/>
        <v>615723.76026418898</v>
      </c>
    </row>
    <row r="53" spans="1:10" outlineLevel="2" x14ac:dyDescent="0.25">
      <c r="A53" s="51">
        <f t="shared" si="12"/>
        <v>45475</v>
      </c>
      <c r="B53" s="53">
        <v>7</v>
      </c>
      <c r="C53" s="50">
        <f t="shared" si="7"/>
        <v>4.9500000000000002E-2</v>
      </c>
      <c r="D53" s="50"/>
      <c r="E53" s="41">
        <f t="shared" si="13"/>
        <v>615723.76026418898</v>
      </c>
      <c r="F53" s="52">
        <v>0</v>
      </c>
      <c r="G53" s="41">
        <f t="shared" si="8"/>
        <v>7407.49</v>
      </c>
      <c r="H53" s="41">
        <f t="shared" si="9"/>
        <v>2539.8605110897797</v>
      </c>
      <c r="I53" s="41">
        <f t="shared" si="10"/>
        <v>4867.6294889102201</v>
      </c>
      <c r="J53" s="41">
        <f t="shared" si="11"/>
        <v>610856.13077527878</v>
      </c>
    </row>
    <row r="54" spans="1:10" outlineLevel="2" x14ac:dyDescent="0.25">
      <c r="A54" s="51">
        <f t="shared" si="12"/>
        <v>45506</v>
      </c>
      <c r="B54" s="53">
        <v>8</v>
      </c>
      <c r="C54" s="50">
        <f t="shared" si="7"/>
        <v>4.9500000000000002E-2</v>
      </c>
      <c r="D54" s="50"/>
      <c r="E54" s="41">
        <f t="shared" si="13"/>
        <v>610856.13077527878</v>
      </c>
      <c r="F54" s="52">
        <v>0</v>
      </c>
      <c r="G54" s="41">
        <f t="shared" si="8"/>
        <v>7407.49</v>
      </c>
      <c r="H54" s="41">
        <f t="shared" si="9"/>
        <v>2519.7815394480253</v>
      </c>
      <c r="I54" s="41">
        <f t="shared" si="10"/>
        <v>4887.708460551974</v>
      </c>
      <c r="J54" s="41">
        <f t="shared" si="11"/>
        <v>605968.42231472686</v>
      </c>
    </row>
    <row r="55" spans="1:10" outlineLevel="2" x14ac:dyDescent="0.25">
      <c r="A55" s="51">
        <f t="shared" si="12"/>
        <v>45537</v>
      </c>
      <c r="B55" s="53">
        <v>9</v>
      </c>
      <c r="C55" s="50">
        <f t="shared" si="7"/>
        <v>4.9500000000000002E-2</v>
      </c>
      <c r="D55" s="50"/>
      <c r="E55" s="41">
        <f t="shared" si="13"/>
        <v>605968.42231472686</v>
      </c>
      <c r="F55" s="52">
        <v>0</v>
      </c>
      <c r="G55" s="41">
        <f t="shared" si="8"/>
        <v>7407.49</v>
      </c>
      <c r="H55" s="41">
        <f t="shared" si="9"/>
        <v>2499.6197420482486</v>
      </c>
      <c r="I55" s="41">
        <f t="shared" si="10"/>
        <v>4907.8702579517512</v>
      </c>
      <c r="J55" s="41">
        <f t="shared" si="11"/>
        <v>601060.55205677508</v>
      </c>
    </row>
    <row r="56" spans="1:10" outlineLevel="2" x14ac:dyDescent="0.25">
      <c r="A56" s="51">
        <f t="shared" si="12"/>
        <v>45567</v>
      </c>
      <c r="B56" s="53">
        <v>10</v>
      </c>
      <c r="C56" s="50">
        <f t="shared" si="7"/>
        <v>4.9500000000000002E-2</v>
      </c>
      <c r="D56" s="50"/>
      <c r="E56" s="41">
        <f t="shared" si="13"/>
        <v>601060.55205677508</v>
      </c>
      <c r="F56" s="52">
        <v>0</v>
      </c>
      <c r="G56" s="41">
        <f t="shared" si="8"/>
        <v>7407.49</v>
      </c>
      <c r="H56" s="41">
        <f t="shared" si="9"/>
        <v>2479.3747772341972</v>
      </c>
      <c r="I56" s="41">
        <f t="shared" si="10"/>
        <v>4928.1152227658022</v>
      </c>
      <c r="J56" s="41">
        <f t="shared" si="11"/>
        <v>596132.43683400925</v>
      </c>
    </row>
    <row r="57" spans="1:10" outlineLevel="2" x14ac:dyDescent="0.25">
      <c r="A57" s="51">
        <f t="shared" si="12"/>
        <v>45598</v>
      </c>
      <c r="B57" s="53">
        <v>11</v>
      </c>
      <c r="C57" s="50">
        <f t="shared" si="7"/>
        <v>4.9500000000000002E-2</v>
      </c>
      <c r="D57" s="50"/>
      <c r="E57" s="41">
        <f t="shared" si="13"/>
        <v>596132.43683400925</v>
      </c>
      <c r="F57" s="52">
        <v>0</v>
      </c>
      <c r="G57" s="41">
        <f t="shared" si="8"/>
        <v>7407.49</v>
      </c>
      <c r="H57" s="41">
        <f t="shared" si="9"/>
        <v>2459.0463019402882</v>
      </c>
      <c r="I57" s="41">
        <f t="shared" si="10"/>
        <v>4948.4436980597111</v>
      </c>
      <c r="J57" s="41">
        <f t="shared" si="11"/>
        <v>591183.99313594948</v>
      </c>
    </row>
    <row r="58" spans="1:10" outlineLevel="2" x14ac:dyDescent="0.25">
      <c r="A58" s="51">
        <f t="shared" si="12"/>
        <v>45628</v>
      </c>
      <c r="B58" s="53">
        <v>12</v>
      </c>
      <c r="C58" s="50">
        <f t="shared" si="7"/>
        <v>4.9500000000000002E-2</v>
      </c>
      <c r="D58" s="50"/>
      <c r="E58" s="41">
        <f t="shared" si="13"/>
        <v>591183.99313594948</v>
      </c>
      <c r="F58" s="52">
        <v>0</v>
      </c>
      <c r="G58" s="41">
        <f t="shared" si="8"/>
        <v>7407.49</v>
      </c>
      <c r="H58" s="41">
        <f t="shared" si="9"/>
        <v>2438.6339716857915</v>
      </c>
      <c r="I58" s="41">
        <f t="shared" si="10"/>
        <v>4968.8560283142087</v>
      </c>
      <c r="J58" s="41">
        <f t="shared" si="11"/>
        <v>586215.13710763527</v>
      </c>
    </row>
    <row r="59" spans="1:10" outlineLevel="2" x14ac:dyDescent="0.25">
      <c r="A59" s="51" t="s">
        <v>80</v>
      </c>
      <c r="C59" s="50"/>
      <c r="D59" s="50"/>
      <c r="E59" s="41">
        <f t="shared" si="13"/>
        <v>586215.13710763527</v>
      </c>
      <c r="F59" s="41"/>
      <c r="G59" s="49"/>
      <c r="H59" s="49">
        <f>-I59</f>
        <v>0</v>
      </c>
      <c r="I59" s="41"/>
      <c r="J59" s="41">
        <f t="shared" si="11"/>
        <v>586215.13710763527</v>
      </c>
    </row>
    <row r="60" spans="1:10" x14ac:dyDescent="0.25">
      <c r="A60" s="48" t="str">
        <f>CONCATENATE("Total exercice ",A46)</f>
        <v>Total exercice 2025</v>
      </c>
      <c r="B60" s="10"/>
      <c r="C60" s="10"/>
      <c r="D60" s="10"/>
      <c r="E60" s="10"/>
      <c r="F60" s="10"/>
      <c r="G60" s="47">
        <f>SUM(G47:G59)</f>
        <v>88889.88</v>
      </c>
      <c r="H60" s="47">
        <f>SUM(H47:H59)</f>
        <v>30592.542768215633</v>
      </c>
      <c r="I60" s="47">
        <f>SUM(I47:I59)</f>
        <v>58297.337231784346</v>
      </c>
      <c r="J60" s="47">
        <f>+J59</f>
        <v>586215.13710763527</v>
      </c>
    </row>
    <row r="62" spans="1:10" outlineLevel="1" x14ac:dyDescent="0.25">
      <c r="A62" s="45">
        <f>+A46+1</f>
        <v>2026</v>
      </c>
      <c r="B62" s="1"/>
      <c r="C62" s="54" t="s">
        <v>87</v>
      </c>
      <c r="D62" s="54"/>
      <c r="E62" s="54" t="s">
        <v>86</v>
      </c>
      <c r="F62" s="54" t="s">
        <v>85</v>
      </c>
      <c r="G62" s="54" t="s">
        <v>84</v>
      </c>
      <c r="H62" s="54" t="s">
        <v>83</v>
      </c>
      <c r="I62" s="54" t="s">
        <v>82</v>
      </c>
      <c r="J62" s="54" t="s">
        <v>81</v>
      </c>
    </row>
    <row r="63" spans="1:10" outlineLevel="1" x14ac:dyDescent="0.25">
      <c r="A63" s="51">
        <f>EDATE(A58,1)</f>
        <v>45659</v>
      </c>
      <c r="B63" s="53">
        <v>1</v>
      </c>
      <c r="C63" s="50">
        <f t="shared" ref="C63:C74" si="14">SUM($E$10:$F$10)</f>
        <v>4.9500000000000002E-2</v>
      </c>
      <c r="D63" s="50"/>
      <c r="E63" s="41">
        <f>+J59</f>
        <v>586215.13710763527</v>
      </c>
      <c r="F63" s="52">
        <v>0</v>
      </c>
      <c r="G63" s="41">
        <f t="shared" ref="G63:G74" si="15">MIN(IF($C$12="Capital seulement",I63+H63,$E$12),E63+F63)</f>
        <v>7407.49</v>
      </c>
      <c r="H63" s="41">
        <f t="shared" ref="H63:H74" si="16">(E63+F63)*C63/12</f>
        <v>2418.1374405689953</v>
      </c>
      <c r="I63" s="41">
        <f t="shared" ref="I63:I74" si="17">MIN(IF($C$12="Capital seulement",$E$12,G63-H63),E63+F63)</f>
        <v>4989.3525594310049</v>
      </c>
      <c r="J63" s="41">
        <f t="shared" ref="J63:J75" si="18">MAX(E63-I63+F63,0)</f>
        <v>581225.78454820428</v>
      </c>
    </row>
    <row r="64" spans="1:10" outlineLevel="1" x14ac:dyDescent="0.25">
      <c r="A64" s="51">
        <f t="shared" ref="A64:A74" si="19">EDATE(A63,1)</f>
        <v>45690</v>
      </c>
      <c r="B64" s="53">
        <v>2</v>
      </c>
      <c r="C64" s="50">
        <f t="shared" si="14"/>
        <v>4.9500000000000002E-2</v>
      </c>
      <c r="D64" s="50"/>
      <c r="E64" s="41">
        <f t="shared" ref="E64:E75" si="20">+J63</f>
        <v>581225.78454820428</v>
      </c>
      <c r="F64" s="52">
        <v>0</v>
      </c>
      <c r="G64" s="41">
        <f t="shared" si="15"/>
        <v>7407.49</v>
      </c>
      <c r="H64" s="41">
        <f t="shared" si="16"/>
        <v>2397.5563612613428</v>
      </c>
      <c r="I64" s="41">
        <f t="shared" si="17"/>
        <v>5009.9336387386575</v>
      </c>
      <c r="J64" s="41">
        <f t="shared" si="18"/>
        <v>576215.85090946557</v>
      </c>
    </row>
    <row r="65" spans="1:13" outlineLevel="1" x14ac:dyDescent="0.25">
      <c r="A65" s="51">
        <f t="shared" si="19"/>
        <v>45718</v>
      </c>
      <c r="B65" s="53">
        <v>3</v>
      </c>
      <c r="C65" s="50">
        <f t="shared" si="14"/>
        <v>4.9500000000000002E-2</v>
      </c>
      <c r="D65" s="50"/>
      <c r="E65" s="41">
        <f t="shared" si="20"/>
        <v>576215.85090946557</v>
      </c>
      <c r="F65" s="52">
        <v>0</v>
      </c>
      <c r="G65" s="41">
        <f t="shared" si="15"/>
        <v>7407.49</v>
      </c>
      <c r="H65" s="41">
        <f t="shared" si="16"/>
        <v>2376.8903850015454</v>
      </c>
      <c r="I65" s="41">
        <f t="shared" si="17"/>
        <v>5030.5996149984549</v>
      </c>
      <c r="J65" s="41">
        <f t="shared" si="18"/>
        <v>571185.25129446713</v>
      </c>
    </row>
    <row r="66" spans="1:13" outlineLevel="1" x14ac:dyDescent="0.25">
      <c r="A66" s="51">
        <f t="shared" si="19"/>
        <v>45749</v>
      </c>
      <c r="B66" s="53">
        <v>4</v>
      </c>
      <c r="C66" s="50">
        <f t="shared" si="14"/>
        <v>4.9500000000000002E-2</v>
      </c>
      <c r="D66" s="50"/>
      <c r="E66" s="41">
        <f t="shared" si="20"/>
        <v>571185.25129446713</v>
      </c>
      <c r="F66" s="52">
        <v>0</v>
      </c>
      <c r="G66" s="41">
        <f t="shared" si="15"/>
        <v>7407.49</v>
      </c>
      <c r="H66" s="41">
        <f t="shared" si="16"/>
        <v>2356.1391615896769</v>
      </c>
      <c r="I66" s="41">
        <f t="shared" si="17"/>
        <v>5051.3508384103225</v>
      </c>
      <c r="J66" s="41">
        <f t="shared" si="18"/>
        <v>566133.90045605681</v>
      </c>
    </row>
    <row r="67" spans="1:13" outlineLevel="1" x14ac:dyDescent="0.25">
      <c r="A67" s="51">
        <f t="shared" si="19"/>
        <v>45779</v>
      </c>
      <c r="B67" s="53">
        <v>5</v>
      </c>
      <c r="C67" s="50">
        <f t="shared" si="14"/>
        <v>4.9500000000000002E-2</v>
      </c>
      <c r="D67" s="50"/>
      <c r="E67" s="41">
        <f t="shared" si="20"/>
        <v>566133.90045605681</v>
      </c>
      <c r="F67" s="52">
        <v>0</v>
      </c>
      <c r="G67" s="41">
        <f t="shared" si="15"/>
        <v>7407.49</v>
      </c>
      <c r="H67" s="41">
        <f t="shared" si="16"/>
        <v>2335.3023393812346</v>
      </c>
      <c r="I67" s="41">
        <f t="shared" si="17"/>
        <v>5072.1876606187652</v>
      </c>
      <c r="J67" s="41">
        <f t="shared" si="18"/>
        <v>561061.71279543801</v>
      </c>
    </row>
    <row r="68" spans="1:13" outlineLevel="1" x14ac:dyDescent="0.25">
      <c r="A68" s="51">
        <f t="shared" si="19"/>
        <v>45810</v>
      </c>
      <c r="B68" s="53">
        <v>6</v>
      </c>
      <c r="C68" s="50">
        <f t="shared" si="14"/>
        <v>4.9500000000000002E-2</v>
      </c>
      <c r="D68" s="50"/>
      <c r="E68" s="41">
        <f t="shared" si="20"/>
        <v>561061.71279543801</v>
      </c>
      <c r="F68" s="52">
        <v>0</v>
      </c>
      <c r="G68" s="41">
        <f t="shared" si="15"/>
        <v>7407.49</v>
      </c>
      <c r="H68" s="41">
        <f t="shared" si="16"/>
        <v>2314.3795652811818</v>
      </c>
      <c r="I68" s="41">
        <f t="shared" si="17"/>
        <v>5093.1104347188175</v>
      </c>
      <c r="J68" s="41">
        <f t="shared" si="18"/>
        <v>555968.60236071923</v>
      </c>
    </row>
    <row r="69" spans="1:13" outlineLevel="1" x14ac:dyDescent="0.25">
      <c r="A69" s="51">
        <f t="shared" si="19"/>
        <v>45840</v>
      </c>
      <c r="B69" s="53">
        <v>7</v>
      </c>
      <c r="C69" s="50">
        <f t="shared" si="14"/>
        <v>4.9500000000000002E-2</v>
      </c>
      <c r="D69" s="50"/>
      <c r="E69" s="41">
        <f t="shared" si="20"/>
        <v>555968.60236071923</v>
      </c>
      <c r="F69" s="52">
        <v>0</v>
      </c>
      <c r="G69" s="41">
        <f t="shared" si="15"/>
        <v>7407.49</v>
      </c>
      <c r="H69" s="41">
        <f t="shared" si="16"/>
        <v>2293.3704847379672</v>
      </c>
      <c r="I69" s="41">
        <f t="shared" si="17"/>
        <v>5114.119515262033</v>
      </c>
      <c r="J69" s="41">
        <f t="shared" si="18"/>
        <v>550854.48284545715</v>
      </c>
    </row>
    <row r="70" spans="1:13" outlineLevel="1" x14ac:dyDescent="0.25">
      <c r="A70" s="51">
        <f t="shared" si="19"/>
        <v>45871</v>
      </c>
      <c r="B70" s="53">
        <v>8</v>
      </c>
      <c r="C70" s="50">
        <f t="shared" si="14"/>
        <v>4.9500000000000002E-2</v>
      </c>
      <c r="D70" s="50"/>
      <c r="E70" s="41">
        <f t="shared" si="20"/>
        <v>550854.48284545715</v>
      </c>
      <c r="F70" s="52">
        <v>0</v>
      </c>
      <c r="G70" s="41">
        <f t="shared" si="15"/>
        <v>7407.49</v>
      </c>
      <c r="H70" s="41">
        <f t="shared" si="16"/>
        <v>2272.2747417375108</v>
      </c>
      <c r="I70" s="41">
        <f t="shared" si="17"/>
        <v>5135.2152582624894</v>
      </c>
      <c r="J70" s="41">
        <f t="shared" si="18"/>
        <v>545719.26758719468</v>
      </c>
    </row>
    <row r="71" spans="1:13" outlineLevel="1" x14ac:dyDescent="0.25">
      <c r="A71" s="51">
        <f t="shared" si="19"/>
        <v>45902</v>
      </c>
      <c r="B71" s="53">
        <v>9</v>
      </c>
      <c r="C71" s="50">
        <f t="shared" si="14"/>
        <v>4.9500000000000002E-2</v>
      </c>
      <c r="D71" s="50"/>
      <c r="E71" s="41">
        <f t="shared" si="20"/>
        <v>545719.26758719468</v>
      </c>
      <c r="F71" s="52">
        <v>0</v>
      </c>
      <c r="G71" s="41">
        <f t="shared" si="15"/>
        <v>7407.49</v>
      </c>
      <c r="H71" s="41">
        <f t="shared" si="16"/>
        <v>2251.0919787971784</v>
      </c>
      <c r="I71" s="41">
        <f t="shared" si="17"/>
        <v>5156.3980212028218</v>
      </c>
      <c r="J71" s="41">
        <f t="shared" si="18"/>
        <v>540562.86956599192</v>
      </c>
    </row>
    <row r="72" spans="1:13" outlineLevel="1" x14ac:dyDescent="0.25">
      <c r="A72" s="51">
        <f t="shared" si="19"/>
        <v>45932</v>
      </c>
      <c r="B72" s="53">
        <v>10</v>
      </c>
      <c r="C72" s="50">
        <f t="shared" si="14"/>
        <v>4.9500000000000002E-2</v>
      </c>
      <c r="D72" s="50"/>
      <c r="E72" s="41">
        <f t="shared" si="20"/>
        <v>540562.86956599192</v>
      </c>
      <c r="F72" s="52">
        <v>0</v>
      </c>
      <c r="G72" s="41">
        <f t="shared" si="15"/>
        <v>7407.49</v>
      </c>
      <c r="H72" s="41">
        <f t="shared" si="16"/>
        <v>2229.8218369597166</v>
      </c>
      <c r="I72" s="41">
        <f t="shared" si="17"/>
        <v>5177.6681630402836</v>
      </c>
      <c r="J72" s="41">
        <f t="shared" si="18"/>
        <v>535385.20140295161</v>
      </c>
    </row>
    <row r="73" spans="1:13" outlineLevel="1" x14ac:dyDescent="0.25">
      <c r="A73" s="51">
        <f t="shared" si="19"/>
        <v>45963</v>
      </c>
      <c r="B73" s="53">
        <v>11</v>
      </c>
      <c r="C73" s="50">
        <f t="shared" si="14"/>
        <v>4.9500000000000002E-2</v>
      </c>
      <c r="D73" s="50"/>
      <c r="E73" s="41">
        <f t="shared" si="20"/>
        <v>535385.20140295161</v>
      </c>
      <c r="F73" s="52">
        <v>0</v>
      </c>
      <c r="G73" s="41">
        <f t="shared" si="15"/>
        <v>7407.49</v>
      </c>
      <c r="H73" s="41">
        <f t="shared" si="16"/>
        <v>2208.4639557871756</v>
      </c>
      <c r="I73" s="41">
        <f t="shared" si="17"/>
        <v>5199.0260442128238</v>
      </c>
      <c r="J73" s="41">
        <f t="shared" si="18"/>
        <v>530186.17535873875</v>
      </c>
    </row>
    <row r="74" spans="1:13" outlineLevel="1" x14ac:dyDescent="0.25">
      <c r="A74" s="51">
        <f t="shared" si="19"/>
        <v>45993</v>
      </c>
      <c r="B74" s="53">
        <v>12</v>
      </c>
      <c r="C74" s="50">
        <f t="shared" si="14"/>
        <v>4.9500000000000002E-2</v>
      </c>
      <c r="D74" s="50"/>
      <c r="E74" s="41">
        <f t="shared" si="20"/>
        <v>530186.17535873875</v>
      </c>
      <c r="F74" s="52">
        <v>0</v>
      </c>
      <c r="G74" s="41">
        <f t="shared" si="15"/>
        <v>7407.49</v>
      </c>
      <c r="H74" s="41">
        <f t="shared" si="16"/>
        <v>2187.0179733547975</v>
      </c>
      <c r="I74" s="41">
        <f t="shared" si="17"/>
        <v>5220.4720266452023</v>
      </c>
      <c r="J74" s="41">
        <f t="shared" si="18"/>
        <v>524965.70333209354</v>
      </c>
      <c r="M74" s="85"/>
    </row>
    <row r="75" spans="1:13" outlineLevel="1" x14ac:dyDescent="0.25">
      <c r="A75" s="51" t="s">
        <v>80</v>
      </c>
      <c r="C75" s="50"/>
      <c r="D75" s="50"/>
      <c r="E75" s="41">
        <f t="shared" si="20"/>
        <v>524965.70333209354</v>
      </c>
      <c r="F75" s="41"/>
      <c r="G75" s="49"/>
      <c r="H75" s="49">
        <f>-I75</f>
        <v>0</v>
      </c>
      <c r="I75" s="41"/>
      <c r="J75" s="41">
        <f t="shared" si="18"/>
        <v>524965.70333209354</v>
      </c>
    </row>
    <row r="76" spans="1:13" x14ac:dyDescent="0.25">
      <c r="A76" s="48" t="str">
        <f>CONCATENATE("Total exercice ",A62)</f>
        <v>Total exercice 2026</v>
      </c>
      <c r="B76" s="10"/>
      <c r="C76" s="10"/>
      <c r="D76" s="10"/>
      <c r="E76" s="10"/>
      <c r="F76" s="10"/>
      <c r="G76" s="47">
        <f>SUM(G63:G75)</f>
        <v>88889.88</v>
      </c>
      <c r="H76" s="47">
        <f>SUM(H63:H75)</f>
        <v>27640.446224458326</v>
      </c>
      <c r="I76" s="47">
        <f>SUM(I63:I75)</f>
        <v>61249.433775541678</v>
      </c>
      <c r="J76" s="47">
        <f>+J75</f>
        <v>524965.70333209354</v>
      </c>
    </row>
    <row r="78" spans="1:13" outlineLevel="1" x14ac:dyDescent="0.25">
      <c r="A78" s="45">
        <f>+A62+1</f>
        <v>2027</v>
      </c>
      <c r="B78" s="1"/>
      <c r="C78" s="54" t="s">
        <v>87</v>
      </c>
      <c r="D78" s="54"/>
      <c r="E78" s="54" t="s">
        <v>86</v>
      </c>
      <c r="F78" s="54" t="s">
        <v>85</v>
      </c>
      <c r="G78" s="54" t="s">
        <v>84</v>
      </c>
      <c r="H78" s="54" t="s">
        <v>83</v>
      </c>
      <c r="I78" s="54" t="s">
        <v>82</v>
      </c>
      <c r="J78" s="54" t="s">
        <v>81</v>
      </c>
    </row>
    <row r="79" spans="1:13" outlineLevel="1" x14ac:dyDescent="0.25">
      <c r="A79" s="51">
        <f>EDATE(A74,1)</f>
        <v>46024</v>
      </c>
      <c r="B79" s="53">
        <v>1</v>
      </c>
      <c r="C79" s="50">
        <f t="shared" ref="C79:C90" si="21">SUM($E$10:$F$10)</f>
        <v>4.9500000000000002E-2</v>
      </c>
      <c r="D79" s="50"/>
      <c r="E79" s="41">
        <f>+J75</f>
        <v>524965.70333209354</v>
      </c>
      <c r="F79" s="52">
        <v>0</v>
      </c>
      <c r="G79" s="41">
        <f t="shared" ref="G79:G90" si="22">MIN(IF($C$12="Capital seulement",I79+H79,$E$12),E79+F79)</f>
        <v>7407.49</v>
      </c>
      <c r="H79" s="41">
        <f t="shared" ref="H79:H90" si="23">(E79+F79)*C79/12</f>
        <v>2165.483526244886</v>
      </c>
      <c r="I79" s="41">
        <f t="shared" ref="I79:I90" si="24">MIN(IF($C$12="Capital seulement",$E$12,G79-H79),E79+F79)</f>
        <v>5242.0064737551138</v>
      </c>
      <c r="J79" s="41">
        <f t="shared" ref="J79:J91" si="25">MAX(E79-I79+F79,0)</f>
        <v>519723.69685833843</v>
      </c>
    </row>
    <row r="80" spans="1:13" outlineLevel="1" x14ac:dyDescent="0.25">
      <c r="A80" s="51">
        <f t="shared" ref="A80:A90" si="26">EDATE(A79,1)</f>
        <v>46055</v>
      </c>
      <c r="B80" s="53">
        <v>2</v>
      </c>
      <c r="C80" s="50">
        <f t="shared" si="21"/>
        <v>4.9500000000000002E-2</v>
      </c>
      <c r="D80" s="50"/>
      <c r="E80" s="41">
        <f t="shared" ref="E80:E91" si="27">+J79</f>
        <v>519723.69685833843</v>
      </c>
      <c r="F80" s="52">
        <v>0</v>
      </c>
      <c r="G80" s="41">
        <f t="shared" si="22"/>
        <v>7407.49</v>
      </c>
      <c r="H80" s="41">
        <f t="shared" si="23"/>
        <v>2143.8602495406462</v>
      </c>
      <c r="I80" s="41">
        <f t="shared" si="24"/>
        <v>5263.6297504593531</v>
      </c>
      <c r="J80" s="41">
        <f t="shared" si="25"/>
        <v>514460.06710787909</v>
      </c>
    </row>
    <row r="81" spans="1:13" outlineLevel="1" x14ac:dyDescent="0.25">
      <c r="A81" s="51">
        <f t="shared" si="26"/>
        <v>46083</v>
      </c>
      <c r="B81" s="53">
        <v>3</v>
      </c>
      <c r="C81" s="50">
        <f t="shared" si="21"/>
        <v>4.9500000000000002E-2</v>
      </c>
      <c r="D81" s="50"/>
      <c r="E81" s="41">
        <f t="shared" si="27"/>
        <v>514460.06710787909</v>
      </c>
      <c r="F81" s="52">
        <v>0</v>
      </c>
      <c r="G81" s="41">
        <f t="shared" si="22"/>
        <v>7407.49</v>
      </c>
      <c r="H81" s="41">
        <f t="shared" si="23"/>
        <v>2122.1477768200016</v>
      </c>
      <c r="I81" s="41">
        <f t="shared" si="24"/>
        <v>5285.3422231799977</v>
      </c>
      <c r="J81" s="41">
        <f t="shared" si="25"/>
        <v>509174.7248846991</v>
      </c>
    </row>
    <row r="82" spans="1:13" outlineLevel="1" x14ac:dyDescent="0.25">
      <c r="A82" s="51">
        <f t="shared" si="26"/>
        <v>46114</v>
      </c>
      <c r="B82" s="53">
        <v>4</v>
      </c>
      <c r="C82" s="50">
        <f t="shared" si="21"/>
        <v>4.9500000000000002E-2</v>
      </c>
      <c r="D82" s="50"/>
      <c r="E82" s="41">
        <f t="shared" si="27"/>
        <v>509174.7248846991</v>
      </c>
      <c r="F82" s="52">
        <v>0</v>
      </c>
      <c r="G82" s="41">
        <f t="shared" si="22"/>
        <v>7407.49</v>
      </c>
      <c r="H82" s="41">
        <f t="shared" si="23"/>
        <v>2100.3457401493838</v>
      </c>
      <c r="I82" s="41">
        <f t="shared" si="24"/>
        <v>5307.1442598506164</v>
      </c>
      <c r="J82" s="41">
        <f t="shared" si="25"/>
        <v>503867.58062484849</v>
      </c>
    </row>
    <row r="83" spans="1:13" outlineLevel="1" x14ac:dyDescent="0.25">
      <c r="A83" s="51">
        <f t="shared" si="26"/>
        <v>46144</v>
      </c>
      <c r="B83" s="53">
        <v>5</v>
      </c>
      <c r="C83" s="50">
        <f t="shared" si="21"/>
        <v>4.9500000000000002E-2</v>
      </c>
      <c r="D83" s="50"/>
      <c r="E83" s="41">
        <f t="shared" si="27"/>
        <v>503867.58062484849</v>
      </c>
      <c r="F83" s="52">
        <v>0</v>
      </c>
      <c r="G83" s="41">
        <f t="shared" si="22"/>
        <v>7407.49</v>
      </c>
      <c r="H83" s="41">
        <f t="shared" si="23"/>
        <v>2078.4537700775004</v>
      </c>
      <c r="I83" s="41">
        <f t="shared" si="24"/>
        <v>5329.0362299224998</v>
      </c>
      <c r="J83" s="41">
        <f t="shared" si="25"/>
        <v>498538.54439492599</v>
      </c>
    </row>
    <row r="84" spans="1:13" outlineLevel="1" x14ac:dyDescent="0.25">
      <c r="A84" s="51">
        <f t="shared" si="26"/>
        <v>46175</v>
      </c>
      <c r="B84" s="53">
        <v>6</v>
      </c>
      <c r="C84" s="50">
        <f t="shared" si="21"/>
        <v>4.9500000000000002E-2</v>
      </c>
      <c r="D84" s="50"/>
      <c r="E84" s="41">
        <f t="shared" si="27"/>
        <v>498538.54439492599</v>
      </c>
      <c r="F84" s="52">
        <v>0</v>
      </c>
      <c r="G84" s="41">
        <f t="shared" si="22"/>
        <v>7407.49</v>
      </c>
      <c r="H84" s="41">
        <f t="shared" si="23"/>
        <v>2056.4714956290695</v>
      </c>
      <c r="I84" s="41">
        <f t="shared" si="24"/>
        <v>5351.0185043709298</v>
      </c>
      <c r="J84" s="41">
        <f t="shared" si="25"/>
        <v>493187.52589055506</v>
      </c>
    </row>
    <row r="85" spans="1:13" outlineLevel="1" x14ac:dyDescent="0.25">
      <c r="A85" s="51">
        <f t="shared" si="26"/>
        <v>46205</v>
      </c>
      <c r="B85" s="53">
        <v>7</v>
      </c>
      <c r="C85" s="50">
        <f t="shared" si="21"/>
        <v>4.9500000000000002E-2</v>
      </c>
      <c r="D85" s="50"/>
      <c r="E85" s="41">
        <f t="shared" si="27"/>
        <v>493187.52589055506</v>
      </c>
      <c r="F85" s="52">
        <v>0</v>
      </c>
      <c r="G85" s="41">
        <f t="shared" si="22"/>
        <v>7407.49</v>
      </c>
      <c r="H85" s="41">
        <f t="shared" si="23"/>
        <v>2034.3985442985397</v>
      </c>
      <c r="I85" s="41">
        <f t="shared" si="24"/>
        <v>5373.0914557014603</v>
      </c>
      <c r="J85" s="41">
        <f t="shared" si="25"/>
        <v>487814.43443485361</v>
      </c>
    </row>
    <row r="86" spans="1:13" outlineLevel="1" x14ac:dyDescent="0.25">
      <c r="A86" s="51">
        <f t="shared" si="26"/>
        <v>46236</v>
      </c>
      <c r="B86" s="53">
        <v>8</v>
      </c>
      <c r="C86" s="50">
        <f t="shared" si="21"/>
        <v>4.9500000000000002E-2</v>
      </c>
      <c r="D86" s="50"/>
      <c r="E86" s="41">
        <f t="shared" si="27"/>
        <v>487814.43443485361</v>
      </c>
      <c r="F86" s="52">
        <v>0</v>
      </c>
      <c r="G86" s="41">
        <f t="shared" si="22"/>
        <v>7407.49</v>
      </c>
      <c r="H86" s="41">
        <f t="shared" si="23"/>
        <v>2012.2345420437712</v>
      </c>
      <c r="I86" s="41">
        <f t="shared" si="24"/>
        <v>5395.2554579562284</v>
      </c>
      <c r="J86" s="41">
        <f t="shared" si="25"/>
        <v>482419.17897689738</v>
      </c>
    </row>
    <row r="87" spans="1:13" outlineLevel="1" x14ac:dyDescent="0.25">
      <c r="A87" s="51">
        <f t="shared" si="26"/>
        <v>46267</v>
      </c>
      <c r="B87" s="53">
        <v>9</v>
      </c>
      <c r="C87" s="50">
        <f t="shared" si="21"/>
        <v>4.9500000000000002E-2</v>
      </c>
      <c r="D87" s="50"/>
      <c r="E87" s="41">
        <f t="shared" si="27"/>
        <v>482419.17897689738</v>
      </c>
      <c r="F87" s="52"/>
      <c r="G87" s="41">
        <f t="shared" si="22"/>
        <v>7407.49</v>
      </c>
      <c r="H87" s="41">
        <f t="shared" si="23"/>
        <v>1989.9791132797018</v>
      </c>
      <c r="I87" s="41">
        <f t="shared" si="24"/>
        <v>5417.510886720298</v>
      </c>
      <c r="J87" s="41">
        <f t="shared" si="25"/>
        <v>477001.66809017706</v>
      </c>
    </row>
    <row r="88" spans="1:13" outlineLevel="1" x14ac:dyDescent="0.25">
      <c r="A88" s="51">
        <f t="shared" si="26"/>
        <v>46297</v>
      </c>
      <c r="B88" s="53">
        <v>10</v>
      </c>
      <c r="C88" s="50">
        <f t="shared" si="21"/>
        <v>4.9500000000000002E-2</v>
      </c>
      <c r="D88" s="50"/>
      <c r="E88" s="41">
        <f t="shared" si="27"/>
        <v>477001.66809017706</v>
      </c>
      <c r="F88" s="52">
        <v>0</v>
      </c>
      <c r="G88" s="41">
        <f t="shared" si="22"/>
        <v>7407.49</v>
      </c>
      <c r="H88" s="41">
        <f t="shared" si="23"/>
        <v>1967.6318808719805</v>
      </c>
      <c r="I88" s="41">
        <f t="shared" si="24"/>
        <v>5439.8581191280191</v>
      </c>
      <c r="J88" s="41">
        <f t="shared" si="25"/>
        <v>471561.80997104902</v>
      </c>
    </row>
    <row r="89" spans="1:13" outlineLevel="1" x14ac:dyDescent="0.25">
      <c r="A89" s="51">
        <f t="shared" si="26"/>
        <v>46328</v>
      </c>
      <c r="B89" s="53">
        <v>11</v>
      </c>
      <c r="C89" s="50">
        <f t="shared" si="21"/>
        <v>4.9500000000000002E-2</v>
      </c>
      <c r="D89" s="50"/>
      <c r="E89" s="41">
        <f t="shared" si="27"/>
        <v>471561.80997104902</v>
      </c>
      <c r="F89" s="52">
        <v>0</v>
      </c>
      <c r="G89" s="41">
        <f t="shared" si="22"/>
        <v>7407.49</v>
      </c>
      <c r="H89" s="41">
        <f t="shared" si="23"/>
        <v>1945.1924661305773</v>
      </c>
      <c r="I89" s="41">
        <f t="shared" si="24"/>
        <v>5462.2975338694223</v>
      </c>
      <c r="J89" s="41">
        <f t="shared" si="25"/>
        <v>466099.51243717963</v>
      </c>
    </row>
    <row r="90" spans="1:13" outlineLevel="1" x14ac:dyDescent="0.25">
      <c r="A90" s="51">
        <f t="shared" si="26"/>
        <v>46358</v>
      </c>
      <c r="B90" s="53">
        <v>12</v>
      </c>
      <c r="C90" s="50">
        <f t="shared" si="21"/>
        <v>4.9500000000000002E-2</v>
      </c>
      <c r="D90" s="50"/>
      <c r="E90" s="41">
        <f t="shared" si="27"/>
        <v>466099.51243717963</v>
      </c>
      <c r="F90" s="52">
        <v>0</v>
      </c>
      <c r="G90" s="41">
        <f t="shared" si="22"/>
        <v>7407.49</v>
      </c>
      <c r="H90" s="41">
        <f t="shared" si="23"/>
        <v>1922.660488803366</v>
      </c>
      <c r="I90" s="41">
        <f t="shared" si="24"/>
        <v>5484.8295111966336</v>
      </c>
      <c r="J90" s="41">
        <f t="shared" si="25"/>
        <v>460614.68292598298</v>
      </c>
      <c r="M90" s="85"/>
    </row>
    <row r="91" spans="1:13" outlineLevel="1" x14ac:dyDescent="0.25">
      <c r="A91" s="51" t="s">
        <v>80</v>
      </c>
      <c r="C91" s="50"/>
      <c r="D91" s="50"/>
      <c r="E91" s="41">
        <f t="shared" si="27"/>
        <v>460614.68292598298</v>
      </c>
      <c r="F91" s="41"/>
      <c r="G91" s="49"/>
      <c r="H91" s="49">
        <f>-I91</f>
        <v>0</v>
      </c>
      <c r="I91" s="41"/>
      <c r="J91" s="41">
        <f t="shared" si="25"/>
        <v>460614.68292598298</v>
      </c>
    </row>
    <row r="92" spans="1:13" x14ac:dyDescent="0.25">
      <c r="A92" s="48" t="str">
        <f>CONCATENATE("Total exercice ",A78)</f>
        <v>Total exercice 2027</v>
      </c>
      <c r="B92" s="10"/>
      <c r="C92" s="10"/>
      <c r="D92" s="10"/>
      <c r="E92" s="10"/>
      <c r="F92" s="10"/>
      <c r="G92" s="47">
        <f>SUM(G79:G91)</f>
        <v>88889.88</v>
      </c>
      <c r="H92" s="47">
        <f>SUM(H79:H91)</f>
        <v>24538.859593889421</v>
      </c>
      <c r="I92" s="47">
        <f>SUM(I79:I91)</f>
        <v>64351.020406110576</v>
      </c>
      <c r="J92" s="47">
        <f>+J91</f>
        <v>460614.68292598298</v>
      </c>
    </row>
    <row r="94" spans="1:13" hidden="1" outlineLevel="1" x14ac:dyDescent="0.25">
      <c r="A94" s="45">
        <f>+A78+1</f>
        <v>2028</v>
      </c>
      <c r="B94" s="1"/>
      <c r="C94" s="54" t="s">
        <v>87</v>
      </c>
      <c r="D94" s="54"/>
      <c r="E94" s="54" t="s">
        <v>86</v>
      </c>
      <c r="F94" s="54" t="s">
        <v>85</v>
      </c>
      <c r="G94" s="54" t="s">
        <v>84</v>
      </c>
      <c r="H94" s="54" t="s">
        <v>83</v>
      </c>
      <c r="I94" s="54" t="s">
        <v>82</v>
      </c>
      <c r="J94" s="54" t="s">
        <v>81</v>
      </c>
    </row>
    <row r="95" spans="1:13" hidden="1" outlineLevel="1" x14ac:dyDescent="0.25">
      <c r="A95" s="51">
        <f>EDATE(A90,1)</f>
        <v>46389</v>
      </c>
      <c r="B95" s="53">
        <v>1</v>
      </c>
      <c r="C95" s="50" t="e">
        <v>#VALUE!</v>
      </c>
      <c r="D95" s="50"/>
      <c r="E95" s="41">
        <f>+J91</f>
        <v>460614.68292598298</v>
      </c>
      <c r="F95" s="52">
        <v>0</v>
      </c>
      <c r="G95" s="41">
        <f t="shared" ref="G95:G106" si="28">MIN(IF($C$12="Capital seulement",I95+H95,$E$12),E95+F95)</f>
        <v>7407.49</v>
      </c>
      <c r="H95" s="41" t="e">
        <f t="shared" ref="H95:H106" si="29">(E95+F95)*C95/12</f>
        <v>#VALUE!</v>
      </c>
      <c r="I95" s="41" t="e">
        <f t="shared" ref="I95:I106" si="30">MIN(IF($C$12="Capital seulement",$E$12,G95-H95),E95+F95)</f>
        <v>#VALUE!</v>
      </c>
      <c r="J95" s="41" t="e">
        <f t="shared" ref="J95:J107" si="31">MAX(E95-I95+F95,0)</f>
        <v>#VALUE!</v>
      </c>
    </row>
    <row r="96" spans="1:13" hidden="1" outlineLevel="1" x14ac:dyDescent="0.25">
      <c r="A96" s="51">
        <f t="shared" ref="A96:A106" si="32">EDATE(A95,1)</f>
        <v>46420</v>
      </c>
      <c r="B96" s="53">
        <v>2</v>
      </c>
      <c r="C96" s="50" t="e">
        <v>#VALUE!</v>
      </c>
      <c r="D96" s="50"/>
      <c r="E96" s="41" t="e">
        <f t="shared" ref="E96:E107" si="33">+J95</f>
        <v>#VALUE!</v>
      </c>
      <c r="F96" s="52">
        <v>0</v>
      </c>
      <c r="G96" s="41" t="e">
        <f t="shared" si="28"/>
        <v>#VALUE!</v>
      </c>
      <c r="H96" s="41" t="e">
        <f t="shared" si="29"/>
        <v>#VALUE!</v>
      </c>
      <c r="I96" s="41" t="e">
        <f t="shared" si="30"/>
        <v>#VALUE!</v>
      </c>
      <c r="J96" s="41" t="e">
        <f t="shared" si="31"/>
        <v>#VALUE!</v>
      </c>
    </row>
    <row r="97" spans="1:10" hidden="1" outlineLevel="1" x14ac:dyDescent="0.25">
      <c r="A97" s="51">
        <f t="shared" si="32"/>
        <v>46448</v>
      </c>
      <c r="B97" s="53">
        <v>3</v>
      </c>
      <c r="C97" s="50" t="e">
        <v>#VALUE!</v>
      </c>
      <c r="D97" s="50"/>
      <c r="E97" s="41" t="e">
        <f t="shared" si="33"/>
        <v>#VALUE!</v>
      </c>
      <c r="F97" s="52">
        <v>0</v>
      </c>
      <c r="G97" s="41" t="e">
        <f t="shared" si="28"/>
        <v>#VALUE!</v>
      </c>
      <c r="H97" s="41" t="e">
        <f t="shared" si="29"/>
        <v>#VALUE!</v>
      </c>
      <c r="I97" s="41" t="e">
        <f t="shared" si="30"/>
        <v>#VALUE!</v>
      </c>
      <c r="J97" s="41" t="e">
        <f t="shared" si="31"/>
        <v>#VALUE!</v>
      </c>
    </row>
    <row r="98" spans="1:10" hidden="1" outlineLevel="1" x14ac:dyDescent="0.25">
      <c r="A98" s="51">
        <f t="shared" si="32"/>
        <v>46479</v>
      </c>
      <c r="B98" s="53">
        <v>4</v>
      </c>
      <c r="C98" s="50" t="e">
        <v>#VALUE!</v>
      </c>
      <c r="D98" s="50"/>
      <c r="E98" s="41" t="e">
        <f t="shared" si="33"/>
        <v>#VALUE!</v>
      </c>
      <c r="F98" s="52">
        <v>0</v>
      </c>
      <c r="G98" s="41" t="e">
        <f t="shared" si="28"/>
        <v>#VALUE!</v>
      </c>
      <c r="H98" s="41" t="e">
        <f t="shared" si="29"/>
        <v>#VALUE!</v>
      </c>
      <c r="I98" s="41" t="e">
        <f t="shared" si="30"/>
        <v>#VALUE!</v>
      </c>
      <c r="J98" s="41" t="e">
        <f t="shared" si="31"/>
        <v>#VALUE!</v>
      </c>
    </row>
    <row r="99" spans="1:10" hidden="1" outlineLevel="1" x14ac:dyDescent="0.25">
      <c r="A99" s="51">
        <f t="shared" si="32"/>
        <v>46509</v>
      </c>
      <c r="B99" s="53">
        <v>5</v>
      </c>
      <c r="C99" s="50" t="e">
        <v>#VALUE!</v>
      </c>
      <c r="D99" s="50"/>
      <c r="E99" s="41" t="e">
        <f t="shared" si="33"/>
        <v>#VALUE!</v>
      </c>
      <c r="F99" s="52">
        <v>0</v>
      </c>
      <c r="G99" s="41" t="e">
        <f t="shared" si="28"/>
        <v>#VALUE!</v>
      </c>
      <c r="H99" s="41" t="e">
        <f t="shared" si="29"/>
        <v>#VALUE!</v>
      </c>
      <c r="I99" s="41" t="e">
        <f t="shared" si="30"/>
        <v>#VALUE!</v>
      </c>
      <c r="J99" s="41" t="e">
        <f t="shared" si="31"/>
        <v>#VALUE!</v>
      </c>
    </row>
    <row r="100" spans="1:10" hidden="1" outlineLevel="1" x14ac:dyDescent="0.25">
      <c r="A100" s="51">
        <f t="shared" si="32"/>
        <v>46540</v>
      </c>
      <c r="B100" s="53">
        <v>6</v>
      </c>
      <c r="C100" s="50" t="e">
        <v>#VALUE!</v>
      </c>
      <c r="D100" s="50"/>
      <c r="E100" s="41" t="e">
        <f t="shared" si="33"/>
        <v>#VALUE!</v>
      </c>
      <c r="F100" s="52">
        <v>0</v>
      </c>
      <c r="G100" s="41" t="e">
        <f t="shared" si="28"/>
        <v>#VALUE!</v>
      </c>
      <c r="H100" s="41" t="e">
        <f t="shared" si="29"/>
        <v>#VALUE!</v>
      </c>
      <c r="I100" s="41" t="e">
        <f t="shared" si="30"/>
        <v>#VALUE!</v>
      </c>
      <c r="J100" s="41" t="e">
        <f t="shared" si="31"/>
        <v>#VALUE!</v>
      </c>
    </row>
    <row r="101" spans="1:10" hidden="1" outlineLevel="1" x14ac:dyDescent="0.25">
      <c r="A101" s="51">
        <f t="shared" si="32"/>
        <v>46570</v>
      </c>
      <c r="B101" s="53">
        <v>7</v>
      </c>
      <c r="C101" s="50" t="e">
        <v>#VALUE!</v>
      </c>
      <c r="D101" s="50"/>
      <c r="E101" s="41" t="e">
        <f t="shared" si="33"/>
        <v>#VALUE!</v>
      </c>
      <c r="F101" s="52">
        <v>0</v>
      </c>
      <c r="G101" s="41" t="e">
        <f t="shared" si="28"/>
        <v>#VALUE!</v>
      </c>
      <c r="H101" s="41" t="e">
        <f t="shared" si="29"/>
        <v>#VALUE!</v>
      </c>
      <c r="I101" s="41" t="e">
        <f t="shared" si="30"/>
        <v>#VALUE!</v>
      </c>
      <c r="J101" s="41" t="e">
        <f t="shared" si="31"/>
        <v>#VALUE!</v>
      </c>
    </row>
    <row r="102" spans="1:10" hidden="1" outlineLevel="1" x14ac:dyDescent="0.25">
      <c r="A102" s="51">
        <f t="shared" si="32"/>
        <v>46601</v>
      </c>
      <c r="B102" s="53">
        <v>8</v>
      </c>
      <c r="C102" s="50" t="e">
        <v>#VALUE!</v>
      </c>
      <c r="D102" s="50"/>
      <c r="E102" s="41" t="e">
        <f t="shared" si="33"/>
        <v>#VALUE!</v>
      </c>
      <c r="F102" s="52">
        <v>0</v>
      </c>
      <c r="G102" s="41" t="e">
        <f t="shared" si="28"/>
        <v>#VALUE!</v>
      </c>
      <c r="H102" s="41" t="e">
        <f t="shared" si="29"/>
        <v>#VALUE!</v>
      </c>
      <c r="I102" s="41" t="e">
        <f t="shared" si="30"/>
        <v>#VALUE!</v>
      </c>
      <c r="J102" s="41" t="e">
        <f t="shared" si="31"/>
        <v>#VALUE!</v>
      </c>
    </row>
    <row r="103" spans="1:10" hidden="1" outlineLevel="1" x14ac:dyDescent="0.25">
      <c r="A103" s="51">
        <f t="shared" si="32"/>
        <v>46632</v>
      </c>
      <c r="B103" s="53">
        <v>9</v>
      </c>
      <c r="C103" s="50" t="e">
        <v>#VALUE!</v>
      </c>
      <c r="D103" s="50"/>
      <c r="E103" s="41" t="e">
        <f t="shared" si="33"/>
        <v>#VALUE!</v>
      </c>
      <c r="F103" s="52">
        <v>0</v>
      </c>
      <c r="G103" s="41" t="e">
        <f t="shared" si="28"/>
        <v>#VALUE!</v>
      </c>
      <c r="H103" s="41" t="e">
        <f t="shared" si="29"/>
        <v>#VALUE!</v>
      </c>
      <c r="I103" s="41" t="e">
        <f t="shared" si="30"/>
        <v>#VALUE!</v>
      </c>
      <c r="J103" s="41" t="e">
        <f t="shared" si="31"/>
        <v>#VALUE!</v>
      </c>
    </row>
    <row r="104" spans="1:10" hidden="1" outlineLevel="1" x14ac:dyDescent="0.25">
      <c r="A104" s="51">
        <f t="shared" si="32"/>
        <v>46662</v>
      </c>
      <c r="B104" s="53">
        <v>10</v>
      </c>
      <c r="C104" s="50" t="e">
        <v>#VALUE!</v>
      </c>
      <c r="D104" s="50"/>
      <c r="E104" s="41" t="e">
        <f t="shared" si="33"/>
        <v>#VALUE!</v>
      </c>
      <c r="F104" s="52">
        <v>0</v>
      </c>
      <c r="G104" s="41" t="e">
        <f t="shared" si="28"/>
        <v>#VALUE!</v>
      </c>
      <c r="H104" s="41" t="e">
        <f t="shared" si="29"/>
        <v>#VALUE!</v>
      </c>
      <c r="I104" s="41" t="e">
        <f t="shared" si="30"/>
        <v>#VALUE!</v>
      </c>
      <c r="J104" s="41" t="e">
        <f t="shared" si="31"/>
        <v>#VALUE!</v>
      </c>
    </row>
    <row r="105" spans="1:10" hidden="1" outlineLevel="1" x14ac:dyDescent="0.25">
      <c r="A105" s="51">
        <f t="shared" si="32"/>
        <v>46693</v>
      </c>
      <c r="B105" s="53">
        <v>11</v>
      </c>
      <c r="C105" s="50" t="e">
        <v>#VALUE!</v>
      </c>
      <c r="D105" s="50"/>
      <c r="E105" s="41" t="e">
        <f t="shared" si="33"/>
        <v>#VALUE!</v>
      </c>
      <c r="F105" s="52">
        <v>0</v>
      </c>
      <c r="G105" s="41" t="e">
        <f t="shared" si="28"/>
        <v>#VALUE!</v>
      </c>
      <c r="H105" s="41" t="e">
        <f t="shared" si="29"/>
        <v>#VALUE!</v>
      </c>
      <c r="I105" s="41" t="e">
        <f t="shared" si="30"/>
        <v>#VALUE!</v>
      </c>
      <c r="J105" s="41" t="e">
        <f t="shared" si="31"/>
        <v>#VALUE!</v>
      </c>
    </row>
    <row r="106" spans="1:10" hidden="1" outlineLevel="1" x14ac:dyDescent="0.25">
      <c r="A106" s="51">
        <f t="shared" si="32"/>
        <v>46723</v>
      </c>
      <c r="B106" s="53">
        <v>12</v>
      </c>
      <c r="C106" s="50" t="e">
        <v>#VALUE!</v>
      </c>
      <c r="D106" s="50"/>
      <c r="E106" s="41" t="e">
        <f t="shared" si="33"/>
        <v>#VALUE!</v>
      </c>
      <c r="F106" s="52">
        <v>0</v>
      </c>
      <c r="G106" s="41" t="e">
        <f t="shared" si="28"/>
        <v>#VALUE!</v>
      </c>
      <c r="H106" s="41" t="e">
        <f t="shared" si="29"/>
        <v>#VALUE!</v>
      </c>
      <c r="I106" s="41" t="e">
        <f t="shared" si="30"/>
        <v>#VALUE!</v>
      </c>
      <c r="J106" s="41" t="e">
        <f t="shared" si="31"/>
        <v>#VALUE!</v>
      </c>
    </row>
    <row r="107" spans="1:10" hidden="1" outlineLevel="1" x14ac:dyDescent="0.25">
      <c r="A107" s="51" t="s">
        <v>80</v>
      </c>
      <c r="C107" s="50"/>
      <c r="D107" s="50"/>
      <c r="E107" s="41" t="e">
        <f t="shared" si="33"/>
        <v>#VALUE!</v>
      </c>
      <c r="F107" s="41"/>
      <c r="G107" s="49"/>
      <c r="H107" s="49">
        <f>-I107</f>
        <v>0</v>
      </c>
      <c r="I107" s="41"/>
      <c r="J107" s="41" t="e">
        <f t="shared" si="31"/>
        <v>#VALUE!</v>
      </c>
    </row>
    <row r="108" spans="1:10" collapsed="1" x14ac:dyDescent="0.25">
      <c r="A108" s="48" t="str">
        <f>CONCATENATE("Total exercice ",A94)</f>
        <v>Total exercice 2028</v>
      </c>
      <c r="B108" s="10"/>
      <c r="C108" s="10"/>
      <c r="D108" s="10"/>
      <c r="E108" s="10"/>
      <c r="F108" s="10"/>
      <c r="G108" s="47" t="e">
        <f>SUM(G95:G107)</f>
        <v>#VALUE!</v>
      </c>
      <c r="H108" s="47" t="e">
        <f>SUM(H95:H107)</f>
        <v>#VALUE!</v>
      </c>
      <c r="I108" s="47" t="e">
        <f>SUM(I95:I107)</f>
        <v>#VALUE!</v>
      </c>
      <c r="J108" s="47" t="e">
        <f>+J107</f>
        <v>#VALUE!</v>
      </c>
    </row>
    <row r="110" spans="1:10" hidden="1" outlineLevel="1" x14ac:dyDescent="0.25">
      <c r="A110" s="45">
        <f>+A94+1</f>
        <v>2029</v>
      </c>
      <c r="B110" s="1"/>
      <c r="C110" s="54" t="s">
        <v>87</v>
      </c>
      <c r="D110" s="54"/>
      <c r="E110" s="54" t="s">
        <v>86</v>
      </c>
      <c r="F110" s="54" t="s">
        <v>85</v>
      </c>
      <c r="G110" s="54" t="s">
        <v>84</v>
      </c>
      <c r="H110" s="54" t="s">
        <v>83</v>
      </c>
      <c r="I110" s="54" t="s">
        <v>82</v>
      </c>
      <c r="J110" s="54" t="s">
        <v>81</v>
      </c>
    </row>
    <row r="111" spans="1:10" hidden="1" outlineLevel="1" x14ac:dyDescent="0.25">
      <c r="A111" s="51">
        <f>EDATE(A106,1)</f>
        <v>46754</v>
      </c>
      <c r="B111" s="53">
        <v>1</v>
      </c>
      <c r="C111" s="50" t="e">
        <v>#VALUE!</v>
      </c>
      <c r="D111" s="50"/>
      <c r="E111" s="41" t="e">
        <f>+J107</f>
        <v>#VALUE!</v>
      </c>
      <c r="F111" s="52">
        <v>0</v>
      </c>
      <c r="G111" s="41" t="e">
        <f t="shared" ref="G111:G122" si="34">MIN(IF($C$12="Capital seulement",I111+H111,$E$12),E111+F111)</f>
        <v>#VALUE!</v>
      </c>
      <c r="H111" s="41" t="e">
        <f t="shared" ref="H111:H122" si="35">(E111+F111)*C111/12</f>
        <v>#VALUE!</v>
      </c>
      <c r="I111" s="41" t="e">
        <f t="shared" ref="I111:I122" si="36">MIN(IF($C$12="Capital seulement",$E$12,G111-H111),E111+F111)</f>
        <v>#VALUE!</v>
      </c>
      <c r="J111" s="41" t="e">
        <f t="shared" ref="J111:J123" si="37">MAX(E111-I111+F111,0)</f>
        <v>#VALUE!</v>
      </c>
    </row>
    <row r="112" spans="1:10" hidden="1" outlineLevel="1" x14ac:dyDescent="0.25">
      <c r="A112" s="51">
        <f t="shared" ref="A112:A122" si="38">EDATE(A111,1)</f>
        <v>46785</v>
      </c>
      <c r="B112" s="53">
        <v>2</v>
      </c>
      <c r="C112" s="50" t="e">
        <v>#VALUE!</v>
      </c>
      <c r="D112" s="50"/>
      <c r="E112" s="41" t="e">
        <f t="shared" ref="E112:E123" si="39">+J111</f>
        <v>#VALUE!</v>
      </c>
      <c r="F112" s="52">
        <v>0</v>
      </c>
      <c r="G112" s="41" t="e">
        <f t="shared" si="34"/>
        <v>#VALUE!</v>
      </c>
      <c r="H112" s="41" t="e">
        <f t="shared" si="35"/>
        <v>#VALUE!</v>
      </c>
      <c r="I112" s="41" t="e">
        <f t="shared" si="36"/>
        <v>#VALUE!</v>
      </c>
      <c r="J112" s="41" t="e">
        <f t="shared" si="37"/>
        <v>#VALUE!</v>
      </c>
    </row>
    <row r="113" spans="1:10" hidden="1" outlineLevel="1" x14ac:dyDescent="0.25">
      <c r="A113" s="51">
        <f t="shared" si="38"/>
        <v>46814</v>
      </c>
      <c r="B113" s="53">
        <v>3</v>
      </c>
      <c r="C113" s="50" t="e">
        <v>#VALUE!</v>
      </c>
      <c r="D113" s="50"/>
      <c r="E113" s="41" t="e">
        <f t="shared" si="39"/>
        <v>#VALUE!</v>
      </c>
      <c r="F113" s="52">
        <v>0</v>
      </c>
      <c r="G113" s="41" t="e">
        <f t="shared" si="34"/>
        <v>#VALUE!</v>
      </c>
      <c r="H113" s="41" t="e">
        <f t="shared" si="35"/>
        <v>#VALUE!</v>
      </c>
      <c r="I113" s="41" t="e">
        <f t="shared" si="36"/>
        <v>#VALUE!</v>
      </c>
      <c r="J113" s="41" t="e">
        <f t="shared" si="37"/>
        <v>#VALUE!</v>
      </c>
    </row>
    <row r="114" spans="1:10" hidden="1" outlineLevel="1" x14ac:dyDescent="0.25">
      <c r="A114" s="51">
        <f t="shared" si="38"/>
        <v>46845</v>
      </c>
      <c r="B114" s="53">
        <v>4</v>
      </c>
      <c r="C114" s="50" t="e">
        <v>#VALUE!</v>
      </c>
      <c r="D114" s="50"/>
      <c r="E114" s="41" t="e">
        <f t="shared" si="39"/>
        <v>#VALUE!</v>
      </c>
      <c r="F114" s="52">
        <v>0</v>
      </c>
      <c r="G114" s="41" t="e">
        <f t="shared" si="34"/>
        <v>#VALUE!</v>
      </c>
      <c r="H114" s="41" t="e">
        <f t="shared" si="35"/>
        <v>#VALUE!</v>
      </c>
      <c r="I114" s="41" t="e">
        <f t="shared" si="36"/>
        <v>#VALUE!</v>
      </c>
      <c r="J114" s="41" t="e">
        <f t="shared" si="37"/>
        <v>#VALUE!</v>
      </c>
    </row>
    <row r="115" spans="1:10" hidden="1" outlineLevel="1" x14ac:dyDescent="0.25">
      <c r="A115" s="51">
        <f t="shared" si="38"/>
        <v>46875</v>
      </c>
      <c r="B115" s="53">
        <v>5</v>
      </c>
      <c r="C115" s="50" t="e">
        <v>#VALUE!</v>
      </c>
      <c r="D115" s="50"/>
      <c r="E115" s="41" t="e">
        <f t="shared" si="39"/>
        <v>#VALUE!</v>
      </c>
      <c r="F115" s="52">
        <v>0</v>
      </c>
      <c r="G115" s="41" t="e">
        <f t="shared" si="34"/>
        <v>#VALUE!</v>
      </c>
      <c r="H115" s="41" t="e">
        <f t="shared" si="35"/>
        <v>#VALUE!</v>
      </c>
      <c r="I115" s="41" t="e">
        <f t="shared" si="36"/>
        <v>#VALUE!</v>
      </c>
      <c r="J115" s="41" t="e">
        <f t="shared" si="37"/>
        <v>#VALUE!</v>
      </c>
    </row>
    <row r="116" spans="1:10" hidden="1" outlineLevel="1" x14ac:dyDescent="0.25">
      <c r="A116" s="51">
        <f t="shared" si="38"/>
        <v>46906</v>
      </c>
      <c r="B116" s="53">
        <v>6</v>
      </c>
      <c r="C116" s="50" t="e">
        <v>#VALUE!</v>
      </c>
      <c r="D116" s="50"/>
      <c r="E116" s="41" t="e">
        <f t="shared" si="39"/>
        <v>#VALUE!</v>
      </c>
      <c r="F116" s="52">
        <v>0</v>
      </c>
      <c r="G116" s="41" t="e">
        <f t="shared" si="34"/>
        <v>#VALUE!</v>
      </c>
      <c r="H116" s="41" t="e">
        <f t="shared" si="35"/>
        <v>#VALUE!</v>
      </c>
      <c r="I116" s="41" t="e">
        <f t="shared" si="36"/>
        <v>#VALUE!</v>
      </c>
      <c r="J116" s="41" t="e">
        <f t="shared" si="37"/>
        <v>#VALUE!</v>
      </c>
    </row>
    <row r="117" spans="1:10" hidden="1" outlineLevel="1" x14ac:dyDescent="0.25">
      <c r="A117" s="51">
        <f t="shared" si="38"/>
        <v>46936</v>
      </c>
      <c r="B117" s="53">
        <v>7</v>
      </c>
      <c r="C117" s="50" t="e">
        <v>#VALUE!</v>
      </c>
      <c r="D117" s="50"/>
      <c r="E117" s="41" t="e">
        <f t="shared" si="39"/>
        <v>#VALUE!</v>
      </c>
      <c r="F117" s="52">
        <v>0</v>
      </c>
      <c r="G117" s="41" t="e">
        <f t="shared" si="34"/>
        <v>#VALUE!</v>
      </c>
      <c r="H117" s="41" t="e">
        <f t="shared" si="35"/>
        <v>#VALUE!</v>
      </c>
      <c r="I117" s="41" t="e">
        <f t="shared" si="36"/>
        <v>#VALUE!</v>
      </c>
      <c r="J117" s="41" t="e">
        <f t="shared" si="37"/>
        <v>#VALUE!</v>
      </c>
    </row>
    <row r="118" spans="1:10" hidden="1" outlineLevel="1" x14ac:dyDescent="0.25">
      <c r="A118" s="51">
        <f t="shared" si="38"/>
        <v>46967</v>
      </c>
      <c r="B118" s="53">
        <v>8</v>
      </c>
      <c r="C118" s="50" t="e">
        <v>#VALUE!</v>
      </c>
      <c r="D118" s="50"/>
      <c r="E118" s="41" t="e">
        <f t="shared" si="39"/>
        <v>#VALUE!</v>
      </c>
      <c r="F118" s="52">
        <v>0</v>
      </c>
      <c r="G118" s="41" t="e">
        <f t="shared" si="34"/>
        <v>#VALUE!</v>
      </c>
      <c r="H118" s="41" t="e">
        <f t="shared" si="35"/>
        <v>#VALUE!</v>
      </c>
      <c r="I118" s="41" t="e">
        <f t="shared" si="36"/>
        <v>#VALUE!</v>
      </c>
      <c r="J118" s="41" t="e">
        <f t="shared" si="37"/>
        <v>#VALUE!</v>
      </c>
    </row>
    <row r="119" spans="1:10" hidden="1" outlineLevel="1" x14ac:dyDescent="0.25">
      <c r="A119" s="51">
        <f t="shared" si="38"/>
        <v>46998</v>
      </c>
      <c r="B119" s="53">
        <v>9</v>
      </c>
      <c r="C119" s="50" t="e">
        <v>#VALUE!</v>
      </c>
      <c r="D119" s="50"/>
      <c r="E119" s="41" t="e">
        <f t="shared" si="39"/>
        <v>#VALUE!</v>
      </c>
      <c r="F119" s="52">
        <v>0</v>
      </c>
      <c r="G119" s="41" t="e">
        <f t="shared" si="34"/>
        <v>#VALUE!</v>
      </c>
      <c r="H119" s="41" t="e">
        <f t="shared" si="35"/>
        <v>#VALUE!</v>
      </c>
      <c r="I119" s="41" t="e">
        <f t="shared" si="36"/>
        <v>#VALUE!</v>
      </c>
      <c r="J119" s="41" t="e">
        <f t="shared" si="37"/>
        <v>#VALUE!</v>
      </c>
    </row>
    <row r="120" spans="1:10" hidden="1" outlineLevel="1" x14ac:dyDescent="0.25">
      <c r="A120" s="51">
        <f t="shared" si="38"/>
        <v>47028</v>
      </c>
      <c r="B120" s="53">
        <v>10</v>
      </c>
      <c r="C120" s="50" t="e">
        <v>#VALUE!</v>
      </c>
      <c r="D120" s="50"/>
      <c r="E120" s="41" t="e">
        <f t="shared" si="39"/>
        <v>#VALUE!</v>
      </c>
      <c r="F120" s="52">
        <v>0</v>
      </c>
      <c r="G120" s="41" t="e">
        <f t="shared" si="34"/>
        <v>#VALUE!</v>
      </c>
      <c r="H120" s="41" t="e">
        <f t="shared" si="35"/>
        <v>#VALUE!</v>
      </c>
      <c r="I120" s="41" t="e">
        <f t="shared" si="36"/>
        <v>#VALUE!</v>
      </c>
      <c r="J120" s="41" t="e">
        <f t="shared" si="37"/>
        <v>#VALUE!</v>
      </c>
    </row>
    <row r="121" spans="1:10" hidden="1" outlineLevel="1" x14ac:dyDescent="0.25">
      <c r="A121" s="51">
        <f t="shared" si="38"/>
        <v>47059</v>
      </c>
      <c r="B121" s="53">
        <v>11</v>
      </c>
      <c r="C121" s="50" t="e">
        <v>#VALUE!</v>
      </c>
      <c r="D121" s="50"/>
      <c r="E121" s="41" t="e">
        <f t="shared" si="39"/>
        <v>#VALUE!</v>
      </c>
      <c r="F121" s="52">
        <v>0</v>
      </c>
      <c r="G121" s="41" t="e">
        <f t="shared" si="34"/>
        <v>#VALUE!</v>
      </c>
      <c r="H121" s="41" t="e">
        <f t="shared" si="35"/>
        <v>#VALUE!</v>
      </c>
      <c r="I121" s="41" t="e">
        <f t="shared" si="36"/>
        <v>#VALUE!</v>
      </c>
      <c r="J121" s="41" t="e">
        <f t="shared" si="37"/>
        <v>#VALUE!</v>
      </c>
    </row>
    <row r="122" spans="1:10" hidden="1" outlineLevel="1" x14ac:dyDescent="0.25">
      <c r="A122" s="51">
        <f t="shared" si="38"/>
        <v>47089</v>
      </c>
      <c r="B122" s="53">
        <v>12</v>
      </c>
      <c r="C122" s="50" t="e">
        <v>#VALUE!</v>
      </c>
      <c r="D122" s="50"/>
      <c r="E122" s="41" t="e">
        <f t="shared" si="39"/>
        <v>#VALUE!</v>
      </c>
      <c r="F122" s="52">
        <v>0</v>
      </c>
      <c r="G122" s="41" t="e">
        <f t="shared" si="34"/>
        <v>#VALUE!</v>
      </c>
      <c r="H122" s="41" t="e">
        <f t="shared" si="35"/>
        <v>#VALUE!</v>
      </c>
      <c r="I122" s="41" t="e">
        <f t="shared" si="36"/>
        <v>#VALUE!</v>
      </c>
      <c r="J122" s="41" t="e">
        <f t="shared" si="37"/>
        <v>#VALUE!</v>
      </c>
    </row>
    <row r="123" spans="1:10" hidden="1" outlineLevel="1" x14ac:dyDescent="0.25">
      <c r="A123" s="51" t="s">
        <v>80</v>
      </c>
      <c r="C123" s="50"/>
      <c r="D123" s="50"/>
      <c r="E123" s="41" t="e">
        <f t="shared" si="39"/>
        <v>#VALUE!</v>
      </c>
      <c r="F123" s="41"/>
      <c r="G123" s="49"/>
      <c r="H123" s="49">
        <f>-I123</f>
        <v>0</v>
      </c>
      <c r="I123" s="41"/>
      <c r="J123" s="41" t="e">
        <f t="shared" si="37"/>
        <v>#VALUE!</v>
      </c>
    </row>
    <row r="124" spans="1:10" collapsed="1" x14ac:dyDescent="0.25">
      <c r="A124" s="48" t="str">
        <f>CONCATENATE("Total exercice ",A110)</f>
        <v>Total exercice 2029</v>
      </c>
      <c r="B124" s="10"/>
      <c r="C124" s="10"/>
      <c r="D124" s="10"/>
      <c r="E124" s="10"/>
      <c r="F124" s="10"/>
      <c r="G124" s="47" t="e">
        <f>SUM(G111:G123)</f>
        <v>#VALUE!</v>
      </c>
      <c r="H124" s="47" t="e">
        <f>SUM(H111:H123)</f>
        <v>#VALUE!</v>
      </c>
      <c r="I124" s="47" t="e">
        <f>SUM(I111:I123)</f>
        <v>#VALUE!</v>
      </c>
      <c r="J124" s="47" t="e">
        <f>+J123</f>
        <v>#VALUE!</v>
      </c>
    </row>
  </sheetData>
  <mergeCells count="5">
    <mergeCell ref="A2:E2"/>
    <mergeCell ref="E15:I15"/>
    <mergeCell ref="E16:I16"/>
    <mergeCell ref="E17:I17"/>
    <mergeCell ref="F22:I24"/>
  </mergeCells>
  <conditionalFormatting sqref="C10 C12 C15:C17">
    <cfRule type="cellIs" dxfId="5" priority="1" operator="equal">
      <formula>"Effectuez choix"</formula>
    </cfRule>
  </conditionalFormatting>
  <conditionalFormatting sqref="C24:D24">
    <cfRule type="cellIs" dxfId="4" priority="2" operator="notEqual">
      <formula>0</formula>
    </cfRule>
  </conditionalFormatting>
  <dataValidations count="3">
    <dataValidation type="list" allowBlank="1" showInputMessage="1" showErrorMessage="1" sqref="C15:C17" xr:uid="{87E22976-7604-4B07-8ADC-5C36AA0F4325}">
      <formula1>$K$16:$K$18</formula1>
    </dataValidation>
    <dataValidation type="list" allowBlank="1" showInputMessage="1" showErrorMessage="1" sqref="C12" xr:uid="{ADC6DD91-F7D9-403D-AB78-DFF890AD4437}">
      <formula1>$K$12:$K$14</formula1>
    </dataValidation>
    <dataValidation type="list" allowBlank="1" showInputMessage="1" showErrorMessage="1" sqref="C10" xr:uid="{FB987E14-6590-447F-85AB-83BFD540BCF2}">
      <formula1>$K$7:$K$10</formula1>
    </dataValidation>
  </dataValidations>
  <hyperlinks>
    <hyperlink ref="E22" r:id="rId1" tooltip="cw:KK" display="'KK" xr:uid="{CCA87224-AB97-471C-8A45-EC1FC58935DA}"/>
  </hyperlinks>
  <pageMargins left="0.25" right="0.25" top="0.75" bottom="0.75" header="0.3" footer="0.3"/>
  <pageSetup scale="53" fitToHeight="0" orientation="portrait" r:id="rId2"/>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1CB58-6B9F-4BFB-A6B4-1956D8183697}">
  <sheetPr>
    <tabColor rgb="FF92101C"/>
    <pageSetUpPr fitToPage="1"/>
  </sheetPr>
  <dimension ref="A1:M124"/>
  <sheetViews>
    <sheetView workbookViewId="0">
      <selection activeCell="I38" sqref="I38"/>
    </sheetView>
  </sheetViews>
  <sheetFormatPr baseColWidth="10" defaultRowHeight="15" outlineLevelRow="2" outlineLevelCol="1" x14ac:dyDescent="0.25"/>
  <cols>
    <col min="1" max="1" width="18.85546875" customWidth="1"/>
    <col min="2" max="2" width="3.28515625" customWidth="1"/>
    <col min="3" max="3" width="14.85546875" customWidth="1"/>
    <col min="4" max="4" width="2.7109375" customWidth="1"/>
    <col min="5" max="5" width="16.7109375" customWidth="1"/>
    <col min="6" max="6" width="18.7109375" customWidth="1"/>
    <col min="7" max="7" width="15.28515625" customWidth="1"/>
    <col min="8" max="8" width="15.42578125" customWidth="1"/>
    <col min="9" max="9" width="14.85546875" customWidth="1"/>
    <col min="10" max="10" width="12.7109375" customWidth="1"/>
    <col min="11" max="11" width="23.7109375" hidden="1" customWidth="1" outlineLevel="1"/>
    <col min="12" max="12" width="11.42578125" collapsed="1"/>
    <col min="13" max="13" width="13" bestFit="1" customWidth="1"/>
  </cols>
  <sheetData>
    <row r="1" spans="1:11" ht="18.75" x14ac:dyDescent="0.25">
      <c r="A1" s="84" t="str">
        <f>'Bilan - Immo'!A2</f>
        <v>SOCIÉTÉ IMMOBILIÈRE (BÂTIMENT CLINIQUE VÉTÉRINAIRE VALLEYFIELD INC.)</v>
      </c>
      <c r="B1" s="84"/>
      <c r="C1" s="83"/>
      <c r="D1" s="82"/>
      <c r="E1" s="81"/>
      <c r="F1" s="81"/>
      <c r="G1" s="81"/>
      <c r="H1" s="81"/>
      <c r="I1" s="81"/>
    </row>
    <row r="2" spans="1:11" ht="19.5" thickBot="1" x14ac:dyDescent="0.3">
      <c r="A2" s="106">
        <v>45292</v>
      </c>
      <c r="B2" s="106"/>
      <c r="C2" s="106"/>
      <c r="D2" s="106"/>
      <c r="E2" s="106"/>
      <c r="F2" s="80"/>
      <c r="G2" s="80"/>
      <c r="H2" s="80"/>
      <c r="I2" s="80"/>
    </row>
    <row r="4" spans="1:11" ht="15.75" x14ac:dyDescent="0.25">
      <c r="A4" s="79" t="s">
        <v>115</v>
      </c>
      <c r="C4" s="79"/>
      <c r="D4" s="79"/>
      <c r="H4" s="78" t="s">
        <v>114</v>
      </c>
      <c r="I4" s="77"/>
    </row>
    <row r="6" spans="1:11" x14ac:dyDescent="0.25">
      <c r="A6" s="60" t="s">
        <v>113</v>
      </c>
      <c r="B6" s="59"/>
      <c r="C6" s="59"/>
      <c r="D6" s="59"/>
      <c r="E6" s="59"/>
      <c r="F6" s="59"/>
      <c r="G6" s="59"/>
      <c r="H6" s="59"/>
      <c r="I6" s="59"/>
    </row>
    <row r="7" spans="1:11" x14ac:dyDescent="0.25">
      <c r="K7" t="s">
        <v>101</v>
      </c>
    </row>
    <row r="8" spans="1:11" x14ac:dyDescent="0.25">
      <c r="A8" s="1" t="s">
        <v>112</v>
      </c>
      <c r="B8" s="41"/>
      <c r="C8" s="72"/>
      <c r="D8" s="41"/>
      <c r="E8" s="41"/>
      <c r="F8" s="41"/>
      <c r="G8" s="41"/>
      <c r="H8" s="41"/>
      <c r="I8" s="41"/>
      <c r="J8" s="41"/>
      <c r="K8" t="s">
        <v>111</v>
      </c>
    </row>
    <row r="9" spans="1:11" x14ac:dyDescent="0.25">
      <c r="B9" s="41"/>
      <c r="C9" s="41"/>
      <c r="D9" s="41"/>
      <c r="E9" s="71" t="str" cm="1">
        <f t="array" ref="E9">_xlfn.SWITCH(C10,"Fixe","Taux","Variable","TP","Variable BDC","TB")</f>
        <v>TP</v>
      </c>
      <c r="F9" s="71" t="str">
        <f>IF($C$10="Fixe","","+/- prime")</f>
        <v>+/- prime</v>
      </c>
      <c r="G9" s="41"/>
      <c r="H9" s="41"/>
      <c r="I9" s="41"/>
      <c r="J9" s="41"/>
      <c r="K9" s="41" t="s">
        <v>110</v>
      </c>
    </row>
    <row r="10" spans="1:11" x14ac:dyDescent="0.25">
      <c r="A10" s="1" t="s">
        <v>60</v>
      </c>
      <c r="B10" s="41"/>
      <c r="C10" s="76" t="s">
        <v>110</v>
      </c>
      <c r="D10" s="75"/>
      <c r="E10" s="74">
        <v>0.05</v>
      </c>
      <c r="F10" s="74"/>
      <c r="G10" s="89"/>
      <c r="H10" s="41"/>
      <c r="I10" s="41"/>
      <c r="J10" s="41"/>
      <c r="K10" s="41" t="s">
        <v>109</v>
      </c>
    </row>
    <row r="11" spans="1:11" x14ac:dyDescent="0.25">
      <c r="B11" s="41"/>
      <c r="E11" s="71"/>
      <c r="F11" s="71"/>
      <c r="G11" s="41"/>
      <c r="H11" s="41"/>
      <c r="I11" s="41"/>
      <c r="J11" s="41"/>
      <c r="K11" s="41"/>
    </row>
    <row r="12" spans="1:11" x14ac:dyDescent="0.25">
      <c r="A12" s="1" t="s">
        <v>84</v>
      </c>
      <c r="B12" s="41"/>
      <c r="C12" s="73" t="s">
        <v>107</v>
      </c>
      <c r="D12" s="52"/>
      <c r="E12" s="72"/>
      <c r="F12" s="2" t="s">
        <v>108</v>
      </c>
      <c r="G12" s="41"/>
      <c r="H12" s="41"/>
      <c r="I12" s="41"/>
      <c r="J12" s="41"/>
      <c r="K12" t="s">
        <v>101</v>
      </c>
    </row>
    <row r="13" spans="1:11" x14ac:dyDescent="0.25">
      <c r="B13" s="41"/>
      <c r="D13" s="41"/>
      <c r="E13" s="41"/>
      <c r="F13" s="41"/>
      <c r="G13" s="41"/>
      <c r="H13" s="41"/>
      <c r="I13" s="41"/>
      <c r="J13" s="41"/>
      <c r="K13" s="41" t="s">
        <v>107</v>
      </c>
    </row>
    <row r="14" spans="1:11" x14ac:dyDescent="0.25">
      <c r="B14" s="41"/>
      <c r="D14" s="41"/>
      <c r="E14" s="43" t="s">
        <v>106</v>
      </c>
      <c r="F14" s="41"/>
      <c r="G14" s="41"/>
      <c r="H14" s="41"/>
      <c r="I14" s="41"/>
      <c r="J14" s="41"/>
      <c r="K14" s="41" t="s">
        <v>105</v>
      </c>
    </row>
    <row r="15" spans="1:11" x14ac:dyDescent="0.25">
      <c r="A15" s="1" t="s">
        <v>104</v>
      </c>
      <c r="B15" s="41"/>
      <c r="C15" s="2" t="s">
        <v>99</v>
      </c>
      <c r="D15" s="41"/>
      <c r="E15" s="107"/>
      <c r="F15" s="107"/>
      <c r="G15" s="107"/>
      <c r="H15" s="107"/>
      <c r="I15" s="107"/>
      <c r="J15" s="41"/>
    </row>
    <row r="16" spans="1:11" x14ac:dyDescent="0.25">
      <c r="A16" s="1" t="s">
        <v>103</v>
      </c>
      <c r="B16" s="41"/>
      <c r="C16" s="2" t="s">
        <v>99</v>
      </c>
      <c r="D16" s="41"/>
      <c r="E16" s="107"/>
      <c r="F16" s="107"/>
      <c r="G16" s="107"/>
      <c r="H16" s="107"/>
      <c r="I16" s="107"/>
      <c r="J16" s="41"/>
      <c r="K16" t="s">
        <v>101</v>
      </c>
    </row>
    <row r="17" spans="1:13" x14ac:dyDescent="0.25">
      <c r="A17" s="1" t="s">
        <v>102</v>
      </c>
      <c r="B17" s="41"/>
      <c r="C17" s="2" t="s">
        <v>99</v>
      </c>
      <c r="D17" s="41"/>
      <c r="E17" s="107"/>
      <c r="F17" s="107"/>
      <c r="G17" s="107"/>
      <c r="H17" s="107"/>
      <c r="I17" s="107"/>
      <c r="J17" s="41"/>
      <c r="K17" s="41" t="s">
        <v>100</v>
      </c>
    </row>
    <row r="18" spans="1:13" x14ac:dyDescent="0.25">
      <c r="B18" s="41"/>
      <c r="C18" s="41"/>
      <c r="D18" s="41"/>
      <c r="E18" s="41"/>
      <c r="F18" s="41"/>
      <c r="G18" s="41"/>
      <c r="H18" s="41"/>
      <c r="I18" s="41"/>
      <c r="J18" s="41"/>
      <c r="K18" s="41" t="s">
        <v>99</v>
      </c>
    </row>
    <row r="19" spans="1:13" x14ac:dyDescent="0.25">
      <c r="A19" s="60" t="s">
        <v>98</v>
      </c>
      <c r="B19" s="59"/>
      <c r="C19" s="59"/>
      <c r="D19" s="59"/>
      <c r="E19" s="59"/>
      <c r="F19" s="59"/>
      <c r="G19" s="59"/>
      <c r="H19" s="59"/>
      <c r="I19" s="59"/>
      <c r="J19" s="41"/>
      <c r="K19" s="41"/>
    </row>
    <row r="20" spans="1:13" x14ac:dyDescent="0.25">
      <c r="A20" s="70"/>
      <c r="B20" s="70"/>
      <c r="C20" s="70"/>
      <c r="D20" s="70"/>
      <c r="E20" s="70"/>
      <c r="F20" s="70"/>
      <c r="G20" s="70"/>
      <c r="H20" s="70"/>
      <c r="I20" s="70"/>
      <c r="J20" s="52"/>
      <c r="K20" s="52"/>
    </row>
    <row r="21" spans="1:13" x14ac:dyDescent="0.25">
      <c r="A21" s="1" t="s">
        <v>97</v>
      </c>
      <c r="B21" s="41"/>
      <c r="C21" s="69"/>
      <c r="D21" s="41"/>
      <c r="E21" s="41"/>
      <c r="F21" s="68" t="s">
        <v>96</v>
      </c>
      <c r="G21" s="67"/>
      <c r="H21" s="67"/>
      <c r="I21" s="66"/>
      <c r="J21" s="41"/>
      <c r="K21" s="41"/>
      <c r="M21" s="95" t="s">
        <v>127</v>
      </c>
    </row>
    <row r="22" spans="1:13" ht="14.45" customHeight="1" x14ac:dyDescent="0.25">
      <c r="A22" t="s">
        <v>95</v>
      </c>
      <c r="C22" s="57"/>
      <c r="D22" s="52"/>
      <c r="E22" s="65" t="s">
        <v>94</v>
      </c>
      <c r="F22" s="114"/>
      <c r="G22" s="115"/>
      <c r="H22" s="115"/>
      <c r="I22" s="116"/>
      <c r="J22" s="41"/>
      <c r="K22" s="41"/>
    </row>
    <row r="23" spans="1:13" x14ac:dyDescent="0.25">
      <c r="A23" t="s">
        <v>93</v>
      </c>
      <c r="C23" s="49">
        <f>+J43</f>
        <v>200000</v>
      </c>
      <c r="D23" s="52"/>
      <c r="E23" s="41"/>
      <c r="F23" s="114"/>
      <c r="G23" s="115"/>
      <c r="H23" s="115"/>
      <c r="I23" s="116"/>
      <c r="J23" s="41"/>
      <c r="K23" s="41"/>
    </row>
    <row r="24" spans="1:13" x14ac:dyDescent="0.25">
      <c r="A24" s="11" t="s">
        <v>92</v>
      </c>
      <c r="B24" s="11"/>
      <c r="C24" s="64">
        <f>ROUND(C22-C23,2)</f>
        <v>-200000</v>
      </c>
      <c r="D24" s="63"/>
      <c r="E24" s="41"/>
      <c r="F24" s="117"/>
      <c r="G24" s="118"/>
      <c r="H24" s="118"/>
      <c r="I24" s="119"/>
      <c r="J24" s="41"/>
      <c r="K24" s="41"/>
    </row>
    <row r="25" spans="1:13" x14ac:dyDescent="0.25">
      <c r="B25" s="41"/>
      <c r="C25" s="41"/>
      <c r="D25" s="41"/>
      <c r="E25" s="41"/>
      <c r="F25" s="41"/>
      <c r="G25" s="41"/>
      <c r="H25" s="41"/>
      <c r="I25" s="41"/>
      <c r="J25" s="41"/>
      <c r="K25" s="41"/>
    </row>
    <row r="26" spans="1:13" x14ac:dyDescent="0.25">
      <c r="A26" t="s">
        <v>91</v>
      </c>
      <c r="B26" s="41"/>
      <c r="C26" s="62">
        <f>+I60</f>
        <v>100000</v>
      </c>
      <c r="D26" s="41"/>
      <c r="E26" s="61" t="s">
        <v>90</v>
      </c>
      <c r="F26" s="41"/>
      <c r="G26" s="41"/>
      <c r="H26" s="41"/>
      <c r="I26" s="41"/>
      <c r="J26" s="41"/>
      <c r="K26" s="41"/>
    </row>
    <row r="27" spans="1:13" x14ac:dyDescent="0.25">
      <c r="B27" s="41"/>
      <c r="C27" s="41"/>
      <c r="D27" s="41"/>
      <c r="E27" s="41"/>
      <c r="F27" s="41"/>
      <c r="G27" s="41"/>
      <c r="H27" s="41"/>
      <c r="I27" s="41"/>
      <c r="J27" s="41"/>
      <c r="K27" s="41"/>
    </row>
    <row r="28" spans="1:13" x14ac:dyDescent="0.25">
      <c r="A28" s="60" t="s">
        <v>89</v>
      </c>
      <c r="B28" s="59"/>
      <c r="C28" s="59"/>
      <c r="D28" s="59"/>
      <c r="E28" s="59"/>
      <c r="F28" s="59"/>
      <c r="G28" s="59"/>
      <c r="H28" s="59"/>
      <c r="I28" s="59"/>
      <c r="J28" s="59"/>
      <c r="K28" s="41"/>
    </row>
    <row r="29" spans="1:13" x14ac:dyDescent="0.25">
      <c r="B29" s="41"/>
      <c r="C29" s="54" t="s">
        <v>87</v>
      </c>
      <c r="D29" s="54"/>
      <c r="E29" s="54" t="s">
        <v>86</v>
      </c>
      <c r="F29" s="54" t="s">
        <v>85</v>
      </c>
      <c r="G29" s="54" t="s">
        <v>84</v>
      </c>
      <c r="H29" s="54" t="s">
        <v>83</v>
      </c>
      <c r="I29" s="54" t="s">
        <v>82</v>
      </c>
      <c r="J29" s="54" t="s">
        <v>81</v>
      </c>
      <c r="K29" s="41"/>
      <c r="L29" s="41"/>
    </row>
    <row r="30" spans="1:13" outlineLevel="1" x14ac:dyDescent="0.25">
      <c r="A30" s="45">
        <v>2024</v>
      </c>
      <c r="B30" s="1"/>
      <c r="K30" s="41"/>
      <c r="L30" s="41"/>
    </row>
    <row r="31" spans="1:13" outlineLevel="1" x14ac:dyDescent="0.25">
      <c r="A31" s="51">
        <f>EDATE($A$2,-12)+1</f>
        <v>44928</v>
      </c>
      <c r="B31" s="53">
        <v>1</v>
      </c>
      <c r="C31" s="50">
        <f>SUM($E$10:$F$10)</f>
        <v>0.05</v>
      </c>
      <c r="D31" s="58" t="s">
        <v>88</v>
      </c>
      <c r="E31" s="57">
        <v>300000</v>
      </c>
      <c r="F31" s="52"/>
      <c r="G31" s="41">
        <f t="shared" ref="G31:G42" si="0">MIN(IF($C$12="Capital seulement",I31+H31,$E$12),E31+F31)</f>
        <v>300000</v>
      </c>
      <c r="H31" s="41">
        <f t="shared" ref="H31:H42" si="1">(E31+F31)*C31/12</f>
        <v>1250</v>
      </c>
      <c r="I31" s="41"/>
      <c r="J31" s="41">
        <f t="shared" ref="J31:J43" si="2">MAX(E31-I31+F31,0)</f>
        <v>300000</v>
      </c>
      <c r="K31" s="41"/>
      <c r="L31" s="41"/>
      <c r="M31" s="85"/>
    </row>
    <row r="32" spans="1:13" outlineLevel="1" x14ac:dyDescent="0.25">
      <c r="A32" s="51">
        <f t="shared" ref="A32:A42" si="3">EDATE(A31,1)</f>
        <v>44959</v>
      </c>
      <c r="B32" s="53">
        <v>2</v>
      </c>
      <c r="C32" s="50">
        <f t="shared" ref="C32:C42" si="4">SUM($E$10:$F$10)</f>
        <v>0.05</v>
      </c>
      <c r="D32" s="50"/>
      <c r="E32" s="41">
        <f t="shared" ref="E32:E43" si="5">+J31</f>
        <v>300000</v>
      </c>
      <c r="F32" s="52">
        <v>0</v>
      </c>
      <c r="G32" s="41">
        <f t="shared" si="0"/>
        <v>300000</v>
      </c>
      <c r="H32" s="41">
        <f t="shared" si="1"/>
        <v>1250</v>
      </c>
      <c r="I32" s="41"/>
      <c r="J32" s="41">
        <f t="shared" si="2"/>
        <v>300000</v>
      </c>
      <c r="K32" s="41"/>
      <c r="L32" s="41"/>
    </row>
    <row r="33" spans="1:12" outlineLevel="1" x14ac:dyDescent="0.25">
      <c r="A33" s="51">
        <f t="shared" si="3"/>
        <v>44987</v>
      </c>
      <c r="B33" s="53">
        <v>3</v>
      </c>
      <c r="C33" s="50">
        <f t="shared" si="4"/>
        <v>0.05</v>
      </c>
      <c r="D33" s="50"/>
      <c r="E33" s="41">
        <f t="shared" si="5"/>
        <v>300000</v>
      </c>
      <c r="F33" s="52">
        <v>0</v>
      </c>
      <c r="G33" s="41">
        <f t="shared" si="0"/>
        <v>300000</v>
      </c>
      <c r="H33" s="41">
        <f t="shared" si="1"/>
        <v>1250</v>
      </c>
      <c r="I33" s="41"/>
      <c r="J33" s="41">
        <f t="shared" si="2"/>
        <v>300000</v>
      </c>
      <c r="K33" s="41"/>
      <c r="L33" s="41"/>
    </row>
    <row r="34" spans="1:12" outlineLevel="1" x14ac:dyDescent="0.25">
      <c r="A34" s="51">
        <f t="shared" si="3"/>
        <v>45018</v>
      </c>
      <c r="B34" s="53">
        <v>4</v>
      </c>
      <c r="C34" s="50">
        <f t="shared" si="4"/>
        <v>0.05</v>
      </c>
      <c r="D34" s="50"/>
      <c r="E34" s="41">
        <f t="shared" si="5"/>
        <v>300000</v>
      </c>
      <c r="F34" s="52">
        <v>0</v>
      </c>
      <c r="G34" s="41">
        <f t="shared" si="0"/>
        <v>300000</v>
      </c>
      <c r="H34" s="41">
        <f t="shared" si="1"/>
        <v>1250</v>
      </c>
      <c r="I34" s="41"/>
      <c r="J34" s="41">
        <f t="shared" si="2"/>
        <v>300000</v>
      </c>
      <c r="K34" s="41"/>
      <c r="L34" s="41"/>
    </row>
    <row r="35" spans="1:12" outlineLevel="1" x14ac:dyDescent="0.25">
      <c r="A35" s="51">
        <f t="shared" si="3"/>
        <v>45048</v>
      </c>
      <c r="B35" s="53">
        <v>5</v>
      </c>
      <c r="C35" s="50">
        <f t="shared" si="4"/>
        <v>0.05</v>
      </c>
      <c r="D35" s="50"/>
      <c r="E35" s="41">
        <f t="shared" si="5"/>
        <v>300000</v>
      </c>
      <c r="F35" s="52">
        <v>0</v>
      </c>
      <c r="G35" s="41">
        <f t="shared" si="0"/>
        <v>300000</v>
      </c>
      <c r="H35" s="41">
        <f t="shared" si="1"/>
        <v>1250</v>
      </c>
      <c r="I35" s="41"/>
      <c r="J35" s="41">
        <f t="shared" si="2"/>
        <v>300000</v>
      </c>
      <c r="K35" s="41"/>
      <c r="L35" s="56"/>
    </row>
    <row r="36" spans="1:12" outlineLevel="1" x14ac:dyDescent="0.25">
      <c r="A36" s="51">
        <f t="shared" si="3"/>
        <v>45079</v>
      </c>
      <c r="B36" s="53">
        <v>6</v>
      </c>
      <c r="C36" s="50">
        <f t="shared" si="4"/>
        <v>0.05</v>
      </c>
      <c r="D36" s="50"/>
      <c r="E36" s="41">
        <f t="shared" si="5"/>
        <v>300000</v>
      </c>
      <c r="F36" s="52">
        <v>0</v>
      </c>
      <c r="G36" s="41">
        <f t="shared" si="0"/>
        <v>300000</v>
      </c>
      <c r="H36" s="41">
        <f t="shared" si="1"/>
        <v>1250</v>
      </c>
      <c r="I36" s="41"/>
      <c r="J36" s="41">
        <f t="shared" si="2"/>
        <v>300000</v>
      </c>
      <c r="K36" s="41"/>
      <c r="L36" s="41"/>
    </row>
    <row r="37" spans="1:12" outlineLevel="1" x14ac:dyDescent="0.25">
      <c r="A37" s="51">
        <f t="shared" si="3"/>
        <v>45109</v>
      </c>
      <c r="B37" s="53">
        <v>7</v>
      </c>
      <c r="C37" s="50">
        <f t="shared" si="4"/>
        <v>0.05</v>
      </c>
      <c r="D37" s="50"/>
      <c r="E37" s="41">
        <f t="shared" si="5"/>
        <v>300000</v>
      </c>
      <c r="F37" s="52">
        <v>0</v>
      </c>
      <c r="G37" s="41">
        <f t="shared" si="0"/>
        <v>300000</v>
      </c>
      <c r="H37" s="41">
        <f t="shared" si="1"/>
        <v>1250</v>
      </c>
      <c r="I37" s="41"/>
      <c r="J37" s="41">
        <f t="shared" si="2"/>
        <v>300000</v>
      </c>
      <c r="K37" s="41"/>
      <c r="L37" s="41"/>
    </row>
    <row r="38" spans="1:12" outlineLevel="1" x14ac:dyDescent="0.25">
      <c r="A38" s="51">
        <f t="shared" si="3"/>
        <v>45140</v>
      </c>
      <c r="B38" s="53">
        <v>8</v>
      </c>
      <c r="C38" s="50">
        <f t="shared" si="4"/>
        <v>0.05</v>
      </c>
      <c r="D38" s="50"/>
      <c r="E38" s="41">
        <f t="shared" si="5"/>
        <v>300000</v>
      </c>
      <c r="F38" s="52">
        <v>0</v>
      </c>
      <c r="G38" s="41">
        <f t="shared" si="0"/>
        <v>300000</v>
      </c>
      <c r="H38" s="41">
        <f t="shared" si="1"/>
        <v>1250</v>
      </c>
      <c r="I38" s="41"/>
      <c r="J38" s="41">
        <f t="shared" si="2"/>
        <v>300000</v>
      </c>
      <c r="K38" s="41"/>
      <c r="L38" s="41"/>
    </row>
    <row r="39" spans="1:12" outlineLevel="1" x14ac:dyDescent="0.25">
      <c r="A39" s="51">
        <f t="shared" si="3"/>
        <v>45171</v>
      </c>
      <c r="B39" s="53">
        <v>9</v>
      </c>
      <c r="C39" s="50">
        <f t="shared" si="4"/>
        <v>0.05</v>
      </c>
      <c r="D39" s="50"/>
      <c r="E39" s="41">
        <f t="shared" si="5"/>
        <v>300000</v>
      </c>
      <c r="F39" s="52">
        <v>0</v>
      </c>
      <c r="G39" s="41">
        <f t="shared" si="0"/>
        <v>300000</v>
      </c>
      <c r="H39" s="41">
        <f t="shared" si="1"/>
        <v>1250</v>
      </c>
      <c r="I39" s="41"/>
      <c r="J39" s="41">
        <f t="shared" si="2"/>
        <v>300000</v>
      </c>
      <c r="K39" s="41"/>
      <c r="L39" s="41"/>
    </row>
    <row r="40" spans="1:12" outlineLevel="1" x14ac:dyDescent="0.25">
      <c r="A40" s="51">
        <f t="shared" si="3"/>
        <v>45201</v>
      </c>
      <c r="B40" s="53">
        <v>10</v>
      </c>
      <c r="C40" s="50">
        <f t="shared" si="4"/>
        <v>0.05</v>
      </c>
      <c r="D40" s="50"/>
      <c r="E40" s="41">
        <f t="shared" si="5"/>
        <v>300000</v>
      </c>
      <c r="F40" s="52">
        <v>0</v>
      </c>
      <c r="G40" s="41">
        <f t="shared" si="0"/>
        <v>300000</v>
      </c>
      <c r="H40" s="41">
        <f t="shared" si="1"/>
        <v>1250</v>
      </c>
      <c r="I40" s="41"/>
      <c r="J40" s="41">
        <f t="shared" si="2"/>
        <v>300000</v>
      </c>
      <c r="K40" s="41"/>
      <c r="L40" s="41"/>
    </row>
    <row r="41" spans="1:12" outlineLevel="1" x14ac:dyDescent="0.25">
      <c r="A41" s="51">
        <f t="shared" si="3"/>
        <v>45232</v>
      </c>
      <c r="B41" s="53">
        <v>11</v>
      </c>
      <c r="C41" s="50">
        <f t="shared" si="4"/>
        <v>0.05</v>
      </c>
      <c r="D41" s="50"/>
      <c r="E41" s="41">
        <f t="shared" si="5"/>
        <v>300000</v>
      </c>
      <c r="F41" s="52">
        <v>0</v>
      </c>
      <c r="G41" s="41">
        <f t="shared" si="0"/>
        <v>300000</v>
      </c>
      <c r="H41" s="41">
        <f t="shared" si="1"/>
        <v>1250</v>
      </c>
      <c r="I41" s="41"/>
      <c r="J41" s="41">
        <f t="shared" si="2"/>
        <v>300000</v>
      </c>
    </row>
    <row r="42" spans="1:12" outlineLevel="1" x14ac:dyDescent="0.25">
      <c r="A42" s="51">
        <f t="shared" si="3"/>
        <v>45262</v>
      </c>
      <c r="B42" s="53">
        <v>12</v>
      </c>
      <c r="C42" s="50">
        <f t="shared" si="4"/>
        <v>0.05</v>
      </c>
      <c r="D42" s="50"/>
      <c r="E42" s="41">
        <f t="shared" si="5"/>
        <v>300000</v>
      </c>
      <c r="F42" s="52">
        <v>0</v>
      </c>
      <c r="G42" s="41">
        <f t="shared" si="0"/>
        <v>300000</v>
      </c>
      <c r="H42" s="41">
        <f t="shared" si="1"/>
        <v>1250</v>
      </c>
      <c r="I42" s="41">
        <v>100000</v>
      </c>
      <c r="J42" s="41">
        <f t="shared" si="2"/>
        <v>200000</v>
      </c>
    </row>
    <row r="43" spans="1:12" outlineLevel="1" x14ac:dyDescent="0.25">
      <c r="A43" s="51" t="s">
        <v>80</v>
      </c>
      <c r="C43" s="50"/>
      <c r="D43" s="50"/>
      <c r="E43" s="41">
        <f t="shared" si="5"/>
        <v>200000</v>
      </c>
      <c r="F43" s="52"/>
      <c r="G43" s="49">
        <f>MIN(IF($C$12="Capital seulement",I43+H43,$E$12),E43)</f>
        <v>200000</v>
      </c>
      <c r="H43" s="49">
        <f>-I43</f>
        <v>0</v>
      </c>
      <c r="I43" s="41"/>
      <c r="J43" s="41">
        <f t="shared" si="2"/>
        <v>200000</v>
      </c>
    </row>
    <row r="44" spans="1:12" x14ac:dyDescent="0.25">
      <c r="A44" s="48" t="str">
        <f>CONCATENATE("Total exercice ",A30)</f>
        <v>Total exercice 2024</v>
      </c>
      <c r="B44" s="10"/>
      <c r="C44" s="10"/>
      <c r="D44" s="10"/>
      <c r="E44" s="10"/>
      <c r="F44" s="10"/>
      <c r="G44" s="47">
        <f>SUM(G31:G43)</f>
        <v>3800000</v>
      </c>
      <c r="H44" s="47">
        <f>SUM(H31:H43)</f>
        <v>15000</v>
      </c>
      <c r="I44" s="47">
        <f>SUM(I31:I43)</f>
        <v>100000</v>
      </c>
      <c r="J44" s="47">
        <f>+J43</f>
        <v>200000</v>
      </c>
    </row>
    <row r="45" spans="1:12" x14ac:dyDescent="0.25">
      <c r="A45" s="55"/>
      <c r="J45" s="41"/>
    </row>
    <row r="46" spans="1:12" outlineLevel="1" x14ac:dyDescent="0.25">
      <c r="A46" s="45">
        <f>+A30+1</f>
        <v>2025</v>
      </c>
      <c r="B46" s="1"/>
      <c r="C46" s="54" t="s">
        <v>87</v>
      </c>
      <c r="D46" s="54"/>
      <c r="E46" s="54" t="s">
        <v>86</v>
      </c>
      <c r="F46" s="54" t="s">
        <v>85</v>
      </c>
      <c r="G46" s="54" t="s">
        <v>84</v>
      </c>
      <c r="H46" s="54" t="s">
        <v>83</v>
      </c>
      <c r="I46" s="54" t="s">
        <v>82</v>
      </c>
      <c r="J46" s="54" t="s">
        <v>81</v>
      </c>
    </row>
    <row r="47" spans="1:12" outlineLevel="2" x14ac:dyDescent="0.25">
      <c r="A47" s="51">
        <f>EDATE(A42,1)</f>
        <v>45293</v>
      </c>
      <c r="B47" s="53">
        <v>1</v>
      </c>
      <c r="C47" s="50">
        <f t="shared" ref="C47:C58" si="6">SUM($E$10:$F$10)</f>
        <v>0.05</v>
      </c>
      <c r="D47" s="50"/>
      <c r="E47" s="41">
        <f>+J43</f>
        <v>200000</v>
      </c>
      <c r="F47" s="52">
        <v>0</v>
      </c>
      <c r="G47" s="41">
        <f>MIN(IF($C$12="Capital seulement",I47+H47,$E$12),E47+F47)</f>
        <v>200000</v>
      </c>
      <c r="H47" s="41">
        <f t="shared" ref="H47:H58" si="7">(E47+F47)*C47/12</f>
        <v>833.33333333333337</v>
      </c>
      <c r="I47" s="41"/>
      <c r="J47" s="41">
        <f t="shared" ref="J47:J59" si="8">MAX(E47-I47+F47,0)</f>
        <v>200000</v>
      </c>
    </row>
    <row r="48" spans="1:12" outlineLevel="2" x14ac:dyDescent="0.25">
      <c r="A48" s="51">
        <f t="shared" ref="A48:A58" si="9">EDATE(A47,1)</f>
        <v>45324</v>
      </c>
      <c r="B48" s="53">
        <v>2</v>
      </c>
      <c r="C48" s="50">
        <f t="shared" si="6"/>
        <v>0.05</v>
      </c>
      <c r="D48" s="50"/>
      <c r="E48" s="41">
        <f t="shared" ref="E48:E59" si="10">+J47</f>
        <v>200000</v>
      </c>
      <c r="F48" s="52">
        <v>0</v>
      </c>
      <c r="G48" s="41">
        <f t="shared" ref="G48:G58" si="11">MIN(IF($C$12="Capital seulement",I48+H48,$E$12),E48+F48)</f>
        <v>200000</v>
      </c>
      <c r="H48" s="41">
        <f t="shared" si="7"/>
        <v>833.33333333333337</v>
      </c>
      <c r="I48" s="41"/>
      <c r="J48" s="41">
        <f t="shared" si="8"/>
        <v>200000</v>
      </c>
    </row>
    <row r="49" spans="1:10" outlineLevel="2" x14ac:dyDescent="0.25">
      <c r="A49" s="51">
        <f t="shared" si="9"/>
        <v>45353</v>
      </c>
      <c r="B49" s="53">
        <v>3</v>
      </c>
      <c r="C49" s="50">
        <f t="shared" si="6"/>
        <v>0.05</v>
      </c>
      <c r="D49" s="50"/>
      <c r="E49" s="41">
        <f t="shared" si="10"/>
        <v>200000</v>
      </c>
      <c r="F49" s="52">
        <v>0</v>
      </c>
      <c r="G49" s="41">
        <f t="shared" si="11"/>
        <v>200000</v>
      </c>
      <c r="H49" s="41">
        <f t="shared" si="7"/>
        <v>833.33333333333337</v>
      </c>
      <c r="I49" s="41"/>
      <c r="J49" s="41">
        <f t="shared" si="8"/>
        <v>200000</v>
      </c>
    </row>
    <row r="50" spans="1:10" outlineLevel="2" x14ac:dyDescent="0.25">
      <c r="A50" s="51">
        <f t="shared" si="9"/>
        <v>45384</v>
      </c>
      <c r="B50" s="53">
        <v>4</v>
      </c>
      <c r="C50" s="50">
        <f t="shared" si="6"/>
        <v>0.05</v>
      </c>
      <c r="D50" s="50"/>
      <c r="E50" s="41">
        <f t="shared" si="10"/>
        <v>200000</v>
      </c>
      <c r="F50" s="52">
        <v>0</v>
      </c>
      <c r="G50" s="41">
        <f t="shared" si="11"/>
        <v>200000</v>
      </c>
      <c r="H50" s="41">
        <f t="shared" si="7"/>
        <v>833.33333333333337</v>
      </c>
      <c r="I50" s="41"/>
      <c r="J50" s="41">
        <f t="shared" si="8"/>
        <v>200000</v>
      </c>
    </row>
    <row r="51" spans="1:10" outlineLevel="2" x14ac:dyDescent="0.25">
      <c r="A51" s="51">
        <f t="shared" si="9"/>
        <v>45414</v>
      </c>
      <c r="B51" s="53">
        <v>5</v>
      </c>
      <c r="C51" s="50">
        <f t="shared" si="6"/>
        <v>0.05</v>
      </c>
      <c r="D51" s="50"/>
      <c r="E51" s="41">
        <f t="shared" si="10"/>
        <v>200000</v>
      </c>
      <c r="F51" s="52">
        <v>0</v>
      </c>
      <c r="G51" s="41">
        <f t="shared" si="11"/>
        <v>200000</v>
      </c>
      <c r="H51" s="41">
        <f t="shared" si="7"/>
        <v>833.33333333333337</v>
      </c>
      <c r="I51" s="41"/>
      <c r="J51" s="41">
        <f t="shared" si="8"/>
        <v>200000</v>
      </c>
    </row>
    <row r="52" spans="1:10" outlineLevel="2" x14ac:dyDescent="0.25">
      <c r="A52" s="51">
        <f t="shared" si="9"/>
        <v>45445</v>
      </c>
      <c r="B52" s="53">
        <v>6</v>
      </c>
      <c r="C52" s="50">
        <f t="shared" si="6"/>
        <v>0.05</v>
      </c>
      <c r="D52" s="50"/>
      <c r="E52" s="41">
        <f t="shared" si="10"/>
        <v>200000</v>
      </c>
      <c r="F52" s="52">
        <v>0</v>
      </c>
      <c r="G52" s="41">
        <f t="shared" si="11"/>
        <v>200000</v>
      </c>
      <c r="H52" s="41">
        <f t="shared" si="7"/>
        <v>833.33333333333337</v>
      </c>
      <c r="I52" s="41"/>
      <c r="J52" s="41">
        <f t="shared" si="8"/>
        <v>200000</v>
      </c>
    </row>
    <row r="53" spans="1:10" outlineLevel="2" x14ac:dyDescent="0.25">
      <c r="A53" s="51">
        <f t="shared" si="9"/>
        <v>45475</v>
      </c>
      <c r="B53" s="53">
        <v>7</v>
      </c>
      <c r="C53" s="50">
        <f t="shared" si="6"/>
        <v>0.05</v>
      </c>
      <c r="D53" s="50"/>
      <c r="E53" s="41">
        <f t="shared" si="10"/>
        <v>200000</v>
      </c>
      <c r="F53" s="52">
        <v>0</v>
      </c>
      <c r="G53" s="41">
        <f t="shared" si="11"/>
        <v>200000</v>
      </c>
      <c r="H53" s="41">
        <f t="shared" si="7"/>
        <v>833.33333333333337</v>
      </c>
      <c r="I53" s="41"/>
      <c r="J53" s="41">
        <f t="shared" si="8"/>
        <v>200000</v>
      </c>
    </row>
    <row r="54" spans="1:10" outlineLevel="2" x14ac:dyDescent="0.25">
      <c r="A54" s="51">
        <f t="shared" si="9"/>
        <v>45506</v>
      </c>
      <c r="B54" s="53">
        <v>8</v>
      </c>
      <c r="C54" s="50">
        <f t="shared" si="6"/>
        <v>0.05</v>
      </c>
      <c r="D54" s="50"/>
      <c r="E54" s="41">
        <f t="shared" si="10"/>
        <v>200000</v>
      </c>
      <c r="F54" s="52">
        <v>0</v>
      </c>
      <c r="G54" s="41">
        <f t="shared" si="11"/>
        <v>200000</v>
      </c>
      <c r="H54" s="41">
        <f t="shared" si="7"/>
        <v>833.33333333333337</v>
      </c>
      <c r="I54" s="41"/>
      <c r="J54" s="41">
        <f t="shared" si="8"/>
        <v>200000</v>
      </c>
    </row>
    <row r="55" spans="1:10" outlineLevel="2" x14ac:dyDescent="0.25">
      <c r="A55" s="51">
        <f t="shared" si="9"/>
        <v>45537</v>
      </c>
      <c r="B55" s="53">
        <v>9</v>
      </c>
      <c r="C55" s="50">
        <f t="shared" si="6"/>
        <v>0.05</v>
      </c>
      <c r="D55" s="50"/>
      <c r="E55" s="41">
        <f t="shared" si="10"/>
        <v>200000</v>
      </c>
      <c r="F55" s="52">
        <v>0</v>
      </c>
      <c r="G55" s="41">
        <f t="shared" si="11"/>
        <v>200000</v>
      </c>
      <c r="H55" s="41">
        <f t="shared" si="7"/>
        <v>833.33333333333337</v>
      </c>
      <c r="I55" s="41"/>
      <c r="J55" s="41">
        <f t="shared" si="8"/>
        <v>200000</v>
      </c>
    </row>
    <row r="56" spans="1:10" outlineLevel="2" x14ac:dyDescent="0.25">
      <c r="A56" s="51">
        <f t="shared" si="9"/>
        <v>45567</v>
      </c>
      <c r="B56" s="53">
        <v>10</v>
      </c>
      <c r="C56" s="50">
        <f t="shared" si="6"/>
        <v>0.05</v>
      </c>
      <c r="D56" s="50"/>
      <c r="E56" s="41">
        <f t="shared" si="10"/>
        <v>200000</v>
      </c>
      <c r="F56" s="52">
        <v>0</v>
      </c>
      <c r="G56" s="41">
        <f t="shared" si="11"/>
        <v>200000</v>
      </c>
      <c r="H56" s="41">
        <f t="shared" si="7"/>
        <v>833.33333333333337</v>
      </c>
      <c r="I56" s="41"/>
      <c r="J56" s="41">
        <f t="shared" si="8"/>
        <v>200000</v>
      </c>
    </row>
    <row r="57" spans="1:10" outlineLevel="2" x14ac:dyDescent="0.25">
      <c r="A57" s="51">
        <f t="shared" si="9"/>
        <v>45598</v>
      </c>
      <c r="B57" s="53">
        <v>11</v>
      </c>
      <c r="C57" s="50">
        <f t="shared" si="6"/>
        <v>0.05</v>
      </c>
      <c r="D57" s="50"/>
      <c r="E57" s="41">
        <f t="shared" si="10"/>
        <v>200000</v>
      </c>
      <c r="F57" s="52">
        <v>0</v>
      </c>
      <c r="G57" s="41">
        <f t="shared" si="11"/>
        <v>200000</v>
      </c>
      <c r="H57" s="41">
        <f t="shared" si="7"/>
        <v>833.33333333333337</v>
      </c>
      <c r="I57" s="41"/>
      <c r="J57" s="41">
        <f t="shared" si="8"/>
        <v>200000</v>
      </c>
    </row>
    <row r="58" spans="1:10" outlineLevel="2" x14ac:dyDescent="0.25">
      <c r="A58" s="51">
        <f t="shared" si="9"/>
        <v>45628</v>
      </c>
      <c r="B58" s="53">
        <v>12</v>
      </c>
      <c r="C58" s="50">
        <f t="shared" si="6"/>
        <v>0.05</v>
      </c>
      <c r="D58" s="50"/>
      <c r="E58" s="41">
        <f t="shared" si="10"/>
        <v>200000</v>
      </c>
      <c r="F58" s="52">
        <v>0</v>
      </c>
      <c r="G58" s="41">
        <f t="shared" si="11"/>
        <v>200000</v>
      </c>
      <c r="H58" s="41">
        <f t="shared" si="7"/>
        <v>833.33333333333337</v>
      </c>
      <c r="I58" s="41">
        <v>100000</v>
      </c>
      <c r="J58" s="41">
        <f t="shared" si="8"/>
        <v>100000</v>
      </c>
    </row>
    <row r="59" spans="1:10" outlineLevel="2" x14ac:dyDescent="0.25">
      <c r="A59" s="51" t="s">
        <v>80</v>
      </c>
      <c r="C59" s="50"/>
      <c r="D59" s="50"/>
      <c r="E59" s="41">
        <f t="shared" si="10"/>
        <v>100000</v>
      </c>
      <c r="F59" s="41"/>
      <c r="G59" s="49"/>
      <c r="H59" s="49">
        <f>-I59</f>
        <v>0</v>
      </c>
      <c r="I59" s="41"/>
      <c r="J59" s="41">
        <f t="shared" si="8"/>
        <v>100000</v>
      </c>
    </row>
    <row r="60" spans="1:10" x14ac:dyDescent="0.25">
      <c r="A60" s="48" t="str">
        <f>CONCATENATE("Total exercice ",A46)</f>
        <v>Total exercice 2025</v>
      </c>
      <c r="B60" s="10"/>
      <c r="C60" s="10"/>
      <c r="D60" s="10"/>
      <c r="E60" s="10"/>
      <c r="F60" s="10"/>
      <c r="G60" s="47">
        <f>SUM(G47:G59)</f>
        <v>2400000</v>
      </c>
      <c r="H60" s="47">
        <f>SUM(H47:H59)</f>
        <v>10000</v>
      </c>
      <c r="I60" s="47">
        <f>SUM(I47:I59)</f>
        <v>100000</v>
      </c>
      <c r="J60" s="47">
        <f>+J59</f>
        <v>100000</v>
      </c>
    </row>
    <row r="62" spans="1:10" outlineLevel="1" x14ac:dyDescent="0.25">
      <c r="A62" s="45">
        <f>+A46+1</f>
        <v>2026</v>
      </c>
      <c r="B62" s="1"/>
      <c r="C62" s="54" t="s">
        <v>87</v>
      </c>
      <c r="D62" s="54"/>
      <c r="E62" s="54" t="s">
        <v>86</v>
      </c>
      <c r="F62" s="54" t="s">
        <v>85</v>
      </c>
      <c r="G62" s="54" t="s">
        <v>84</v>
      </c>
      <c r="H62" s="54" t="s">
        <v>83</v>
      </c>
      <c r="I62" s="54" t="s">
        <v>82</v>
      </c>
      <c r="J62" s="54" t="s">
        <v>81</v>
      </c>
    </row>
    <row r="63" spans="1:10" outlineLevel="1" x14ac:dyDescent="0.25">
      <c r="A63" s="51">
        <f>EDATE(A58,1)</f>
        <v>45659</v>
      </c>
      <c r="B63" s="53">
        <v>1</v>
      </c>
      <c r="C63" s="50">
        <f t="shared" ref="C63:C74" si="12">SUM($E$10:$F$10)</f>
        <v>0.05</v>
      </c>
      <c r="D63" s="50"/>
      <c r="E63" s="41">
        <f>+J59</f>
        <v>100000</v>
      </c>
      <c r="F63" s="52">
        <v>0</v>
      </c>
      <c r="G63" s="41">
        <f t="shared" ref="G63:G74" si="13">MIN(IF($C$12="Capital seulement",I63+H63,$E$12),E63+F63)</f>
        <v>100000</v>
      </c>
      <c r="H63" s="41">
        <f t="shared" ref="H63:H74" si="14">(E63+F63)*C63/12</f>
        <v>416.66666666666669</v>
      </c>
      <c r="I63" s="41"/>
      <c r="J63" s="41">
        <f t="shared" ref="J63:J75" si="15">MAX(E63-I63+F63,0)</f>
        <v>100000</v>
      </c>
    </row>
    <row r="64" spans="1:10" outlineLevel="1" x14ac:dyDescent="0.25">
      <c r="A64" s="51">
        <f t="shared" ref="A64:A74" si="16">EDATE(A63,1)</f>
        <v>45690</v>
      </c>
      <c r="B64" s="53">
        <v>2</v>
      </c>
      <c r="C64" s="50">
        <f t="shared" si="12"/>
        <v>0.05</v>
      </c>
      <c r="D64" s="50"/>
      <c r="E64" s="41">
        <f t="shared" ref="E64:E75" si="17">+J63</f>
        <v>100000</v>
      </c>
      <c r="F64" s="52">
        <v>0</v>
      </c>
      <c r="G64" s="41">
        <f t="shared" si="13"/>
        <v>100000</v>
      </c>
      <c r="H64" s="41">
        <f t="shared" si="14"/>
        <v>416.66666666666669</v>
      </c>
      <c r="I64" s="41"/>
      <c r="J64" s="41">
        <f t="shared" si="15"/>
        <v>100000</v>
      </c>
    </row>
    <row r="65" spans="1:13" outlineLevel="1" x14ac:dyDescent="0.25">
      <c r="A65" s="51">
        <f t="shared" si="16"/>
        <v>45718</v>
      </c>
      <c r="B65" s="53">
        <v>3</v>
      </c>
      <c r="C65" s="50">
        <f t="shared" si="12"/>
        <v>0.05</v>
      </c>
      <c r="D65" s="50"/>
      <c r="E65" s="41">
        <f t="shared" si="17"/>
        <v>100000</v>
      </c>
      <c r="F65" s="52">
        <v>0</v>
      </c>
      <c r="G65" s="41">
        <f t="shared" si="13"/>
        <v>100000</v>
      </c>
      <c r="H65" s="41">
        <f t="shared" si="14"/>
        <v>416.66666666666669</v>
      </c>
      <c r="I65" s="41"/>
      <c r="J65" s="41">
        <f t="shared" si="15"/>
        <v>100000</v>
      </c>
    </row>
    <row r="66" spans="1:13" outlineLevel="1" x14ac:dyDescent="0.25">
      <c r="A66" s="51">
        <f t="shared" si="16"/>
        <v>45749</v>
      </c>
      <c r="B66" s="53">
        <v>4</v>
      </c>
      <c r="C66" s="50">
        <f t="shared" si="12"/>
        <v>0.05</v>
      </c>
      <c r="D66" s="50"/>
      <c r="E66" s="41">
        <f t="shared" si="17"/>
        <v>100000</v>
      </c>
      <c r="F66" s="52">
        <v>0</v>
      </c>
      <c r="G66" s="41">
        <f t="shared" si="13"/>
        <v>100000</v>
      </c>
      <c r="H66" s="41">
        <f t="shared" si="14"/>
        <v>416.66666666666669</v>
      </c>
      <c r="I66" s="41"/>
      <c r="J66" s="41">
        <f t="shared" si="15"/>
        <v>100000</v>
      </c>
    </row>
    <row r="67" spans="1:13" outlineLevel="1" x14ac:dyDescent="0.25">
      <c r="A67" s="51">
        <f t="shared" si="16"/>
        <v>45779</v>
      </c>
      <c r="B67" s="53">
        <v>5</v>
      </c>
      <c r="C67" s="50">
        <f t="shared" si="12"/>
        <v>0.05</v>
      </c>
      <c r="D67" s="50"/>
      <c r="E67" s="41">
        <f t="shared" si="17"/>
        <v>100000</v>
      </c>
      <c r="F67" s="52">
        <v>0</v>
      </c>
      <c r="G67" s="41">
        <f t="shared" si="13"/>
        <v>100000</v>
      </c>
      <c r="H67" s="41">
        <f t="shared" si="14"/>
        <v>416.66666666666669</v>
      </c>
      <c r="I67" s="41"/>
      <c r="J67" s="41">
        <f t="shared" si="15"/>
        <v>100000</v>
      </c>
    </row>
    <row r="68" spans="1:13" outlineLevel="1" x14ac:dyDescent="0.25">
      <c r="A68" s="51">
        <f t="shared" si="16"/>
        <v>45810</v>
      </c>
      <c r="B68" s="53">
        <v>6</v>
      </c>
      <c r="C68" s="50">
        <f t="shared" si="12"/>
        <v>0.05</v>
      </c>
      <c r="D68" s="50"/>
      <c r="E68" s="41">
        <f t="shared" si="17"/>
        <v>100000</v>
      </c>
      <c r="F68" s="52">
        <v>0</v>
      </c>
      <c r="G68" s="41">
        <f t="shared" si="13"/>
        <v>100000</v>
      </c>
      <c r="H68" s="41">
        <f t="shared" si="14"/>
        <v>416.66666666666669</v>
      </c>
      <c r="I68" s="41"/>
      <c r="J68" s="41">
        <f t="shared" si="15"/>
        <v>100000</v>
      </c>
    </row>
    <row r="69" spans="1:13" outlineLevel="1" x14ac:dyDescent="0.25">
      <c r="A69" s="51">
        <f t="shared" si="16"/>
        <v>45840</v>
      </c>
      <c r="B69" s="53">
        <v>7</v>
      </c>
      <c r="C69" s="50">
        <f t="shared" si="12"/>
        <v>0.05</v>
      </c>
      <c r="D69" s="50"/>
      <c r="E69" s="41">
        <f t="shared" si="17"/>
        <v>100000</v>
      </c>
      <c r="F69" s="52">
        <v>0</v>
      </c>
      <c r="G69" s="41">
        <f t="shared" si="13"/>
        <v>100000</v>
      </c>
      <c r="H69" s="41">
        <f t="shared" si="14"/>
        <v>416.66666666666669</v>
      </c>
      <c r="I69" s="41"/>
      <c r="J69" s="41">
        <f t="shared" si="15"/>
        <v>100000</v>
      </c>
    </row>
    <row r="70" spans="1:13" outlineLevel="1" x14ac:dyDescent="0.25">
      <c r="A70" s="51">
        <f t="shared" si="16"/>
        <v>45871</v>
      </c>
      <c r="B70" s="53">
        <v>8</v>
      </c>
      <c r="C70" s="50">
        <f t="shared" si="12"/>
        <v>0.05</v>
      </c>
      <c r="D70" s="50"/>
      <c r="E70" s="41">
        <f t="shared" si="17"/>
        <v>100000</v>
      </c>
      <c r="F70" s="52">
        <v>0</v>
      </c>
      <c r="G70" s="41">
        <f t="shared" si="13"/>
        <v>100000</v>
      </c>
      <c r="H70" s="41">
        <f t="shared" si="14"/>
        <v>416.66666666666669</v>
      </c>
      <c r="I70" s="41"/>
      <c r="J70" s="41">
        <f t="shared" si="15"/>
        <v>100000</v>
      </c>
    </row>
    <row r="71" spans="1:13" outlineLevel="1" x14ac:dyDescent="0.25">
      <c r="A71" s="51">
        <f t="shared" si="16"/>
        <v>45902</v>
      </c>
      <c r="B71" s="53">
        <v>9</v>
      </c>
      <c r="C71" s="50">
        <f t="shared" si="12"/>
        <v>0.05</v>
      </c>
      <c r="D71" s="50"/>
      <c r="E71" s="41">
        <f t="shared" si="17"/>
        <v>100000</v>
      </c>
      <c r="F71" s="52">
        <v>0</v>
      </c>
      <c r="G71" s="41">
        <f t="shared" si="13"/>
        <v>100000</v>
      </c>
      <c r="H71" s="41">
        <f t="shared" si="14"/>
        <v>416.66666666666669</v>
      </c>
      <c r="I71" s="41"/>
      <c r="J71" s="41">
        <f t="shared" si="15"/>
        <v>100000</v>
      </c>
    </row>
    <row r="72" spans="1:13" outlineLevel="1" x14ac:dyDescent="0.25">
      <c r="A72" s="51">
        <f t="shared" si="16"/>
        <v>45932</v>
      </c>
      <c r="B72" s="53">
        <v>10</v>
      </c>
      <c r="C72" s="50">
        <f t="shared" si="12"/>
        <v>0.05</v>
      </c>
      <c r="D72" s="50"/>
      <c r="E72" s="41">
        <f t="shared" si="17"/>
        <v>100000</v>
      </c>
      <c r="F72" s="52">
        <v>0</v>
      </c>
      <c r="G72" s="41">
        <f t="shared" si="13"/>
        <v>100000</v>
      </c>
      <c r="H72" s="41">
        <f t="shared" si="14"/>
        <v>416.66666666666669</v>
      </c>
      <c r="I72" s="41"/>
      <c r="J72" s="41">
        <f t="shared" si="15"/>
        <v>100000</v>
      </c>
    </row>
    <row r="73" spans="1:13" outlineLevel="1" x14ac:dyDescent="0.25">
      <c r="A73" s="51">
        <f t="shared" si="16"/>
        <v>45963</v>
      </c>
      <c r="B73" s="53">
        <v>11</v>
      </c>
      <c r="C73" s="50">
        <f t="shared" si="12"/>
        <v>0.05</v>
      </c>
      <c r="D73" s="50"/>
      <c r="E73" s="41">
        <f t="shared" si="17"/>
        <v>100000</v>
      </c>
      <c r="F73" s="52">
        <v>0</v>
      </c>
      <c r="G73" s="41">
        <f t="shared" si="13"/>
        <v>100000</v>
      </c>
      <c r="H73" s="41">
        <f t="shared" si="14"/>
        <v>416.66666666666669</v>
      </c>
      <c r="I73" s="41"/>
      <c r="J73" s="41">
        <f t="shared" si="15"/>
        <v>100000</v>
      </c>
    </row>
    <row r="74" spans="1:13" outlineLevel="1" x14ac:dyDescent="0.25">
      <c r="A74" s="51">
        <f t="shared" si="16"/>
        <v>45993</v>
      </c>
      <c r="B74" s="53">
        <v>12</v>
      </c>
      <c r="C74" s="50">
        <f t="shared" si="12"/>
        <v>0.05</v>
      </c>
      <c r="D74" s="50"/>
      <c r="E74" s="41">
        <f t="shared" si="17"/>
        <v>100000</v>
      </c>
      <c r="F74" s="52">
        <v>0</v>
      </c>
      <c r="G74" s="41">
        <f t="shared" si="13"/>
        <v>100000</v>
      </c>
      <c r="H74" s="41">
        <f t="shared" si="14"/>
        <v>416.66666666666669</v>
      </c>
      <c r="I74" s="41">
        <v>100000</v>
      </c>
      <c r="J74" s="41">
        <f t="shared" si="15"/>
        <v>0</v>
      </c>
      <c r="M74" s="85"/>
    </row>
    <row r="75" spans="1:13" outlineLevel="1" x14ac:dyDescent="0.25">
      <c r="A75" s="51" t="s">
        <v>80</v>
      </c>
      <c r="C75" s="50"/>
      <c r="D75" s="50"/>
      <c r="E75" s="41">
        <f t="shared" si="17"/>
        <v>0</v>
      </c>
      <c r="F75" s="41"/>
      <c r="G75" s="49"/>
      <c r="H75" s="49">
        <f>-I75</f>
        <v>0</v>
      </c>
      <c r="I75" s="41"/>
      <c r="J75" s="41">
        <f t="shared" si="15"/>
        <v>0</v>
      </c>
    </row>
    <row r="76" spans="1:13" x14ac:dyDescent="0.25">
      <c r="A76" s="48" t="str">
        <f>CONCATENATE("Total exercice ",A62)</f>
        <v>Total exercice 2026</v>
      </c>
      <c r="B76" s="10"/>
      <c r="C76" s="10"/>
      <c r="D76" s="10"/>
      <c r="E76" s="10"/>
      <c r="F76" s="10"/>
      <c r="G76" s="47">
        <f>SUM(G63:G75)</f>
        <v>1200000</v>
      </c>
      <c r="H76" s="47">
        <f>SUM(H63:H75)</f>
        <v>5000</v>
      </c>
      <c r="I76" s="47">
        <f>SUM(I63:I75)</f>
        <v>100000</v>
      </c>
      <c r="J76" s="47">
        <f>+J75</f>
        <v>0</v>
      </c>
    </row>
    <row r="78" spans="1:13" outlineLevel="1" x14ac:dyDescent="0.25">
      <c r="A78" s="45">
        <f>+A62+1</f>
        <v>2027</v>
      </c>
      <c r="B78" s="1"/>
      <c r="C78" s="54" t="s">
        <v>87</v>
      </c>
      <c r="D78" s="54"/>
      <c r="E78" s="54" t="s">
        <v>86</v>
      </c>
      <c r="F78" s="54" t="s">
        <v>85</v>
      </c>
      <c r="G78" s="54" t="s">
        <v>84</v>
      </c>
      <c r="H78" s="54" t="s">
        <v>83</v>
      </c>
      <c r="I78" s="54" t="s">
        <v>82</v>
      </c>
      <c r="J78" s="54" t="s">
        <v>81</v>
      </c>
    </row>
    <row r="79" spans="1:13" outlineLevel="1" x14ac:dyDescent="0.25">
      <c r="A79" s="51">
        <f>EDATE(A74,1)</f>
        <v>46024</v>
      </c>
      <c r="B79" s="53">
        <v>1</v>
      </c>
      <c r="C79" s="50">
        <f t="shared" ref="C79:C90" si="18">SUM($E$10:$F$10)</f>
        <v>0.05</v>
      </c>
      <c r="D79" s="50"/>
      <c r="E79" s="41">
        <f>+J75</f>
        <v>0</v>
      </c>
      <c r="F79" s="52">
        <v>0</v>
      </c>
      <c r="G79" s="41">
        <f t="shared" ref="G79:G90" si="19">MIN(IF($C$12="Capital seulement",I79+H79,$E$12),E79+F79)</f>
        <v>0</v>
      </c>
      <c r="H79" s="41">
        <f t="shared" ref="H79:H90" si="20">(E79+F79)*C79/12</f>
        <v>0</v>
      </c>
      <c r="I79" s="41"/>
      <c r="J79" s="41">
        <f t="shared" ref="J79:J91" si="21">MAX(E79-I79+F79,0)</f>
        <v>0</v>
      </c>
    </row>
    <row r="80" spans="1:13" outlineLevel="1" x14ac:dyDescent="0.25">
      <c r="A80" s="51">
        <f t="shared" ref="A80:A90" si="22">EDATE(A79,1)</f>
        <v>46055</v>
      </c>
      <c r="B80" s="53">
        <v>2</v>
      </c>
      <c r="C80" s="50">
        <f t="shared" si="18"/>
        <v>0.05</v>
      </c>
      <c r="D80" s="50"/>
      <c r="E80" s="41">
        <f t="shared" ref="E80:E91" si="23">+J79</f>
        <v>0</v>
      </c>
      <c r="F80" s="52">
        <v>0</v>
      </c>
      <c r="G80" s="41">
        <f t="shared" si="19"/>
        <v>0</v>
      </c>
      <c r="H80" s="41">
        <f t="shared" si="20"/>
        <v>0</v>
      </c>
      <c r="I80" s="41"/>
      <c r="J80" s="41">
        <f t="shared" si="21"/>
        <v>0</v>
      </c>
    </row>
    <row r="81" spans="1:13" outlineLevel="1" x14ac:dyDescent="0.25">
      <c r="A81" s="51">
        <f t="shared" si="22"/>
        <v>46083</v>
      </c>
      <c r="B81" s="53">
        <v>3</v>
      </c>
      <c r="C81" s="50">
        <f t="shared" si="18"/>
        <v>0.05</v>
      </c>
      <c r="D81" s="50"/>
      <c r="E81" s="41">
        <f t="shared" si="23"/>
        <v>0</v>
      </c>
      <c r="F81" s="52">
        <v>0</v>
      </c>
      <c r="G81" s="41">
        <f t="shared" si="19"/>
        <v>0</v>
      </c>
      <c r="H81" s="41">
        <f t="shared" si="20"/>
        <v>0</v>
      </c>
      <c r="I81" s="41"/>
      <c r="J81" s="41">
        <f t="shared" si="21"/>
        <v>0</v>
      </c>
    </row>
    <row r="82" spans="1:13" outlineLevel="1" x14ac:dyDescent="0.25">
      <c r="A82" s="51">
        <f t="shared" si="22"/>
        <v>46114</v>
      </c>
      <c r="B82" s="53">
        <v>4</v>
      </c>
      <c r="C82" s="50">
        <f t="shared" si="18"/>
        <v>0.05</v>
      </c>
      <c r="D82" s="50"/>
      <c r="E82" s="41">
        <f t="shared" si="23"/>
        <v>0</v>
      </c>
      <c r="F82" s="52">
        <v>0</v>
      </c>
      <c r="G82" s="41">
        <f t="shared" si="19"/>
        <v>0</v>
      </c>
      <c r="H82" s="41">
        <f t="shared" si="20"/>
        <v>0</v>
      </c>
      <c r="I82" s="41"/>
      <c r="J82" s="41">
        <f t="shared" si="21"/>
        <v>0</v>
      </c>
    </row>
    <row r="83" spans="1:13" outlineLevel="1" x14ac:dyDescent="0.25">
      <c r="A83" s="51">
        <f t="shared" si="22"/>
        <v>46144</v>
      </c>
      <c r="B83" s="53">
        <v>5</v>
      </c>
      <c r="C83" s="50">
        <f t="shared" si="18"/>
        <v>0.05</v>
      </c>
      <c r="D83" s="50"/>
      <c r="E83" s="41">
        <f t="shared" si="23"/>
        <v>0</v>
      </c>
      <c r="F83" s="52">
        <v>0</v>
      </c>
      <c r="G83" s="41">
        <f t="shared" si="19"/>
        <v>0</v>
      </c>
      <c r="H83" s="41">
        <f t="shared" si="20"/>
        <v>0</v>
      </c>
      <c r="I83" s="41"/>
      <c r="J83" s="41">
        <f t="shared" si="21"/>
        <v>0</v>
      </c>
    </row>
    <row r="84" spans="1:13" outlineLevel="1" x14ac:dyDescent="0.25">
      <c r="A84" s="51">
        <f t="shared" si="22"/>
        <v>46175</v>
      </c>
      <c r="B84" s="53">
        <v>6</v>
      </c>
      <c r="C84" s="50">
        <f t="shared" si="18"/>
        <v>0.05</v>
      </c>
      <c r="D84" s="50"/>
      <c r="E84" s="41">
        <f t="shared" si="23"/>
        <v>0</v>
      </c>
      <c r="F84" s="52">
        <v>0</v>
      </c>
      <c r="G84" s="41">
        <f t="shared" si="19"/>
        <v>0</v>
      </c>
      <c r="H84" s="41">
        <f t="shared" si="20"/>
        <v>0</v>
      </c>
      <c r="I84" s="41"/>
      <c r="J84" s="41">
        <f t="shared" si="21"/>
        <v>0</v>
      </c>
    </row>
    <row r="85" spans="1:13" outlineLevel="1" x14ac:dyDescent="0.25">
      <c r="A85" s="51">
        <f t="shared" si="22"/>
        <v>46205</v>
      </c>
      <c r="B85" s="53">
        <v>7</v>
      </c>
      <c r="C85" s="50">
        <f t="shared" si="18"/>
        <v>0.05</v>
      </c>
      <c r="D85" s="50"/>
      <c r="E85" s="41">
        <f t="shared" si="23"/>
        <v>0</v>
      </c>
      <c r="F85" s="52">
        <v>0</v>
      </c>
      <c r="G85" s="41">
        <f t="shared" si="19"/>
        <v>0</v>
      </c>
      <c r="H85" s="41">
        <f t="shared" si="20"/>
        <v>0</v>
      </c>
      <c r="I85" s="41"/>
      <c r="J85" s="41">
        <f t="shared" si="21"/>
        <v>0</v>
      </c>
    </row>
    <row r="86" spans="1:13" outlineLevel="1" x14ac:dyDescent="0.25">
      <c r="A86" s="51">
        <f t="shared" si="22"/>
        <v>46236</v>
      </c>
      <c r="B86" s="53">
        <v>8</v>
      </c>
      <c r="C86" s="50">
        <f t="shared" si="18"/>
        <v>0.05</v>
      </c>
      <c r="D86" s="50"/>
      <c r="E86" s="41">
        <f t="shared" si="23"/>
        <v>0</v>
      </c>
      <c r="F86" s="52">
        <v>0</v>
      </c>
      <c r="G86" s="41">
        <f t="shared" si="19"/>
        <v>0</v>
      </c>
      <c r="H86" s="41">
        <f t="shared" si="20"/>
        <v>0</v>
      </c>
      <c r="I86" s="41"/>
      <c r="J86" s="41">
        <f t="shared" si="21"/>
        <v>0</v>
      </c>
    </row>
    <row r="87" spans="1:13" outlineLevel="1" x14ac:dyDescent="0.25">
      <c r="A87" s="51">
        <f t="shared" si="22"/>
        <v>46267</v>
      </c>
      <c r="B87" s="53">
        <v>9</v>
      </c>
      <c r="C87" s="50">
        <f t="shared" si="18"/>
        <v>0.05</v>
      </c>
      <c r="D87" s="50"/>
      <c r="E87" s="41">
        <f t="shared" si="23"/>
        <v>0</v>
      </c>
      <c r="F87" s="52"/>
      <c r="G87" s="41">
        <f t="shared" si="19"/>
        <v>0</v>
      </c>
      <c r="H87" s="41">
        <f t="shared" si="20"/>
        <v>0</v>
      </c>
      <c r="I87" s="41"/>
      <c r="J87" s="41">
        <f t="shared" si="21"/>
        <v>0</v>
      </c>
    </row>
    <row r="88" spans="1:13" outlineLevel="1" x14ac:dyDescent="0.25">
      <c r="A88" s="51">
        <f t="shared" si="22"/>
        <v>46297</v>
      </c>
      <c r="B88" s="53">
        <v>10</v>
      </c>
      <c r="C88" s="50">
        <f t="shared" si="18"/>
        <v>0.05</v>
      </c>
      <c r="D88" s="50"/>
      <c r="E88" s="41">
        <f t="shared" si="23"/>
        <v>0</v>
      </c>
      <c r="F88" s="52">
        <v>0</v>
      </c>
      <c r="G88" s="41">
        <f t="shared" si="19"/>
        <v>0</v>
      </c>
      <c r="H88" s="41">
        <f t="shared" si="20"/>
        <v>0</v>
      </c>
      <c r="I88" s="41"/>
      <c r="J88" s="41">
        <f t="shared" si="21"/>
        <v>0</v>
      </c>
    </row>
    <row r="89" spans="1:13" outlineLevel="1" x14ac:dyDescent="0.25">
      <c r="A89" s="51">
        <f t="shared" si="22"/>
        <v>46328</v>
      </c>
      <c r="B89" s="53">
        <v>11</v>
      </c>
      <c r="C89" s="50">
        <f t="shared" si="18"/>
        <v>0.05</v>
      </c>
      <c r="D89" s="50"/>
      <c r="E89" s="41">
        <f t="shared" si="23"/>
        <v>0</v>
      </c>
      <c r="F89" s="52">
        <v>0</v>
      </c>
      <c r="G89" s="41">
        <f t="shared" si="19"/>
        <v>0</v>
      </c>
      <c r="H89" s="41">
        <f t="shared" si="20"/>
        <v>0</v>
      </c>
      <c r="I89" s="41"/>
      <c r="J89" s="41">
        <f t="shared" si="21"/>
        <v>0</v>
      </c>
    </row>
    <row r="90" spans="1:13" outlineLevel="1" x14ac:dyDescent="0.25">
      <c r="A90" s="51">
        <f t="shared" si="22"/>
        <v>46358</v>
      </c>
      <c r="B90" s="53">
        <v>12</v>
      </c>
      <c r="C90" s="50">
        <f t="shared" si="18"/>
        <v>0.05</v>
      </c>
      <c r="D90" s="50"/>
      <c r="E90" s="41">
        <f t="shared" si="23"/>
        <v>0</v>
      </c>
      <c r="F90" s="52">
        <v>0</v>
      </c>
      <c r="G90" s="41">
        <f t="shared" si="19"/>
        <v>0</v>
      </c>
      <c r="H90" s="41">
        <f t="shared" si="20"/>
        <v>0</v>
      </c>
      <c r="I90" s="41"/>
      <c r="J90" s="41">
        <f t="shared" si="21"/>
        <v>0</v>
      </c>
      <c r="M90" s="85"/>
    </row>
    <row r="91" spans="1:13" outlineLevel="1" x14ac:dyDescent="0.25">
      <c r="A91" s="51" t="s">
        <v>80</v>
      </c>
      <c r="C91" s="50"/>
      <c r="D91" s="50"/>
      <c r="E91" s="41">
        <f t="shared" si="23"/>
        <v>0</v>
      </c>
      <c r="F91" s="41"/>
      <c r="G91" s="49"/>
      <c r="H91" s="49">
        <f>-I91</f>
        <v>0</v>
      </c>
      <c r="I91" s="41"/>
      <c r="J91" s="41">
        <f t="shared" si="21"/>
        <v>0</v>
      </c>
    </row>
    <row r="92" spans="1:13" x14ac:dyDescent="0.25">
      <c r="A92" s="48" t="str">
        <f>CONCATENATE("Total exercice ",A78)</f>
        <v>Total exercice 2027</v>
      </c>
      <c r="B92" s="10"/>
      <c r="C92" s="10"/>
      <c r="D92" s="10"/>
      <c r="E92" s="10"/>
      <c r="F92" s="10"/>
      <c r="G92" s="47">
        <f>SUM(G79:G91)</f>
        <v>0</v>
      </c>
      <c r="H92" s="47">
        <f>SUM(H79:H91)</f>
        <v>0</v>
      </c>
      <c r="I92" s="47">
        <f>SUM(I79:I91)</f>
        <v>0</v>
      </c>
      <c r="J92" s="47">
        <f>+J91</f>
        <v>0</v>
      </c>
    </row>
    <row r="94" spans="1:13" hidden="1" outlineLevel="1" x14ac:dyDescent="0.25">
      <c r="A94" s="45">
        <f>+A78+1</f>
        <v>2028</v>
      </c>
      <c r="B94" s="1"/>
      <c r="C94" s="54" t="s">
        <v>87</v>
      </c>
      <c r="D94" s="54"/>
      <c r="E94" s="54" t="s">
        <v>86</v>
      </c>
      <c r="F94" s="54" t="s">
        <v>85</v>
      </c>
      <c r="G94" s="54" t="s">
        <v>84</v>
      </c>
      <c r="H94" s="54" t="s">
        <v>83</v>
      </c>
      <c r="I94" s="54" t="s">
        <v>82</v>
      </c>
      <c r="J94" s="54" t="s">
        <v>81</v>
      </c>
    </row>
    <row r="95" spans="1:13" hidden="1" outlineLevel="1" x14ac:dyDescent="0.25">
      <c r="A95" s="51">
        <f>EDATE(A90,1)</f>
        <v>46389</v>
      </c>
      <c r="B95" s="53">
        <v>1</v>
      </c>
      <c r="C95" s="50" t="e">
        <v>#VALUE!</v>
      </c>
      <c r="D95" s="50"/>
      <c r="E95" s="41">
        <f>+J91</f>
        <v>0</v>
      </c>
      <c r="F95" s="52">
        <v>0</v>
      </c>
      <c r="G95" s="41">
        <f t="shared" ref="G95:G106" si="24">MIN(IF($C$12="Capital seulement",I95+H95,$E$12),E95+F95)</f>
        <v>0</v>
      </c>
      <c r="H95" s="41" t="e">
        <f t="shared" ref="H95:H106" si="25">(E95+F95)*C95/12</f>
        <v>#VALUE!</v>
      </c>
      <c r="I95" s="41" t="e">
        <f t="shared" ref="I95:I106" si="26">MIN(IF($C$12="Capital seulement",$E$12,G95-H95),E95+F95)</f>
        <v>#VALUE!</v>
      </c>
      <c r="J95" s="41" t="e">
        <f t="shared" ref="J95:J107" si="27">MAX(E95-I95+F95,0)</f>
        <v>#VALUE!</v>
      </c>
    </row>
    <row r="96" spans="1:13" hidden="1" outlineLevel="1" x14ac:dyDescent="0.25">
      <c r="A96" s="51">
        <f t="shared" ref="A96:A106" si="28">EDATE(A95,1)</f>
        <v>46420</v>
      </c>
      <c r="B96" s="53">
        <v>2</v>
      </c>
      <c r="C96" s="50" t="e">
        <v>#VALUE!</v>
      </c>
      <c r="D96" s="50"/>
      <c r="E96" s="41" t="e">
        <f t="shared" ref="E96:E107" si="29">+J95</f>
        <v>#VALUE!</v>
      </c>
      <c r="F96" s="52">
        <v>0</v>
      </c>
      <c r="G96" s="41" t="e">
        <f t="shared" si="24"/>
        <v>#VALUE!</v>
      </c>
      <c r="H96" s="41" t="e">
        <f t="shared" si="25"/>
        <v>#VALUE!</v>
      </c>
      <c r="I96" s="41" t="e">
        <f t="shared" si="26"/>
        <v>#VALUE!</v>
      </c>
      <c r="J96" s="41" t="e">
        <f t="shared" si="27"/>
        <v>#VALUE!</v>
      </c>
    </row>
    <row r="97" spans="1:10" hidden="1" outlineLevel="1" x14ac:dyDescent="0.25">
      <c r="A97" s="51">
        <f t="shared" si="28"/>
        <v>46448</v>
      </c>
      <c r="B97" s="53">
        <v>3</v>
      </c>
      <c r="C97" s="50" t="e">
        <v>#VALUE!</v>
      </c>
      <c r="D97" s="50"/>
      <c r="E97" s="41" t="e">
        <f t="shared" si="29"/>
        <v>#VALUE!</v>
      </c>
      <c r="F97" s="52">
        <v>0</v>
      </c>
      <c r="G97" s="41" t="e">
        <f t="shared" si="24"/>
        <v>#VALUE!</v>
      </c>
      <c r="H97" s="41" t="e">
        <f t="shared" si="25"/>
        <v>#VALUE!</v>
      </c>
      <c r="I97" s="41" t="e">
        <f t="shared" si="26"/>
        <v>#VALUE!</v>
      </c>
      <c r="J97" s="41" t="e">
        <f t="shared" si="27"/>
        <v>#VALUE!</v>
      </c>
    </row>
    <row r="98" spans="1:10" hidden="1" outlineLevel="1" x14ac:dyDescent="0.25">
      <c r="A98" s="51">
        <f t="shared" si="28"/>
        <v>46479</v>
      </c>
      <c r="B98" s="53">
        <v>4</v>
      </c>
      <c r="C98" s="50" t="e">
        <v>#VALUE!</v>
      </c>
      <c r="D98" s="50"/>
      <c r="E98" s="41" t="e">
        <f t="shared" si="29"/>
        <v>#VALUE!</v>
      </c>
      <c r="F98" s="52">
        <v>0</v>
      </c>
      <c r="G98" s="41" t="e">
        <f t="shared" si="24"/>
        <v>#VALUE!</v>
      </c>
      <c r="H98" s="41" t="e">
        <f t="shared" si="25"/>
        <v>#VALUE!</v>
      </c>
      <c r="I98" s="41" t="e">
        <f t="shared" si="26"/>
        <v>#VALUE!</v>
      </c>
      <c r="J98" s="41" t="e">
        <f t="shared" si="27"/>
        <v>#VALUE!</v>
      </c>
    </row>
    <row r="99" spans="1:10" hidden="1" outlineLevel="1" x14ac:dyDescent="0.25">
      <c r="A99" s="51">
        <f t="shared" si="28"/>
        <v>46509</v>
      </c>
      <c r="B99" s="53">
        <v>5</v>
      </c>
      <c r="C99" s="50" t="e">
        <v>#VALUE!</v>
      </c>
      <c r="D99" s="50"/>
      <c r="E99" s="41" t="e">
        <f t="shared" si="29"/>
        <v>#VALUE!</v>
      </c>
      <c r="F99" s="52">
        <v>0</v>
      </c>
      <c r="G99" s="41" t="e">
        <f t="shared" si="24"/>
        <v>#VALUE!</v>
      </c>
      <c r="H99" s="41" t="e">
        <f t="shared" si="25"/>
        <v>#VALUE!</v>
      </c>
      <c r="I99" s="41" t="e">
        <f t="shared" si="26"/>
        <v>#VALUE!</v>
      </c>
      <c r="J99" s="41" t="e">
        <f t="shared" si="27"/>
        <v>#VALUE!</v>
      </c>
    </row>
    <row r="100" spans="1:10" hidden="1" outlineLevel="1" x14ac:dyDescent="0.25">
      <c r="A100" s="51">
        <f t="shared" si="28"/>
        <v>46540</v>
      </c>
      <c r="B100" s="53">
        <v>6</v>
      </c>
      <c r="C100" s="50" t="e">
        <v>#VALUE!</v>
      </c>
      <c r="D100" s="50"/>
      <c r="E100" s="41" t="e">
        <f t="shared" si="29"/>
        <v>#VALUE!</v>
      </c>
      <c r="F100" s="52">
        <v>0</v>
      </c>
      <c r="G100" s="41" t="e">
        <f t="shared" si="24"/>
        <v>#VALUE!</v>
      </c>
      <c r="H100" s="41" t="e">
        <f t="shared" si="25"/>
        <v>#VALUE!</v>
      </c>
      <c r="I100" s="41" t="e">
        <f t="shared" si="26"/>
        <v>#VALUE!</v>
      </c>
      <c r="J100" s="41" t="e">
        <f t="shared" si="27"/>
        <v>#VALUE!</v>
      </c>
    </row>
    <row r="101" spans="1:10" hidden="1" outlineLevel="1" x14ac:dyDescent="0.25">
      <c r="A101" s="51">
        <f t="shared" si="28"/>
        <v>46570</v>
      </c>
      <c r="B101" s="53">
        <v>7</v>
      </c>
      <c r="C101" s="50" t="e">
        <v>#VALUE!</v>
      </c>
      <c r="D101" s="50"/>
      <c r="E101" s="41" t="e">
        <f t="shared" si="29"/>
        <v>#VALUE!</v>
      </c>
      <c r="F101" s="52">
        <v>0</v>
      </c>
      <c r="G101" s="41" t="e">
        <f t="shared" si="24"/>
        <v>#VALUE!</v>
      </c>
      <c r="H101" s="41" t="e">
        <f t="shared" si="25"/>
        <v>#VALUE!</v>
      </c>
      <c r="I101" s="41" t="e">
        <f t="shared" si="26"/>
        <v>#VALUE!</v>
      </c>
      <c r="J101" s="41" t="e">
        <f t="shared" si="27"/>
        <v>#VALUE!</v>
      </c>
    </row>
    <row r="102" spans="1:10" hidden="1" outlineLevel="1" x14ac:dyDescent="0.25">
      <c r="A102" s="51">
        <f t="shared" si="28"/>
        <v>46601</v>
      </c>
      <c r="B102" s="53">
        <v>8</v>
      </c>
      <c r="C102" s="50" t="e">
        <v>#VALUE!</v>
      </c>
      <c r="D102" s="50"/>
      <c r="E102" s="41" t="e">
        <f t="shared" si="29"/>
        <v>#VALUE!</v>
      </c>
      <c r="F102" s="52">
        <v>0</v>
      </c>
      <c r="G102" s="41" t="e">
        <f t="shared" si="24"/>
        <v>#VALUE!</v>
      </c>
      <c r="H102" s="41" t="e">
        <f t="shared" si="25"/>
        <v>#VALUE!</v>
      </c>
      <c r="I102" s="41" t="e">
        <f t="shared" si="26"/>
        <v>#VALUE!</v>
      </c>
      <c r="J102" s="41" t="e">
        <f t="shared" si="27"/>
        <v>#VALUE!</v>
      </c>
    </row>
    <row r="103" spans="1:10" hidden="1" outlineLevel="1" x14ac:dyDescent="0.25">
      <c r="A103" s="51">
        <f t="shared" si="28"/>
        <v>46632</v>
      </c>
      <c r="B103" s="53">
        <v>9</v>
      </c>
      <c r="C103" s="50" t="e">
        <v>#VALUE!</v>
      </c>
      <c r="D103" s="50"/>
      <c r="E103" s="41" t="e">
        <f t="shared" si="29"/>
        <v>#VALUE!</v>
      </c>
      <c r="F103" s="52">
        <v>0</v>
      </c>
      <c r="G103" s="41" t="e">
        <f t="shared" si="24"/>
        <v>#VALUE!</v>
      </c>
      <c r="H103" s="41" t="e">
        <f t="shared" si="25"/>
        <v>#VALUE!</v>
      </c>
      <c r="I103" s="41" t="e">
        <f t="shared" si="26"/>
        <v>#VALUE!</v>
      </c>
      <c r="J103" s="41" t="e">
        <f t="shared" si="27"/>
        <v>#VALUE!</v>
      </c>
    </row>
    <row r="104" spans="1:10" hidden="1" outlineLevel="1" x14ac:dyDescent="0.25">
      <c r="A104" s="51">
        <f t="shared" si="28"/>
        <v>46662</v>
      </c>
      <c r="B104" s="53">
        <v>10</v>
      </c>
      <c r="C104" s="50" t="e">
        <v>#VALUE!</v>
      </c>
      <c r="D104" s="50"/>
      <c r="E104" s="41" t="e">
        <f t="shared" si="29"/>
        <v>#VALUE!</v>
      </c>
      <c r="F104" s="52">
        <v>0</v>
      </c>
      <c r="G104" s="41" t="e">
        <f t="shared" si="24"/>
        <v>#VALUE!</v>
      </c>
      <c r="H104" s="41" t="e">
        <f t="shared" si="25"/>
        <v>#VALUE!</v>
      </c>
      <c r="I104" s="41" t="e">
        <f t="shared" si="26"/>
        <v>#VALUE!</v>
      </c>
      <c r="J104" s="41" t="e">
        <f t="shared" si="27"/>
        <v>#VALUE!</v>
      </c>
    </row>
    <row r="105" spans="1:10" hidden="1" outlineLevel="1" x14ac:dyDescent="0.25">
      <c r="A105" s="51">
        <f t="shared" si="28"/>
        <v>46693</v>
      </c>
      <c r="B105" s="53">
        <v>11</v>
      </c>
      <c r="C105" s="50" t="e">
        <v>#VALUE!</v>
      </c>
      <c r="D105" s="50"/>
      <c r="E105" s="41" t="e">
        <f t="shared" si="29"/>
        <v>#VALUE!</v>
      </c>
      <c r="F105" s="52">
        <v>0</v>
      </c>
      <c r="G105" s="41" t="e">
        <f t="shared" si="24"/>
        <v>#VALUE!</v>
      </c>
      <c r="H105" s="41" t="e">
        <f t="shared" si="25"/>
        <v>#VALUE!</v>
      </c>
      <c r="I105" s="41" t="e">
        <f t="shared" si="26"/>
        <v>#VALUE!</v>
      </c>
      <c r="J105" s="41" t="e">
        <f t="shared" si="27"/>
        <v>#VALUE!</v>
      </c>
    </row>
    <row r="106" spans="1:10" hidden="1" outlineLevel="1" x14ac:dyDescent="0.25">
      <c r="A106" s="51">
        <f t="shared" si="28"/>
        <v>46723</v>
      </c>
      <c r="B106" s="53">
        <v>12</v>
      </c>
      <c r="C106" s="50" t="e">
        <v>#VALUE!</v>
      </c>
      <c r="D106" s="50"/>
      <c r="E106" s="41" t="e">
        <f t="shared" si="29"/>
        <v>#VALUE!</v>
      </c>
      <c r="F106" s="52">
        <v>0</v>
      </c>
      <c r="G106" s="41" t="e">
        <f t="shared" si="24"/>
        <v>#VALUE!</v>
      </c>
      <c r="H106" s="41" t="e">
        <f t="shared" si="25"/>
        <v>#VALUE!</v>
      </c>
      <c r="I106" s="41" t="e">
        <f t="shared" si="26"/>
        <v>#VALUE!</v>
      </c>
      <c r="J106" s="41" t="e">
        <f t="shared" si="27"/>
        <v>#VALUE!</v>
      </c>
    </row>
    <row r="107" spans="1:10" hidden="1" outlineLevel="1" x14ac:dyDescent="0.25">
      <c r="A107" s="51" t="s">
        <v>80</v>
      </c>
      <c r="C107" s="50"/>
      <c r="D107" s="50"/>
      <c r="E107" s="41" t="e">
        <f t="shared" si="29"/>
        <v>#VALUE!</v>
      </c>
      <c r="F107" s="41"/>
      <c r="G107" s="49"/>
      <c r="H107" s="49">
        <f>-I107</f>
        <v>0</v>
      </c>
      <c r="I107" s="41"/>
      <c r="J107" s="41" t="e">
        <f t="shared" si="27"/>
        <v>#VALUE!</v>
      </c>
    </row>
    <row r="108" spans="1:10" collapsed="1" x14ac:dyDescent="0.25">
      <c r="A108" s="48" t="str">
        <f>CONCATENATE("Total exercice ",A94)</f>
        <v>Total exercice 2028</v>
      </c>
      <c r="B108" s="10"/>
      <c r="C108" s="10"/>
      <c r="D108" s="10"/>
      <c r="E108" s="10"/>
      <c r="F108" s="10"/>
      <c r="G108" s="47" t="e">
        <f>SUM(G95:G107)</f>
        <v>#VALUE!</v>
      </c>
      <c r="H108" s="47" t="e">
        <f>SUM(H95:H107)</f>
        <v>#VALUE!</v>
      </c>
      <c r="I108" s="47" t="e">
        <f>SUM(I95:I107)</f>
        <v>#VALUE!</v>
      </c>
      <c r="J108" s="47" t="e">
        <f>+J107</f>
        <v>#VALUE!</v>
      </c>
    </row>
    <row r="110" spans="1:10" hidden="1" outlineLevel="1" x14ac:dyDescent="0.25">
      <c r="A110" s="45">
        <f>+A94+1</f>
        <v>2029</v>
      </c>
      <c r="B110" s="1"/>
      <c r="C110" s="54" t="s">
        <v>87</v>
      </c>
      <c r="D110" s="54"/>
      <c r="E110" s="54" t="s">
        <v>86</v>
      </c>
      <c r="F110" s="54" t="s">
        <v>85</v>
      </c>
      <c r="G110" s="54" t="s">
        <v>84</v>
      </c>
      <c r="H110" s="54" t="s">
        <v>83</v>
      </c>
      <c r="I110" s="54" t="s">
        <v>82</v>
      </c>
      <c r="J110" s="54" t="s">
        <v>81</v>
      </c>
    </row>
    <row r="111" spans="1:10" hidden="1" outlineLevel="1" x14ac:dyDescent="0.25">
      <c r="A111" s="51">
        <f>EDATE(A106,1)</f>
        <v>46754</v>
      </c>
      <c r="B111" s="53">
        <v>1</v>
      </c>
      <c r="C111" s="50" t="e">
        <v>#VALUE!</v>
      </c>
      <c r="D111" s="50"/>
      <c r="E111" s="41" t="e">
        <f>+J107</f>
        <v>#VALUE!</v>
      </c>
      <c r="F111" s="52">
        <v>0</v>
      </c>
      <c r="G111" s="41" t="e">
        <f t="shared" ref="G111:G122" si="30">MIN(IF($C$12="Capital seulement",I111+H111,$E$12),E111+F111)</f>
        <v>#VALUE!</v>
      </c>
      <c r="H111" s="41" t="e">
        <f t="shared" ref="H111:H122" si="31">(E111+F111)*C111/12</f>
        <v>#VALUE!</v>
      </c>
      <c r="I111" s="41" t="e">
        <f t="shared" ref="I111:I122" si="32">MIN(IF($C$12="Capital seulement",$E$12,G111-H111),E111+F111)</f>
        <v>#VALUE!</v>
      </c>
      <c r="J111" s="41" t="e">
        <f t="shared" ref="J111:J123" si="33">MAX(E111-I111+F111,0)</f>
        <v>#VALUE!</v>
      </c>
    </row>
    <row r="112" spans="1:10" hidden="1" outlineLevel="1" x14ac:dyDescent="0.25">
      <c r="A112" s="51">
        <f t="shared" ref="A112:A122" si="34">EDATE(A111,1)</f>
        <v>46785</v>
      </c>
      <c r="B112" s="53">
        <v>2</v>
      </c>
      <c r="C112" s="50" t="e">
        <v>#VALUE!</v>
      </c>
      <c r="D112" s="50"/>
      <c r="E112" s="41" t="e">
        <f t="shared" ref="E112:E123" si="35">+J111</f>
        <v>#VALUE!</v>
      </c>
      <c r="F112" s="52">
        <v>0</v>
      </c>
      <c r="G112" s="41" t="e">
        <f t="shared" si="30"/>
        <v>#VALUE!</v>
      </c>
      <c r="H112" s="41" t="e">
        <f t="shared" si="31"/>
        <v>#VALUE!</v>
      </c>
      <c r="I112" s="41" t="e">
        <f t="shared" si="32"/>
        <v>#VALUE!</v>
      </c>
      <c r="J112" s="41" t="e">
        <f t="shared" si="33"/>
        <v>#VALUE!</v>
      </c>
    </row>
    <row r="113" spans="1:10" hidden="1" outlineLevel="1" x14ac:dyDescent="0.25">
      <c r="A113" s="51">
        <f t="shared" si="34"/>
        <v>46814</v>
      </c>
      <c r="B113" s="53">
        <v>3</v>
      </c>
      <c r="C113" s="50" t="e">
        <v>#VALUE!</v>
      </c>
      <c r="D113" s="50"/>
      <c r="E113" s="41" t="e">
        <f t="shared" si="35"/>
        <v>#VALUE!</v>
      </c>
      <c r="F113" s="52">
        <v>0</v>
      </c>
      <c r="G113" s="41" t="e">
        <f t="shared" si="30"/>
        <v>#VALUE!</v>
      </c>
      <c r="H113" s="41" t="e">
        <f t="shared" si="31"/>
        <v>#VALUE!</v>
      </c>
      <c r="I113" s="41" t="e">
        <f t="shared" si="32"/>
        <v>#VALUE!</v>
      </c>
      <c r="J113" s="41" t="e">
        <f t="shared" si="33"/>
        <v>#VALUE!</v>
      </c>
    </row>
    <row r="114" spans="1:10" hidden="1" outlineLevel="1" x14ac:dyDescent="0.25">
      <c r="A114" s="51">
        <f t="shared" si="34"/>
        <v>46845</v>
      </c>
      <c r="B114" s="53">
        <v>4</v>
      </c>
      <c r="C114" s="50" t="e">
        <v>#VALUE!</v>
      </c>
      <c r="D114" s="50"/>
      <c r="E114" s="41" t="e">
        <f t="shared" si="35"/>
        <v>#VALUE!</v>
      </c>
      <c r="F114" s="52">
        <v>0</v>
      </c>
      <c r="G114" s="41" t="e">
        <f t="shared" si="30"/>
        <v>#VALUE!</v>
      </c>
      <c r="H114" s="41" t="e">
        <f t="shared" si="31"/>
        <v>#VALUE!</v>
      </c>
      <c r="I114" s="41" t="e">
        <f t="shared" si="32"/>
        <v>#VALUE!</v>
      </c>
      <c r="J114" s="41" t="e">
        <f t="shared" si="33"/>
        <v>#VALUE!</v>
      </c>
    </row>
    <row r="115" spans="1:10" hidden="1" outlineLevel="1" x14ac:dyDescent="0.25">
      <c r="A115" s="51">
        <f t="shared" si="34"/>
        <v>46875</v>
      </c>
      <c r="B115" s="53">
        <v>5</v>
      </c>
      <c r="C115" s="50" t="e">
        <v>#VALUE!</v>
      </c>
      <c r="D115" s="50"/>
      <c r="E115" s="41" t="e">
        <f t="shared" si="35"/>
        <v>#VALUE!</v>
      </c>
      <c r="F115" s="52">
        <v>0</v>
      </c>
      <c r="G115" s="41" t="e">
        <f t="shared" si="30"/>
        <v>#VALUE!</v>
      </c>
      <c r="H115" s="41" t="e">
        <f t="shared" si="31"/>
        <v>#VALUE!</v>
      </c>
      <c r="I115" s="41" t="e">
        <f t="shared" si="32"/>
        <v>#VALUE!</v>
      </c>
      <c r="J115" s="41" t="e">
        <f t="shared" si="33"/>
        <v>#VALUE!</v>
      </c>
    </row>
    <row r="116" spans="1:10" hidden="1" outlineLevel="1" x14ac:dyDescent="0.25">
      <c r="A116" s="51">
        <f t="shared" si="34"/>
        <v>46906</v>
      </c>
      <c r="B116" s="53">
        <v>6</v>
      </c>
      <c r="C116" s="50" t="e">
        <v>#VALUE!</v>
      </c>
      <c r="D116" s="50"/>
      <c r="E116" s="41" t="e">
        <f t="shared" si="35"/>
        <v>#VALUE!</v>
      </c>
      <c r="F116" s="52">
        <v>0</v>
      </c>
      <c r="G116" s="41" t="e">
        <f t="shared" si="30"/>
        <v>#VALUE!</v>
      </c>
      <c r="H116" s="41" t="e">
        <f t="shared" si="31"/>
        <v>#VALUE!</v>
      </c>
      <c r="I116" s="41" t="e">
        <f t="shared" si="32"/>
        <v>#VALUE!</v>
      </c>
      <c r="J116" s="41" t="e">
        <f t="shared" si="33"/>
        <v>#VALUE!</v>
      </c>
    </row>
    <row r="117" spans="1:10" hidden="1" outlineLevel="1" x14ac:dyDescent="0.25">
      <c r="A117" s="51">
        <f t="shared" si="34"/>
        <v>46936</v>
      </c>
      <c r="B117" s="53">
        <v>7</v>
      </c>
      <c r="C117" s="50" t="e">
        <v>#VALUE!</v>
      </c>
      <c r="D117" s="50"/>
      <c r="E117" s="41" t="e">
        <f t="shared" si="35"/>
        <v>#VALUE!</v>
      </c>
      <c r="F117" s="52">
        <v>0</v>
      </c>
      <c r="G117" s="41" t="e">
        <f t="shared" si="30"/>
        <v>#VALUE!</v>
      </c>
      <c r="H117" s="41" t="e">
        <f t="shared" si="31"/>
        <v>#VALUE!</v>
      </c>
      <c r="I117" s="41" t="e">
        <f t="shared" si="32"/>
        <v>#VALUE!</v>
      </c>
      <c r="J117" s="41" t="e">
        <f t="shared" si="33"/>
        <v>#VALUE!</v>
      </c>
    </row>
    <row r="118" spans="1:10" hidden="1" outlineLevel="1" x14ac:dyDescent="0.25">
      <c r="A118" s="51">
        <f t="shared" si="34"/>
        <v>46967</v>
      </c>
      <c r="B118" s="53">
        <v>8</v>
      </c>
      <c r="C118" s="50" t="e">
        <v>#VALUE!</v>
      </c>
      <c r="D118" s="50"/>
      <c r="E118" s="41" t="e">
        <f t="shared" si="35"/>
        <v>#VALUE!</v>
      </c>
      <c r="F118" s="52">
        <v>0</v>
      </c>
      <c r="G118" s="41" t="e">
        <f t="shared" si="30"/>
        <v>#VALUE!</v>
      </c>
      <c r="H118" s="41" t="e">
        <f t="shared" si="31"/>
        <v>#VALUE!</v>
      </c>
      <c r="I118" s="41" t="e">
        <f t="shared" si="32"/>
        <v>#VALUE!</v>
      </c>
      <c r="J118" s="41" t="e">
        <f t="shared" si="33"/>
        <v>#VALUE!</v>
      </c>
    </row>
    <row r="119" spans="1:10" hidden="1" outlineLevel="1" x14ac:dyDescent="0.25">
      <c r="A119" s="51">
        <f t="shared" si="34"/>
        <v>46998</v>
      </c>
      <c r="B119" s="53">
        <v>9</v>
      </c>
      <c r="C119" s="50" t="e">
        <v>#VALUE!</v>
      </c>
      <c r="D119" s="50"/>
      <c r="E119" s="41" t="e">
        <f t="shared" si="35"/>
        <v>#VALUE!</v>
      </c>
      <c r="F119" s="52">
        <v>0</v>
      </c>
      <c r="G119" s="41" t="e">
        <f t="shared" si="30"/>
        <v>#VALUE!</v>
      </c>
      <c r="H119" s="41" t="e">
        <f t="shared" si="31"/>
        <v>#VALUE!</v>
      </c>
      <c r="I119" s="41" t="e">
        <f t="shared" si="32"/>
        <v>#VALUE!</v>
      </c>
      <c r="J119" s="41" t="e">
        <f t="shared" si="33"/>
        <v>#VALUE!</v>
      </c>
    </row>
    <row r="120" spans="1:10" hidden="1" outlineLevel="1" x14ac:dyDescent="0.25">
      <c r="A120" s="51">
        <f t="shared" si="34"/>
        <v>47028</v>
      </c>
      <c r="B120" s="53">
        <v>10</v>
      </c>
      <c r="C120" s="50" t="e">
        <v>#VALUE!</v>
      </c>
      <c r="D120" s="50"/>
      <c r="E120" s="41" t="e">
        <f t="shared" si="35"/>
        <v>#VALUE!</v>
      </c>
      <c r="F120" s="52">
        <v>0</v>
      </c>
      <c r="G120" s="41" t="e">
        <f t="shared" si="30"/>
        <v>#VALUE!</v>
      </c>
      <c r="H120" s="41" t="e">
        <f t="shared" si="31"/>
        <v>#VALUE!</v>
      </c>
      <c r="I120" s="41" t="e">
        <f t="shared" si="32"/>
        <v>#VALUE!</v>
      </c>
      <c r="J120" s="41" t="e">
        <f t="shared" si="33"/>
        <v>#VALUE!</v>
      </c>
    </row>
    <row r="121" spans="1:10" hidden="1" outlineLevel="1" x14ac:dyDescent="0.25">
      <c r="A121" s="51">
        <f t="shared" si="34"/>
        <v>47059</v>
      </c>
      <c r="B121" s="53">
        <v>11</v>
      </c>
      <c r="C121" s="50" t="e">
        <v>#VALUE!</v>
      </c>
      <c r="D121" s="50"/>
      <c r="E121" s="41" t="e">
        <f t="shared" si="35"/>
        <v>#VALUE!</v>
      </c>
      <c r="F121" s="52">
        <v>0</v>
      </c>
      <c r="G121" s="41" t="e">
        <f t="shared" si="30"/>
        <v>#VALUE!</v>
      </c>
      <c r="H121" s="41" t="e">
        <f t="shared" si="31"/>
        <v>#VALUE!</v>
      </c>
      <c r="I121" s="41" t="e">
        <f t="shared" si="32"/>
        <v>#VALUE!</v>
      </c>
      <c r="J121" s="41" t="e">
        <f t="shared" si="33"/>
        <v>#VALUE!</v>
      </c>
    </row>
    <row r="122" spans="1:10" hidden="1" outlineLevel="1" x14ac:dyDescent="0.25">
      <c r="A122" s="51">
        <f t="shared" si="34"/>
        <v>47089</v>
      </c>
      <c r="B122" s="53">
        <v>12</v>
      </c>
      <c r="C122" s="50" t="e">
        <v>#VALUE!</v>
      </c>
      <c r="D122" s="50"/>
      <c r="E122" s="41" t="e">
        <f t="shared" si="35"/>
        <v>#VALUE!</v>
      </c>
      <c r="F122" s="52">
        <v>0</v>
      </c>
      <c r="G122" s="41" t="e">
        <f t="shared" si="30"/>
        <v>#VALUE!</v>
      </c>
      <c r="H122" s="41" t="e">
        <f t="shared" si="31"/>
        <v>#VALUE!</v>
      </c>
      <c r="I122" s="41" t="e">
        <f t="shared" si="32"/>
        <v>#VALUE!</v>
      </c>
      <c r="J122" s="41" t="e">
        <f t="shared" si="33"/>
        <v>#VALUE!</v>
      </c>
    </row>
    <row r="123" spans="1:10" hidden="1" outlineLevel="1" x14ac:dyDescent="0.25">
      <c r="A123" s="51" t="s">
        <v>80</v>
      </c>
      <c r="C123" s="50"/>
      <c r="D123" s="50"/>
      <c r="E123" s="41" t="e">
        <f t="shared" si="35"/>
        <v>#VALUE!</v>
      </c>
      <c r="F123" s="41"/>
      <c r="G123" s="49"/>
      <c r="H123" s="49">
        <f>-I123</f>
        <v>0</v>
      </c>
      <c r="I123" s="41"/>
      <c r="J123" s="41" t="e">
        <f t="shared" si="33"/>
        <v>#VALUE!</v>
      </c>
    </row>
    <row r="124" spans="1:10" collapsed="1" x14ac:dyDescent="0.25">
      <c r="A124" s="48" t="str">
        <f>CONCATENATE("Total exercice ",A110)</f>
        <v>Total exercice 2029</v>
      </c>
      <c r="B124" s="10"/>
      <c r="C124" s="10"/>
      <c r="D124" s="10"/>
      <c r="E124" s="10"/>
      <c r="F124" s="10"/>
      <c r="G124" s="47" t="e">
        <f>SUM(G111:G123)</f>
        <v>#VALUE!</v>
      </c>
      <c r="H124" s="47" t="e">
        <f>SUM(H111:H123)</f>
        <v>#VALUE!</v>
      </c>
      <c r="I124" s="47" t="e">
        <f>SUM(I111:I123)</f>
        <v>#VALUE!</v>
      </c>
      <c r="J124" s="47" t="e">
        <f>+J123</f>
        <v>#VALUE!</v>
      </c>
    </row>
  </sheetData>
  <mergeCells count="5">
    <mergeCell ref="A2:E2"/>
    <mergeCell ref="E15:I15"/>
    <mergeCell ref="E16:I16"/>
    <mergeCell ref="E17:I17"/>
    <mergeCell ref="F22:I24"/>
  </mergeCells>
  <conditionalFormatting sqref="C10 C12 C15:C17">
    <cfRule type="cellIs" dxfId="3" priority="1" operator="equal">
      <formula>"Effectuez choix"</formula>
    </cfRule>
  </conditionalFormatting>
  <conditionalFormatting sqref="C24:D24">
    <cfRule type="cellIs" dxfId="2" priority="2" operator="notEqual">
      <formula>0</formula>
    </cfRule>
  </conditionalFormatting>
  <dataValidations count="3">
    <dataValidation type="list" allowBlank="1" showInputMessage="1" showErrorMessage="1" sqref="C10" xr:uid="{413BDAC4-D497-4EF1-9A1F-4BBC643A36C8}">
      <formula1>$K$7:$K$10</formula1>
    </dataValidation>
    <dataValidation type="list" allowBlank="1" showInputMessage="1" showErrorMessage="1" sqref="C12" xr:uid="{6C6E7E3F-2D61-414F-9B63-AE473D8D90C0}">
      <formula1>$K$12:$K$14</formula1>
    </dataValidation>
    <dataValidation type="list" allowBlank="1" showInputMessage="1" showErrorMessage="1" sqref="C15:C17" xr:uid="{940C494A-DF43-4403-B45A-1554DFDC85DB}">
      <formula1>$K$16:$K$18</formula1>
    </dataValidation>
  </dataValidations>
  <hyperlinks>
    <hyperlink ref="E22" r:id="rId1" tooltip="cw:KK" display="'KK" xr:uid="{2F34B850-C21D-49CD-AEA5-D1416A0B3271}"/>
  </hyperlinks>
  <pageMargins left="0.25" right="0.25" top="0.75" bottom="0.75" header="0.3" footer="0.3"/>
  <pageSetup scale="53" fitToHeight="0" orientation="portrait" r:id="rId2"/>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C0B83-F26E-4E4C-97FC-727FEEA9BC0A}">
  <sheetPr>
    <tabColor theme="0" tint="0.59999389629810485"/>
  </sheetPr>
  <dimension ref="A1"/>
  <sheetViews>
    <sheetView workbookViewId="0">
      <selection activeCell="E13" sqref="E13"/>
    </sheetView>
  </sheetViews>
  <sheetFormatPr baseColWidth="10" defaultRowHeight="15" x14ac:dyDescent="0.25"/>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360F8-1EB0-4912-9D75-80B77134F93E}">
  <sheetPr>
    <tabColor theme="0" tint="0.59999389629810485"/>
  </sheetPr>
  <dimension ref="A1:H30"/>
  <sheetViews>
    <sheetView view="pageLayout" zoomScaleNormal="115" workbookViewId="0">
      <selection activeCell="I21" sqref="I21"/>
    </sheetView>
  </sheetViews>
  <sheetFormatPr baseColWidth="10" defaultColWidth="11.42578125" defaultRowHeight="15" x14ac:dyDescent="0.25"/>
  <cols>
    <col min="1" max="1" width="28.28515625" customWidth="1"/>
    <col min="3" max="3" width="17" customWidth="1"/>
    <col min="4" max="4" width="12.28515625" customWidth="1"/>
    <col min="5" max="5" width="12.42578125" customWidth="1"/>
    <col min="6" max="6" width="12.7109375" customWidth="1"/>
    <col min="8" max="8" width="11.85546875" customWidth="1"/>
  </cols>
  <sheetData>
    <row r="1" spans="1:7" x14ac:dyDescent="0.25">
      <c r="F1">
        <v>1</v>
      </c>
    </row>
    <row r="2" spans="1:7" s="33" customFormat="1" ht="25.15" customHeight="1" x14ac:dyDescent="0.25">
      <c r="A2" s="32" t="s">
        <v>162</v>
      </c>
    </row>
    <row r="3" spans="1:7" s="33" customFormat="1" ht="25.15" customHeight="1" x14ac:dyDescent="0.25">
      <c r="A3" s="32" t="s">
        <v>74</v>
      </c>
    </row>
    <row r="4" spans="1:7" s="33" customFormat="1" ht="25.15" customHeight="1" x14ac:dyDescent="0.25">
      <c r="A4" s="34" t="s">
        <v>122</v>
      </c>
      <c r="B4" s="35"/>
      <c r="C4" s="35"/>
      <c r="D4" s="35"/>
      <c r="E4" s="35"/>
      <c r="F4" s="35"/>
    </row>
    <row r="5" spans="1:7" s="33" customFormat="1" x14ac:dyDescent="0.25">
      <c r="A5" s="32"/>
    </row>
    <row r="7" spans="1:7" x14ac:dyDescent="0.25">
      <c r="A7" s="4"/>
      <c r="B7" s="4"/>
      <c r="C7" s="4"/>
      <c r="D7" s="36" t="s">
        <v>119</v>
      </c>
      <c r="E7" s="36" t="s">
        <v>52</v>
      </c>
      <c r="F7" s="36" t="s">
        <v>45</v>
      </c>
    </row>
    <row r="9" spans="1:7" x14ac:dyDescent="0.25">
      <c r="A9" s="3" t="s">
        <v>29</v>
      </c>
      <c r="B9" s="4"/>
      <c r="C9" s="4"/>
      <c r="D9" s="38">
        <v>70000</v>
      </c>
      <c r="E9" s="38">
        <v>70000</v>
      </c>
      <c r="F9" s="38">
        <v>70000</v>
      </c>
      <c r="G9" s="40" t="s">
        <v>172</v>
      </c>
    </row>
    <row r="10" spans="1:7" x14ac:dyDescent="0.25">
      <c r="A10" s="7" t="s">
        <v>1</v>
      </c>
      <c r="D10" s="1"/>
      <c r="E10" s="1"/>
      <c r="F10" s="1"/>
      <c r="G10" s="40"/>
    </row>
    <row r="11" spans="1:7" x14ac:dyDescent="0.25">
      <c r="A11" s="1" t="s">
        <v>46</v>
      </c>
      <c r="D11" s="1"/>
      <c r="E11" s="1"/>
      <c r="F11" s="1"/>
      <c r="G11" s="40"/>
    </row>
    <row r="12" spans="1:7" x14ac:dyDescent="0.25">
      <c r="A12" s="27" t="s">
        <v>168</v>
      </c>
      <c r="D12" s="8">
        <f>ROUND(E12*1.05,0)</f>
        <v>11771</v>
      </c>
      <c r="E12" s="8">
        <f>ROUND(F12*1.05,0)</f>
        <v>11210</v>
      </c>
      <c r="F12" s="8">
        <v>10676</v>
      </c>
      <c r="G12" s="40" t="s">
        <v>169</v>
      </c>
    </row>
    <row r="13" spans="1:7" x14ac:dyDescent="0.25">
      <c r="A13" s="27" t="s">
        <v>24</v>
      </c>
      <c r="D13" s="8">
        <f>ROUND(E13*1.05,0)</f>
        <v>7161</v>
      </c>
      <c r="E13" s="8">
        <f>ROUND(F13*1.05,0)</f>
        <v>6820</v>
      </c>
      <c r="F13" s="8">
        <v>6495</v>
      </c>
      <c r="G13" s="40" t="s">
        <v>166</v>
      </c>
    </row>
    <row r="14" spans="1:7" x14ac:dyDescent="0.25">
      <c r="A14" s="39" t="s">
        <v>27</v>
      </c>
      <c r="D14" s="8">
        <v>3500</v>
      </c>
      <c r="E14" s="8">
        <v>3500</v>
      </c>
      <c r="F14" s="8">
        <f>3000+1500</f>
        <v>4500</v>
      </c>
      <c r="G14" s="40" t="s">
        <v>164</v>
      </c>
    </row>
    <row r="15" spans="1:7" x14ac:dyDescent="0.25">
      <c r="A15" s="39" t="s">
        <v>47</v>
      </c>
      <c r="D15" s="8">
        <f>-'Hypothèses - Immo'!J22</f>
        <v>15128</v>
      </c>
      <c r="E15" s="8">
        <f>-'Hypothèses - Immo'!J15</f>
        <v>15758</v>
      </c>
      <c r="F15" s="8">
        <f>-'Hypothèses - Immo'!J8</f>
        <v>8040</v>
      </c>
      <c r="G15" s="40" t="s">
        <v>116</v>
      </c>
    </row>
    <row r="16" spans="1:7" x14ac:dyDescent="0.25">
      <c r="A16" s="39" t="s">
        <v>48</v>
      </c>
      <c r="D16" s="8">
        <f>ROUND('Prêt - Immo'!H76,0)</f>
        <v>31407</v>
      </c>
      <c r="E16" s="8">
        <f>ROUND('Prêt - Immo'!H60,0)</f>
        <v>32147</v>
      </c>
      <c r="F16" s="8">
        <f>ROUND('Prêt - Immo'!H44,0)</f>
        <v>32852</v>
      </c>
      <c r="G16" s="40" t="s">
        <v>124</v>
      </c>
    </row>
    <row r="17" spans="1:8" x14ac:dyDescent="0.25">
      <c r="A17" s="39" t="s">
        <v>42</v>
      </c>
      <c r="D17" s="8">
        <v>1000</v>
      </c>
      <c r="E17" s="8">
        <v>1000</v>
      </c>
      <c r="F17" s="8">
        <v>1000</v>
      </c>
      <c r="G17" s="40" t="s">
        <v>118</v>
      </c>
    </row>
    <row r="18" spans="1:8" x14ac:dyDescent="0.25">
      <c r="A18" s="11"/>
      <c r="B18" s="11"/>
      <c r="C18" s="11"/>
      <c r="D18" s="12">
        <f>SUM(D12:D17)</f>
        <v>69967</v>
      </c>
      <c r="E18" s="12">
        <f>SUM(E12:E17)</f>
        <v>70435</v>
      </c>
      <c r="F18" s="12">
        <f>SUM(F12:F17)</f>
        <v>63563</v>
      </c>
      <c r="G18" s="40"/>
    </row>
    <row r="19" spans="1:8" x14ac:dyDescent="0.25">
      <c r="D19" s="8"/>
      <c r="E19" s="8"/>
      <c r="F19" s="8"/>
      <c r="G19" s="40"/>
    </row>
    <row r="20" spans="1:8" x14ac:dyDescent="0.25">
      <c r="A20" s="1" t="s">
        <v>49</v>
      </c>
      <c r="D20" s="8">
        <f>D9-D18</f>
        <v>33</v>
      </c>
      <c r="E20" s="8">
        <f>E9-E18</f>
        <v>-435</v>
      </c>
      <c r="F20" s="8">
        <f>F9-F18</f>
        <v>6437</v>
      </c>
      <c r="G20" s="40"/>
    </row>
    <row r="21" spans="1:8" x14ac:dyDescent="0.25">
      <c r="G21" s="40"/>
    </row>
    <row r="22" spans="1:8" x14ac:dyDescent="0.25">
      <c r="A22" s="28" t="s">
        <v>50</v>
      </c>
      <c r="D22" s="8"/>
      <c r="E22" s="8"/>
      <c r="F22" s="8"/>
      <c r="G22" s="40"/>
    </row>
    <row r="23" spans="1:8" x14ac:dyDescent="0.25">
      <c r="A23" s="31" t="s">
        <v>51</v>
      </c>
      <c r="B23" s="4"/>
      <c r="C23" s="4"/>
      <c r="D23" s="14">
        <f>IF(ROUND(0.265*D20,0)&lt;0,0,ROUND(0.265*D20,0))</f>
        <v>9</v>
      </c>
      <c r="E23" s="14">
        <f>IF(ROUND(0.265*E20,0)&lt;0,0,ROUND(0.265*E20,0))</f>
        <v>0</v>
      </c>
      <c r="F23" s="14">
        <f>IF(ROUND(0.265*F20,0)&lt;0,0,ROUND(0.265*F20,0))</f>
        <v>1706</v>
      </c>
      <c r="G23" s="40" t="s">
        <v>161</v>
      </c>
    </row>
    <row r="24" spans="1:8" x14ac:dyDescent="0.25">
      <c r="D24" s="8"/>
      <c r="E24" s="8"/>
      <c r="F24" s="8"/>
      <c r="G24" s="40"/>
    </row>
    <row r="25" spans="1:8" ht="26.45" customHeight="1" thickBot="1" x14ac:dyDescent="0.3">
      <c r="A25" s="16" t="s">
        <v>63</v>
      </c>
      <c r="B25" s="17"/>
      <c r="C25" s="17"/>
      <c r="D25" s="37">
        <f>+D20-D23</f>
        <v>24</v>
      </c>
      <c r="E25" s="37">
        <f>+E20-E23</f>
        <v>-435</v>
      </c>
      <c r="F25" s="37">
        <f>+F20-F23</f>
        <v>4731</v>
      </c>
      <c r="G25" s="40"/>
    </row>
    <row r="26" spans="1:8" x14ac:dyDescent="0.25">
      <c r="D26" s="21"/>
      <c r="E26" s="21"/>
      <c r="F26" s="21"/>
      <c r="G26" s="40"/>
    </row>
    <row r="27" spans="1:8" x14ac:dyDescent="0.25">
      <c r="A27" s="1" t="s">
        <v>125</v>
      </c>
      <c r="C27" s="8"/>
      <c r="D27" s="8">
        <f>SUM(D25,D23,D15)</f>
        <v>15161</v>
      </c>
      <c r="E27" s="8">
        <f>SUM(E25,E23,E15)</f>
        <v>15323</v>
      </c>
      <c r="F27" s="8">
        <f>SUM(F25,F23,F15)</f>
        <v>14477</v>
      </c>
      <c r="G27" s="8"/>
      <c r="H27" s="92"/>
    </row>
    <row r="30" spans="1:8" x14ac:dyDescent="0.25">
      <c r="A30" s="18"/>
    </row>
  </sheetData>
  <pageMargins left="0.55118110236220474" right="0.51181102362204722" top="0.59055118110236227" bottom="0.74803149606299213" header="0.31496062992125984" footer="0.3149606299212598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8F8F-7FDC-4FBB-BF09-2D8513360958}">
  <sheetPr>
    <tabColor theme="0" tint="0.59999389629810485"/>
  </sheetPr>
  <dimension ref="A1:G41"/>
  <sheetViews>
    <sheetView view="pageLayout" topLeftCell="A3" zoomScaleNormal="100" workbookViewId="0">
      <selection activeCell="F30" sqref="D30:F30"/>
    </sheetView>
  </sheetViews>
  <sheetFormatPr baseColWidth="10" defaultColWidth="11.42578125" defaultRowHeight="15" x14ac:dyDescent="0.25"/>
  <cols>
    <col min="1" max="1" width="29.140625" customWidth="1"/>
    <col min="3" max="3" width="15.140625" customWidth="1"/>
    <col min="4" max="6" width="12.42578125" customWidth="1"/>
  </cols>
  <sheetData>
    <row r="1" spans="1:6" x14ac:dyDescent="0.25">
      <c r="F1">
        <v>2</v>
      </c>
    </row>
    <row r="2" spans="1:6" s="33" customFormat="1" ht="25.9" customHeight="1" x14ac:dyDescent="0.25">
      <c r="A2" s="32" t="str">
        <f>'Résultats - Immo'!A2</f>
        <v>SOCIÉTÉ IMMOBILIÈRE (BÂTIMENT CLINIQUE VÉTÉRINAIRE VALLEYFIELD INC.)</v>
      </c>
    </row>
    <row r="3" spans="1:6" s="33" customFormat="1" ht="25.9" customHeight="1" x14ac:dyDescent="0.25">
      <c r="A3" s="32" t="s">
        <v>75</v>
      </c>
    </row>
    <row r="4" spans="1:6" s="33" customFormat="1" ht="25.9" customHeight="1" x14ac:dyDescent="0.25">
      <c r="A4" s="34"/>
      <c r="B4" s="35"/>
      <c r="C4" s="35"/>
      <c r="D4" s="35"/>
      <c r="E4" s="35"/>
      <c r="F4" s="35"/>
    </row>
    <row r="5" spans="1:6" x14ac:dyDescent="0.25">
      <c r="D5" s="2"/>
      <c r="E5" s="2"/>
      <c r="F5" s="2"/>
    </row>
    <row r="6" spans="1:6" x14ac:dyDescent="0.25">
      <c r="D6" s="2"/>
      <c r="E6" s="2"/>
      <c r="F6" s="2"/>
    </row>
    <row r="7" spans="1:6" x14ac:dyDescent="0.25">
      <c r="A7" s="4"/>
      <c r="B7" s="4"/>
      <c r="C7" s="4"/>
      <c r="D7" s="36" t="str">
        <f>'Résultats - Immo'!D7</f>
        <v>Année 3</v>
      </c>
      <c r="E7" s="36" t="str">
        <f>'Résultats - Immo'!E7</f>
        <v>Année 2</v>
      </c>
      <c r="F7" s="36" t="str">
        <f>'Résultats - Immo'!F7</f>
        <v>Année 1</v>
      </c>
    </row>
    <row r="9" spans="1:6" x14ac:dyDescent="0.25">
      <c r="A9" s="1" t="s">
        <v>4</v>
      </c>
    </row>
    <row r="10" spans="1:6" x14ac:dyDescent="0.25">
      <c r="A10" s="1" t="s">
        <v>5</v>
      </c>
    </row>
    <row r="11" spans="1:6" x14ac:dyDescent="0.25">
      <c r="A11" s="4" t="s">
        <v>6</v>
      </c>
      <c r="B11" s="4"/>
      <c r="C11" s="4"/>
      <c r="D11" s="86">
        <f>+D32-D13</f>
        <v>3051</v>
      </c>
      <c r="E11" s="86">
        <f>+E32-E13</f>
        <v>3259</v>
      </c>
      <c r="F11" s="86">
        <f>+F32-F13</f>
        <v>2056</v>
      </c>
    </row>
    <row r="12" spans="1:6" x14ac:dyDescent="0.25">
      <c r="A12" s="27"/>
      <c r="D12" s="8"/>
      <c r="E12" s="8"/>
      <c r="F12" s="8"/>
    </row>
    <row r="13" spans="1:6" x14ac:dyDescent="0.25">
      <c r="A13" s="46" t="s">
        <v>73</v>
      </c>
      <c r="B13" s="4"/>
      <c r="C13" s="4"/>
      <c r="D13" s="14">
        <f>+'Hypothèses - Immo'!G22+'Hypothèses - Immo'!K22</f>
        <v>631074</v>
      </c>
      <c r="E13" s="14">
        <f>+'Hypothèses - Immo'!G15+'Hypothèses - Immo'!K15</f>
        <v>646202</v>
      </c>
      <c r="F13" s="14">
        <f>'Hypothèses - Immo'!G8+'Hypothèses - Immo'!K8</f>
        <v>661960</v>
      </c>
    </row>
    <row r="14" spans="1:6" x14ac:dyDescent="0.25">
      <c r="A14" s="27"/>
      <c r="D14" s="8"/>
      <c r="E14" s="8"/>
      <c r="F14" s="8"/>
    </row>
    <row r="15" spans="1:6" ht="25.9" customHeight="1" thickBot="1" x14ac:dyDescent="0.3">
      <c r="A15" s="22"/>
      <c r="B15" s="17"/>
      <c r="C15" s="17"/>
      <c r="D15" s="19">
        <f>SUM(D11:D13)</f>
        <v>634125</v>
      </c>
      <c r="E15" s="19">
        <f>SUM(E11:E13)</f>
        <v>649461</v>
      </c>
      <c r="F15" s="19">
        <f>SUM(F11:F13)</f>
        <v>664016</v>
      </c>
    </row>
    <row r="16" spans="1:6" x14ac:dyDescent="0.25">
      <c r="F16" s="1"/>
    </row>
    <row r="17" spans="1:7" x14ac:dyDescent="0.25">
      <c r="F17" s="1"/>
    </row>
    <row r="18" spans="1:7" x14ac:dyDescent="0.25">
      <c r="A18" s="1" t="s">
        <v>7</v>
      </c>
      <c r="F18" s="1"/>
    </row>
    <row r="19" spans="1:7" x14ac:dyDescent="0.25">
      <c r="A19" s="1" t="s">
        <v>5</v>
      </c>
      <c r="F19" s="1"/>
    </row>
    <row r="20" spans="1:7" x14ac:dyDescent="0.25">
      <c r="A20" t="s">
        <v>32</v>
      </c>
      <c r="D20" s="23">
        <v>3500</v>
      </c>
      <c r="E20" s="23">
        <v>3500</v>
      </c>
      <c r="F20" s="23">
        <v>3000</v>
      </c>
    </row>
    <row r="21" spans="1:7" x14ac:dyDescent="0.25">
      <c r="A21" s="4" t="s">
        <v>123</v>
      </c>
      <c r="B21" s="4"/>
      <c r="C21" s="4"/>
      <c r="D21" s="38">
        <f>ROUND('Prêt - Immo'!I92,0)</f>
        <v>16138</v>
      </c>
      <c r="E21" s="38">
        <f>ROUND('Prêt - Immo'!I76,0)</f>
        <v>15360</v>
      </c>
      <c r="F21" s="38">
        <f>ROUND('Prêt - Immo'!I60,0)</f>
        <v>14620</v>
      </c>
    </row>
    <row r="22" spans="1:7" x14ac:dyDescent="0.25">
      <c r="A22" s="4"/>
      <c r="B22" s="4"/>
      <c r="C22" s="4"/>
      <c r="D22" s="14">
        <f>SUM(D20:D21)</f>
        <v>19638</v>
      </c>
      <c r="E22" s="14">
        <f>SUM(E20:E21)</f>
        <v>18860</v>
      </c>
      <c r="F22" s="14">
        <f>SUM(F20:F21)</f>
        <v>17620</v>
      </c>
    </row>
    <row r="23" spans="1:7" x14ac:dyDescent="0.25">
      <c r="D23" s="1"/>
      <c r="E23" s="1"/>
      <c r="F23" s="1"/>
    </row>
    <row r="24" spans="1:7" x14ac:dyDescent="0.25">
      <c r="A24" s="46" t="s">
        <v>16</v>
      </c>
      <c r="B24" s="4"/>
      <c r="C24" s="4"/>
      <c r="D24" s="14">
        <f>ROUND('Prêt - Immo'!J76,0)-D21</f>
        <v>609967</v>
      </c>
      <c r="E24" s="14">
        <f>ROUND('Prêt - Immo'!J60,0)-E21</f>
        <v>626105</v>
      </c>
      <c r="F24" s="14">
        <f>ROUND('Prêt - Immo'!J44,0)-F21</f>
        <v>641465</v>
      </c>
      <c r="G24" s="40" t="s">
        <v>173</v>
      </c>
    </row>
    <row r="25" spans="1:7" x14ac:dyDescent="0.25">
      <c r="D25" s="1"/>
      <c r="E25" s="1"/>
    </row>
    <row r="26" spans="1:7" x14ac:dyDescent="0.25">
      <c r="A26" s="4"/>
      <c r="B26" s="4"/>
      <c r="C26" s="4"/>
      <c r="D26" s="14">
        <f>SUM(D22:D24)</f>
        <v>629605</v>
      </c>
      <c r="E26" s="14">
        <f>SUM(E22:E24)</f>
        <v>644965</v>
      </c>
      <c r="F26" s="14">
        <f>SUM(F22:F24)</f>
        <v>659085</v>
      </c>
    </row>
    <row r="27" spans="1:7" x14ac:dyDescent="0.25">
      <c r="D27" s="1"/>
      <c r="E27" s="1"/>
    </row>
    <row r="28" spans="1:7" x14ac:dyDescent="0.25">
      <c r="A28" s="1" t="s">
        <v>18</v>
      </c>
      <c r="D28" s="1"/>
      <c r="E28" s="1"/>
    </row>
    <row r="29" spans="1:7" x14ac:dyDescent="0.25">
      <c r="A29" s="27" t="s">
        <v>19</v>
      </c>
      <c r="D29" s="8">
        <v>200</v>
      </c>
      <c r="E29" s="8">
        <v>200</v>
      </c>
      <c r="F29" s="8">
        <v>200</v>
      </c>
    </row>
    <row r="30" spans="1:7" x14ac:dyDescent="0.25">
      <c r="A30" s="31" t="s">
        <v>20</v>
      </c>
      <c r="B30" s="4"/>
      <c r="C30" s="4"/>
      <c r="D30" s="14">
        <f>+E30+'Résultats - Immo'!D25</f>
        <v>4320</v>
      </c>
      <c r="E30" s="14">
        <f>F30+'Résultats - Immo'!E25</f>
        <v>4296</v>
      </c>
      <c r="F30" s="14">
        <f>'Résultats - Immo'!F25</f>
        <v>4731</v>
      </c>
    </row>
    <row r="31" spans="1:7" x14ac:dyDescent="0.25">
      <c r="A31" s="4"/>
      <c r="B31" s="4"/>
      <c r="C31" s="4"/>
      <c r="D31" s="14">
        <f>+D29+D30</f>
        <v>4520</v>
      </c>
      <c r="E31" s="14">
        <f>+E29+E30</f>
        <v>4496</v>
      </c>
      <c r="F31" s="14">
        <f>+F29+F30</f>
        <v>4931</v>
      </c>
    </row>
    <row r="32" spans="1:7" ht="25.9" customHeight="1" thickBot="1" x14ac:dyDescent="0.3">
      <c r="A32" s="17"/>
      <c r="B32" s="17"/>
      <c r="C32" s="17"/>
      <c r="D32" s="19">
        <f>+D26+D31</f>
        <v>634125</v>
      </c>
      <c r="E32" s="19">
        <f>+E26+E31</f>
        <v>649461</v>
      </c>
      <c r="F32" s="19">
        <f>+F26+F31</f>
        <v>664016</v>
      </c>
    </row>
    <row r="34" spans="1:6" x14ac:dyDescent="0.25">
      <c r="D34" s="21"/>
      <c r="E34" s="21"/>
      <c r="F34" s="21"/>
    </row>
    <row r="36" spans="1:6" x14ac:dyDescent="0.25">
      <c r="F36" s="24" t="s">
        <v>129</v>
      </c>
    </row>
    <row r="37" spans="1:6" ht="6" customHeight="1" x14ac:dyDescent="0.25"/>
    <row r="38" spans="1:6" x14ac:dyDescent="0.25">
      <c r="C38" s="4"/>
      <c r="D38" s="4"/>
      <c r="E38" s="4"/>
      <c r="F38" s="25" t="s">
        <v>130</v>
      </c>
    </row>
    <row r="41" spans="1:6" x14ac:dyDescent="0.25">
      <c r="A41" t="s">
        <v>131</v>
      </c>
    </row>
  </sheetData>
  <pageMargins left="0.62992125984251968" right="0.51181102362204722" top="0.59055118110236227" bottom="0.74803149606299213" header="0.31496062992125984" footer="0.31496062992125984"/>
  <pageSetup paperSize="11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EDD33-65D6-45D4-95EE-5813824B40EA}">
  <sheetPr>
    <tabColor theme="0" tint="-0.249977111117893"/>
  </sheetPr>
  <dimension ref="B2:K23"/>
  <sheetViews>
    <sheetView workbookViewId="0">
      <selection activeCell="J5" sqref="J5"/>
    </sheetView>
  </sheetViews>
  <sheetFormatPr baseColWidth="10" defaultRowHeight="15" x14ac:dyDescent="0.25"/>
  <cols>
    <col min="5" max="6" width="13" bestFit="1" customWidth="1"/>
    <col min="7" max="7" width="13.7109375" bestFit="1" customWidth="1"/>
    <col min="9" max="9" width="13.7109375" bestFit="1" customWidth="1"/>
    <col min="10" max="10" width="14.85546875" bestFit="1" customWidth="1"/>
    <col min="11" max="11" width="18.5703125" bestFit="1" customWidth="1"/>
  </cols>
  <sheetData>
    <row r="2" spans="2:11" s="97" customFormat="1" x14ac:dyDescent="0.25">
      <c r="B2" s="97" t="s">
        <v>62</v>
      </c>
    </row>
    <row r="4" spans="2:11" x14ac:dyDescent="0.25">
      <c r="E4" s="45" t="s">
        <v>65</v>
      </c>
      <c r="F4" s="45" t="s">
        <v>66</v>
      </c>
      <c r="G4" s="45" t="s">
        <v>67</v>
      </c>
      <c r="H4" s="45"/>
      <c r="I4" s="45" t="s">
        <v>68</v>
      </c>
      <c r="J4" s="45" t="s">
        <v>69</v>
      </c>
      <c r="K4" s="28" t="s">
        <v>72</v>
      </c>
    </row>
    <row r="5" spans="2:11" x14ac:dyDescent="0.25">
      <c r="B5" t="s">
        <v>79</v>
      </c>
      <c r="E5" s="41">
        <v>0</v>
      </c>
      <c r="F5" s="41">
        <f>670000-F6</f>
        <v>402000</v>
      </c>
      <c r="G5" s="41">
        <f>SUM(E5:F5)</f>
        <v>402000</v>
      </c>
      <c r="H5" s="41"/>
      <c r="I5" s="41">
        <v>0</v>
      </c>
      <c r="J5" s="41">
        <f>ROUND(-G5*0.04*0.5,0)</f>
        <v>-8040</v>
      </c>
      <c r="K5" s="41">
        <f>SUM(I5:J5)</f>
        <v>-8040</v>
      </c>
    </row>
    <row r="6" spans="2:11" x14ac:dyDescent="0.25">
      <c r="B6" t="s">
        <v>117</v>
      </c>
      <c r="E6" s="41">
        <v>0</v>
      </c>
      <c r="F6" s="41">
        <f>ROUND(670000*(211400/527600),-3)</f>
        <v>268000</v>
      </c>
      <c r="G6" s="41">
        <f>SUM(E6:F6)</f>
        <v>268000</v>
      </c>
      <c r="H6" s="41"/>
      <c r="I6" s="41">
        <v>0</v>
      </c>
      <c r="J6" s="41">
        <v>0</v>
      </c>
      <c r="K6" s="41">
        <v>0</v>
      </c>
    </row>
    <row r="7" spans="2:11" x14ac:dyDescent="0.25">
      <c r="E7" s="41"/>
      <c r="F7" s="41"/>
      <c r="G7" s="41"/>
      <c r="H7" s="41"/>
      <c r="I7" s="41"/>
      <c r="J7" s="41"/>
      <c r="K7" s="41"/>
    </row>
    <row r="8" spans="2:11" ht="15.75" thickBot="1" x14ac:dyDescent="0.3">
      <c r="E8" s="41"/>
      <c r="F8" s="41"/>
      <c r="G8" s="44">
        <f>SUM(G5:G7)</f>
        <v>670000</v>
      </c>
      <c r="H8" s="41"/>
      <c r="I8" s="41"/>
      <c r="J8" s="44">
        <f>SUM(J5:J7)</f>
        <v>-8040</v>
      </c>
      <c r="K8" s="44">
        <f>SUM(K5:K7)</f>
        <v>-8040</v>
      </c>
    </row>
    <row r="9" spans="2:11" ht="15.75" thickTop="1" x14ac:dyDescent="0.25">
      <c r="E9" s="41"/>
      <c r="F9" s="41"/>
      <c r="G9" s="41"/>
      <c r="H9" s="41"/>
      <c r="I9" s="41"/>
      <c r="J9" s="41"/>
      <c r="K9" s="41"/>
    </row>
    <row r="10" spans="2:11" x14ac:dyDescent="0.25">
      <c r="E10" s="45" t="s">
        <v>65</v>
      </c>
      <c r="F10" s="45" t="s">
        <v>66</v>
      </c>
      <c r="G10" s="45" t="s">
        <v>70</v>
      </c>
      <c r="H10" s="45"/>
      <c r="I10" s="45" t="s">
        <v>68</v>
      </c>
      <c r="J10" s="45" t="s">
        <v>69</v>
      </c>
      <c r="K10" s="28" t="s">
        <v>71</v>
      </c>
    </row>
    <row r="11" spans="2:11" x14ac:dyDescent="0.25">
      <c r="B11" t="s">
        <v>79</v>
      </c>
      <c r="E11" s="41">
        <f>G5</f>
        <v>402000</v>
      </c>
      <c r="F11" s="41">
        <v>0</v>
      </c>
      <c r="G11" s="41">
        <f>SUM(E11:F11)</f>
        <v>402000</v>
      </c>
      <c r="H11" s="41"/>
      <c r="I11" s="41">
        <f>K5</f>
        <v>-8040</v>
      </c>
      <c r="J11" s="41">
        <f>ROUND((-G11-I11)*0.04,0)</f>
        <v>-15758</v>
      </c>
      <c r="K11" s="41">
        <f>SUM(I11:J11)</f>
        <v>-23798</v>
      </c>
    </row>
    <row r="12" spans="2:11" x14ac:dyDescent="0.25">
      <c r="B12" t="s">
        <v>117</v>
      </c>
      <c r="E12" s="41">
        <f>G6</f>
        <v>268000</v>
      </c>
      <c r="G12" s="41">
        <f>SUM(E12:E12)</f>
        <v>268000</v>
      </c>
      <c r="H12" s="41"/>
      <c r="I12" s="41">
        <v>0</v>
      </c>
      <c r="J12" s="41">
        <v>0</v>
      </c>
      <c r="K12" s="41">
        <v>0</v>
      </c>
    </row>
    <row r="13" spans="2:11" x14ac:dyDescent="0.25">
      <c r="E13" s="41"/>
      <c r="F13" s="41"/>
      <c r="G13" s="41"/>
      <c r="H13" s="41"/>
      <c r="I13" s="41"/>
      <c r="J13" s="41"/>
      <c r="K13" s="41"/>
    </row>
    <row r="14" spans="2:11" x14ac:dyDescent="0.25">
      <c r="E14" s="41"/>
      <c r="F14" s="41"/>
      <c r="G14" s="41"/>
      <c r="H14" s="41"/>
      <c r="I14" s="41"/>
      <c r="J14" s="41"/>
      <c r="K14" s="41"/>
    </row>
    <row r="15" spans="2:11" ht="15.75" thickBot="1" x14ac:dyDescent="0.3">
      <c r="G15" s="44">
        <f>SUM(G11:G14)</f>
        <v>670000</v>
      </c>
      <c r="H15" s="41"/>
      <c r="I15" s="41"/>
      <c r="J15" s="44">
        <f>SUM(J11:J14)</f>
        <v>-15758</v>
      </c>
      <c r="K15" s="44">
        <f>SUM(K11:K14)</f>
        <v>-23798</v>
      </c>
    </row>
    <row r="16" spans="2:11" ht="15.75" thickTop="1" x14ac:dyDescent="0.25">
      <c r="E16" s="41"/>
      <c r="F16" s="41"/>
      <c r="G16" s="41"/>
      <c r="H16" s="41"/>
      <c r="I16" s="41"/>
      <c r="J16" s="41"/>
      <c r="K16" s="41"/>
    </row>
    <row r="17" spans="2:11" x14ac:dyDescent="0.25">
      <c r="E17" s="45" t="s">
        <v>65</v>
      </c>
      <c r="F17" s="45" t="s">
        <v>66</v>
      </c>
      <c r="G17" s="45" t="s">
        <v>120</v>
      </c>
      <c r="H17" s="45"/>
      <c r="I17" s="45" t="s">
        <v>68</v>
      </c>
      <c r="J17" s="45" t="s">
        <v>69</v>
      </c>
      <c r="K17" s="28" t="s">
        <v>121</v>
      </c>
    </row>
    <row r="18" spans="2:11" x14ac:dyDescent="0.25">
      <c r="B18" t="s">
        <v>79</v>
      </c>
      <c r="E18" s="41">
        <f>G11</f>
        <v>402000</v>
      </c>
      <c r="F18" s="41">
        <v>0</v>
      </c>
      <c r="G18" s="41">
        <f>SUM(E18:F18)</f>
        <v>402000</v>
      </c>
      <c r="H18" s="41"/>
      <c r="I18" s="41">
        <f>K11</f>
        <v>-23798</v>
      </c>
      <c r="J18" s="41">
        <f>ROUND((-G18-I18)*0.04,0)</f>
        <v>-15128</v>
      </c>
      <c r="K18" s="41">
        <f>SUM(I18:J18)</f>
        <v>-38926</v>
      </c>
    </row>
    <row r="19" spans="2:11" x14ac:dyDescent="0.25">
      <c r="B19" t="s">
        <v>117</v>
      </c>
      <c r="E19" s="41">
        <f>G12</f>
        <v>268000</v>
      </c>
      <c r="G19" s="41">
        <f>SUM(E19:E19)</f>
        <v>268000</v>
      </c>
      <c r="H19" s="41"/>
      <c r="I19" s="41">
        <v>0</v>
      </c>
      <c r="J19" s="41">
        <v>0</v>
      </c>
      <c r="K19" s="41">
        <v>0</v>
      </c>
    </row>
    <row r="20" spans="2:11" x14ac:dyDescent="0.25">
      <c r="E20" s="41"/>
      <c r="F20" s="41"/>
      <c r="G20" s="41"/>
      <c r="H20" s="41"/>
      <c r="I20" s="41"/>
      <c r="J20" s="41"/>
      <c r="K20" s="41"/>
    </row>
    <row r="21" spans="2:11" x14ac:dyDescent="0.25">
      <c r="E21" s="41"/>
      <c r="F21" s="41"/>
      <c r="G21" s="41"/>
      <c r="H21" s="41"/>
      <c r="I21" s="41"/>
      <c r="J21" s="41"/>
      <c r="K21" s="41"/>
    </row>
    <row r="22" spans="2:11" ht="15.75" thickBot="1" x14ac:dyDescent="0.3">
      <c r="G22" s="44">
        <f>SUM(G18:G21)</f>
        <v>670000</v>
      </c>
      <c r="H22" s="41"/>
      <c r="I22" s="41"/>
      <c r="J22" s="44">
        <f>SUM(J18:J21)</f>
        <v>-15128</v>
      </c>
      <c r="K22" s="44">
        <f>SUM(K18:K21)</f>
        <v>-38926</v>
      </c>
    </row>
    <row r="23" spans="2:11" ht="15.75" thickTop="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FE9C-D2BF-4C29-A3F1-AA20E23848A1}">
  <sheetPr>
    <tabColor theme="0" tint="-0.249977111117893"/>
    <pageSetUpPr fitToPage="1"/>
  </sheetPr>
  <dimension ref="A1:M124"/>
  <sheetViews>
    <sheetView workbookViewId="0">
      <selection activeCell="L29" sqref="L29"/>
    </sheetView>
  </sheetViews>
  <sheetFormatPr baseColWidth="10" defaultRowHeight="15" outlineLevelRow="2" outlineLevelCol="1" x14ac:dyDescent="0.25"/>
  <cols>
    <col min="1" max="1" width="18.85546875" customWidth="1"/>
    <col min="2" max="2" width="3.28515625" customWidth="1"/>
    <col min="3" max="3" width="14.85546875" customWidth="1"/>
    <col min="4" max="4" width="2.7109375" customWidth="1"/>
    <col min="5" max="5" width="16.7109375" customWidth="1"/>
    <col min="6" max="6" width="18.7109375" customWidth="1"/>
    <col min="7" max="7" width="15.28515625" customWidth="1"/>
    <col min="8" max="8" width="15.42578125" customWidth="1"/>
    <col min="9" max="9" width="14.85546875" customWidth="1"/>
    <col min="10" max="10" width="12.7109375" customWidth="1"/>
    <col min="11" max="11" width="23.7109375" hidden="1" customWidth="1" outlineLevel="1"/>
    <col min="12" max="12" width="11.42578125" collapsed="1"/>
  </cols>
  <sheetData>
    <row r="1" spans="1:11" ht="18.75" x14ac:dyDescent="0.25">
      <c r="A1" s="84" t="str">
        <f>'Bilan - Immo'!A2</f>
        <v>SOCIÉTÉ IMMOBILIÈRE (BÂTIMENT CLINIQUE VÉTÉRINAIRE VALLEYFIELD INC.)</v>
      </c>
      <c r="B1" s="84"/>
      <c r="C1" s="83"/>
      <c r="D1" s="82"/>
      <c r="E1" s="81"/>
      <c r="F1" s="81"/>
      <c r="G1" s="81"/>
      <c r="H1" s="81"/>
      <c r="I1" s="81"/>
    </row>
    <row r="2" spans="1:11" ht="19.5" thickBot="1" x14ac:dyDescent="0.3">
      <c r="A2" s="106">
        <v>45292</v>
      </c>
      <c r="B2" s="106"/>
      <c r="C2" s="106"/>
      <c r="D2" s="106"/>
      <c r="E2" s="106"/>
      <c r="F2" s="80"/>
      <c r="G2" s="80"/>
      <c r="H2" s="80"/>
      <c r="I2" s="80"/>
    </row>
    <row r="4" spans="1:11" ht="15.75" x14ac:dyDescent="0.25">
      <c r="A4" s="79" t="s">
        <v>115</v>
      </c>
      <c r="C4" s="79"/>
      <c r="D4" s="79"/>
      <c r="H4" s="78" t="s">
        <v>114</v>
      </c>
      <c r="I4" s="77"/>
    </row>
    <row r="6" spans="1:11" x14ac:dyDescent="0.25">
      <c r="A6" s="60" t="s">
        <v>113</v>
      </c>
      <c r="B6" s="59"/>
      <c r="C6" s="59"/>
      <c r="D6" s="59"/>
      <c r="E6" s="59"/>
      <c r="F6" s="59"/>
      <c r="G6" s="59"/>
      <c r="H6" s="59"/>
      <c r="I6" s="59"/>
    </row>
    <row r="7" spans="1:11" x14ac:dyDescent="0.25">
      <c r="K7" t="s">
        <v>101</v>
      </c>
    </row>
    <row r="8" spans="1:11" x14ac:dyDescent="0.25">
      <c r="A8" s="1" t="s">
        <v>112</v>
      </c>
      <c r="B8" s="41"/>
      <c r="C8" s="72"/>
      <c r="D8" s="41"/>
      <c r="E8" s="41"/>
      <c r="F8" s="41"/>
      <c r="G8" s="41"/>
      <c r="H8" s="41"/>
      <c r="I8" s="41"/>
      <c r="J8" s="41"/>
      <c r="K8" t="s">
        <v>111</v>
      </c>
    </row>
    <row r="9" spans="1:11" x14ac:dyDescent="0.25">
      <c r="B9" s="41"/>
      <c r="C9" s="41"/>
      <c r="D9" s="41"/>
      <c r="E9" s="71" t="str" cm="1">
        <f t="array" ref="E9">_xlfn.SWITCH(C10,"Fixe","Taux","Variable","TP","Variable BDC","TB")</f>
        <v>TP</v>
      </c>
      <c r="F9" s="71" t="str">
        <f>IF($C$10="Fixe","","+/- prime")</f>
        <v>+/- prime</v>
      </c>
      <c r="G9" s="41"/>
      <c r="H9" s="41"/>
      <c r="I9" s="41"/>
      <c r="J9" s="41"/>
      <c r="K9" s="41" t="s">
        <v>110</v>
      </c>
    </row>
    <row r="10" spans="1:11" x14ac:dyDescent="0.25">
      <c r="A10" s="1" t="s">
        <v>60</v>
      </c>
      <c r="B10" s="41"/>
      <c r="C10" s="76" t="s">
        <v>110</v>
      </c>
      <c r="D10" s="75"/>
      <c r="E10" s="74">
        <v>4.9500000000000002E-2</v>
      </c>
      <c r="F10" s="74"/>
      <c r="G10" s="89"/>
      <c r="H10" s="41"/>
      <c r="I10" s="41"/>
      <c r="J10" s="41"/>
      <c r="K10" s="41" t="s">
        <v>109</v>
      </c>
    </row>
    <row r="11" spans="1:11" x14ac:dyDescent="0.25">
      <c r="B11" s="41"/>
      <c r="E11" s="71"/>
      <c r="F11" s="71"/>
      <c r="G11" s="41"/>
      <c r="H11" s="41"/>
      <c r="I11" s="41"/>
      <c r="J11" s="41"/>
      <c r="K11" s="41"/>
    </row>
    <row r="12" spans="1:11" ht="15" customHeight="1" x14ac:dyDescent="0.25">
      <c r="A12" s="1" t="s">
        <v>84</v>
      </c>
      <c r="B12" s="41"/>
      <c r="C12" s="73" t="s">
        <v>107</v>
      </c>
      <c r="D12" s="52"/>
      <c r="E12" s="72">
        <v>3897.26</v>
      </c>
      <c r="F12" s="2" t="s">
        <v>108</v>
      </c>
      <c r="G12" s="41"/>
      <c r="H12" s="41"/>
      <c r="I12" s="41"/>
      <c r="J12" s="41"/>
      <c r="K12" t="s">
        <v>101</v>
      </c>
    </row>
    <row r="13" spans="1:11" x14ac:dyDescent="0.25">
      <c r="B13" s="41"/>
      <c r="D13" s="41"/>
      <c r="E13" s="41"/>
      <c r="F13" s="41"/>
      <c r="G13" s="41"/>
      <c r="H13" s="41"/>
      <c r="I13" s="41"/>
      <c r="J13" s="41"/>
      <c r="K13" s="41" t="s">
        <v>107</v>
      </c>
    </row>
    <row r="14" spans="1:11" x14ac:dyDescent="0.25">
      <c r="B14" s="41"/>
      <c r="D14" s="41"/>
      <c r="E14" s="43" t="s">
        <v>106</v>
      </c>
      <c r="F14" s="41"/>
      <c r="G14" s="41"/>
      <c r="H14" s="41"/>
      <c r="I14" s="41"/>
      <c r="J14" s="41"/>
      <c r="K14" s="41" t="s">
        <v>105</v>
      </c>
    </row>
    <row r="15" spans="1:11" x14ac:dyDescent="0.25">
      <c r="A15" s="1" t="s">
        <v>104</v>
      </c>
      <c r="B15" s="41"/>
      <c r="C15" s="2" t="s">
        <v>99</v>
      </c>
      <c r="D15" s="41"/>
      <c r="E15" s="107"/>
      <c r="F15" s="107"/>
      <c r="G15" s="107"/>
      <c r="H15" s="107"/>
      <c r="I15" s="107"/>
      <c r="J15" s="41"/>
    </row>
    <row r="16" spans="1:11" x14ac:dyDescent="0.25">
      <c r="A16" s="1" t="s">
        <v>103</v>
      </c>
      <c r="B16" s="41"/>
      <c r="C16" s="2" t="s">
        <v>99</v>
      </c>
      <c r="D16" s="41"/>
      <c r="E16" s="107"/>
      <c r="F16" s="107"/>
      <c r="G16" s="107"/>
      <c r="H16" s="107"/>
      <c r="I16" s="107"/>
      <c r="J16" s="41"/>
      <c r="K16" t="s">
        <v>101</v>
      </c>
    </row>
    <row r="17" spans="1:13" x14ac:dyDescent="0.25">
      <c r="A17" s="1" t="s">
        <v>102</v>
      </c>
      <c r="B17" s="41"/>
      <c r="C17" s="2" t="s">
        <v>99</v>
      </c>
      <c r="D17" s="41"/>
      <c r="E17" s="107"/>
      <c r="F17" s="107"/>
      <c r="G17" s="107"/>
      <c r="H17" s="107"/>
      <c r="I17" s="107"/>
      <c r="J17" s="41"/>
      <c r="K17" s="41" t="s">
        <v>100</v>
      </c>
    </row>
    <row r="18" spans="1:13" x14ac:dyDescent="0.25">
      <c r="B18" s="41"/>
      <c r="C18" s="41"/>
      <c r="D18" s="41"/>
      <c r="E18" s="41"/>
      <c r="F18" s="41"/>
      <c r="G18" s="41"/>
      <c r="H18" s="41"/>
      <c r="I18" s="41"/>
      <c r="J18" s="41"/>
      <c r="K18" s="41" t="s">
        <v>99</v>
      </c>
    </row>
    <row r="19" spans="1:13" x14ac:dyDescent="0.25">
      <c r="A19" s="60" t="s">
        <v>98</v>
      </c>
      <c r="B19" s="59"/>
      <c r="C19" s="59"/>
      <c r="D19" s="59"/>
      <c r="E19" s="59"/>
      <c r="F19" s="59"/>
      <c r="G19" s="59"/>
      <c r="H19" s="59"/>
      <c r="I19" s="59"/>
      <c r="J19" s="41"/>
      <c r="K19" s="41"/>
    </row>
    <row r="20" spans="1:13" x14ac:dyDescent="0.25">
      <c r="A20" s="70"/>
      <c r="B20" s="70"/>
      <c r="C20" s="70"/>
      <c r="D20" s="70"/>
      <c r="E20" s="70"/>
      <c r="F20" s="70"/>
      <c r="G20" s="70"/>
      <c r="H20" s="70"/>
      <c r="I20" s="70"/>
      <c r="J20" s="52"/>
      <c r="K20" s="52"/>
    </row>
    <row r="21" spans="1:13" x14ac:dyDescent="0.25">
      <c r="A21" s="1" t="s">
        <v>97</v>
      </c>
      <c r="B21" s="41"/>
      <c r="C21" s="69"/>
      <c r="D21" s="41"/>
      <c r="E21" s="41"/>
      <c r="F21" s="68" t="s">
        <v>96</v>
      </c>
      <c r="G21" s="67"/>
      <c r="H21" s="67"/>
      <c r="I21" s="66"/>
      <c r="J21" s="41"/>
      <c r="K21" s="41"/>
      <c r="M21" s="95"/>
    </row>
    <row r="22" spans="1:13" ht="14.45" customHeight="1" x14ac:dyDescent="0.25">
      <c r="A22" t="s">
        <v>95</v>
      </c>
      <c r="C22" s="57"/>
      <c r="D22" s="52"/>
      <c r="E22" s="65" t="s">
        <v>94</v>
      </c>
      <c r="F22" s="114"/>
      <c r="G22" s="115"/>
      <c r="H22" s="115"/>
      <c r="I22" s="116"/>
      <c r="J22" s="41"/>
      <c r="K22" s="41"/>
    </row>
    <row r="23" spans="1:13" x14ac:dyDescent="0.25">
      <c r="A23" t="s">
        <v>93</v>
      </c>
      <c r="C23" s="49">
        <f>+J43</f>
        <v>656084.99903505889</v>
      </c>
      <c r="D23" s="52"/>
      <c r="E23" s="41"/>
      <c r="F23" s="114"/>
      <c r="G23" s="115"/>
      <c r="H23" s="115"/>
      <c r="I23" s="116"/>
      <c r="J23" s="41"/>
      <c r="K23" s="41"/>
    </row>
    <row r="24" spans="1:13" x14ac:dyDescent="0.25">
      <c r="A24" s="11" t="s">
        <v>92</v>
      </c>
      <c r="B24" s="11"/>
      <c r="C24" s="64">
        <f>ROUND(C22-C23,2)</f>
        <v>-656085</v>
      </c>
      <c r="D24" s="63"/>
      <c r="E24" s="41"/>
      <c r="F24" s="117"/>
      <c r="G24" s="118"/>
      <c r="H24" s="118"/>
      <c r="I24" s="119"/>
      <c r="J24" s="41"/>
      <c r="K24" s="41"/>
    </row>
    <row r="25" spans="1:13" x14ac:dyDescent="0.25">
      <c r="B25" s="41"/>
      <c r="C25" s="41"/>
      <c r="D25" s="41"/>
      <c r="E25" s="41"/>
      <c r="F25" s="41"/>
      <c r="G25" s="41"/>
      <c r="H25" s="41"/>
      <c r="I25" s="41"/>
      <c r="J25" s="41"/>
      <c r="K25" s="41"/>
    </row>
    <row r="26" spans="1:13" x14ac:dyDescent="0.25">
      <c r="A26" t="s">
        <v>91</v>
      </c>
      <c r="B26" s="41"/>
      <c r="C26" s="62">
        <f>+I60</f>
        <v>14619.637372118057</v>
      </c>
      <c r="D26" s="41"/>
      <c r="E26" s="61" t="s">
        <v>90</v>
      </c>
      <c r="F26" s="41"/>
      <c r="G26" s="41"/>
      <c r="H26" s="41"/>
      <c r="I26" s="41"/>
      <c r="J26" s="41"/>
      <c r="K26" s="41"/>
    </row>
    <row r="27" spans="1:13" x14ac:dyDescent="0.25">
      <c r="B27" s="41"/>
      <c r="C27" s="41"/>
      <c r="D27" s="41"/>
      <c r="E27" s="41"/>
      <c r="F27" s="41"/>
      <c r="G27" s="41"/>
      <c r="H27" s="41"/>
      <c r="I27" s="41"/>
      <c r="J27" s="41"/>
      <c r="K27" s="41"/>
    </row>
    <row r="28" spans="1:13" x14ac:dyDescent="0.25">
      <c r="A28" s="60" t="s">
        <v>89</v>
      </c>
      <c r="B28" s="59"/>
      <c r="C28" s="59"/>
      <c r="D28" s="59"/>
      <c r="E28" s="59"/>
      <c r="F28" s="59"/>
      <c r="G28" s="59"/>
      <c r="H28" s="59"/>
      <c r="I28" s="59"/>
      <c r="J28" s="59"/>
      <c r="K28" s="41"/>
    </row>
    <row r="29" spans="1:13" x14ac:dyDescent="0.25">
      <c r="B29" s="41"/>
      <c r="C29" s="54" t="s">
        <v>87</v>
      </c>
      <c r="D29" s="54"/>
      <c r="E29" s="54" t="s">
        <v>86</v>
      </c>
      <c r="F29" s="54" t="s">
        <v>85</v>
      </c>
      <c r="G29" s="54" t="s">
        <v>84</v>
      </c>
      <c r="H29" s="54" t="s">
        <v>83</v>
      </c>
      <c r="I29" s="54" t="s">
        <v>82</v>
      </c>
      <c r="J29" s="54" t="s">
        <v>81</v>
      </c>
      <c r="K29" s="41"/>
      <c r="L29" s="41"/>
    </row>
    <row r="30" spans="1:13" outlineLevel="1" x14ac:dyDescent="0.25">
      <c r="A30" s="45">
        <v>2024</v>
      </c>
      <c r="B30" s="1"/>
      <c r="K30" s="41"/>
      <c r="L30" s="41"/>
    </row>
    <row r="31" spans="1:13" outlineLevel="1" x14ac:dyDescent="0.25">
      <c r="A31" s="51">
        <f>EDATE($A$2,-12)+1</f>
        <v>44928</v>
      </c>
      <c r="B31" s="53">
        <v>1</v>
      </c>
      <c r="C31" s="50">
        <f>SUM($E$10:$F$10)</f>
        <v>4.9500000000000002E-2</v>
      </c>
      <c r="D31" s="58" t="s">
        <v>88</v>
      </c>
      <c r="E31" s="57">
        <v>670000</v>
      </c>
      <c r="F31" s="52"/>
      <c r="G31" s="41">
        <f t="shared" ref="G31:G42" si="0">MIN(IF($C$12="Capital seulement",I31+H31,$E$12),E31+F31)</f>
        <v>3897.26</v>
      </c>
      <c r="H31" s="41">
        <f>(E31+F31)*C31/12</f>
        <v>2763.75</v>
      </c>
      <c r="I31" s="41">
        <f t="shared" ref="I31:I42" si="1">MIN(IF($C$12="Capital seulement",$E$12,G31-H31),E31+F31)</f>
        <v>1133.5100000000002</v>
      </c>
      <c r="J31" s="41">
        <f t="shared" ref="J31:J43" si="2">MAX(E31-I31+F31,0)</f>
        <v>668866.49</v>
      </c>
      <c r="K31" s="41"/>
      <c r="L31" s="41"/>
    </row>
    <row r="32" spans="1:13" outlineLevel="1" x14ac:dyDescent="0.25">
      <c r="A32" s="51">
        <f t="shared" ref="A32:A42" si="3">EDATE(A31,1)</f>
        <v>44959</v>
      </c>
      <c r="B32" s="53">
        <v>2</v>
      </c>
      <c r="C32" s="50">
        <f t="shared" ref="C32:C42" si="4">SUM($E$10:$F$10)</f>
        <v>4.9500000000000002E-2</v>
      </c>
      <c r="D32" s="50"/>
      <c r="E32" s="41">
        <f t="shared" ref="E32:E43" si="5">+J31</f>
        <v>668866.49</v>
      </c>
      <c r="F32" s="52">
        <v>0</v>
      </c>
      <c r="G32" s="41">
        <f t="shared" si="0"/>
        <v>3897.26</v>
      </c>
      <c r="H32" s="41">
        <f t="shared" ref="H32:H42" si="6">(E32+F32)*C32/12</f>
        <v>2759.07427125</v>
      </c>
      <c r="I32" s="41">
        <f t="shared" si="1"/>
        <v>1138.1857287500002</v>
      </c>
      <c r="J32" s="41">
        <f t="shared" si="2"/>
        <v>667728.30427125003</v>
      </c>
      <c r="K32" s="41"/>
      <c r="L32" s="41"/>
    </row>
    <row r="33" spans="1:12" outlineLevel="1" x14ac:dyDescent="0.25">
      <c r="A33" s="51">
        <f t="shared" si="3"/>
        <v>44987</v>
      </c>
      <c r="B33" s="53">
        <v>3</v>
      </c>
      <c r="C33" s="50">
        <f t="shared" si="4"/>
        <v>4.9500000000000002E-2</v>
      </c>
      <c r="D33" s="50"/>
      <c r="E33" s="41">
        <f t="shared" si="5"/>
        <v>667728.30427125003</v>
      </c>
      <c r="F33" s="52">
        <v>0</v>
      </c>
      <c r="G33" s="41">
        <f t="shared" si="0"/>
        <v>3897.26</v>
      </c>
      <c r="H33" s="41">
        <f t="shared" si="6"/>
        <v>2754.3792551189067</v>
      </c>
      <c r="I33" s="41">
        <f t="shared" si="1"/>
        <v>1142.8807448810935</v>
      </c>
      <c r="J33" s="41">
        <f t="shared" si="2"/>
        <v>666585.42352636892</v>
      </c>
      <c r="K33" s="41"/>
      <c r="L33" s="41"/>
    </row>
    <row r="34" spans="1:12" outlineLevel="1" x14ac:dyDescent="0.25">
      <c r="A34" s="51">
        <f t="shared" si="3"/>
        <v>45018</v>
      </c>
      <c r="B34" s="53">
        <v>4</v>
      </c>
      <c r="C34" s="50">
        <f t="shared" si="4"/>
        <v>4.9500000000000002E-2</v>
      </c>
      <c r="D34" s="50"/>
      <c r="E34" s="41">
        <f t="shared" si="5"/>
        <v>666585.42352636892</v>
      </c>
      <c r="F34" s="52">
        <v>0</v>
      </c>
      <c r="G34" s="41">
        <f t="shared" si="0"/>
        <v>3897.26</v>
      </c>
      <c r="H34" s="41">
        <f t="shared" si="6"/>
        <v>2749.6648720462722</v>
      </c>
      <c r="I34" s="41">
        <f t="shared" si="1"/>
        <v>1147.595127953728</v>
      </c>
      <c r="J34" s="41">
        <f t="shared" si="2"/>
        <v>665437.82839841524</v>
      </c>
      <c r="K34" s="41"/>
      <c r="L34" s="41"/>
    </row>
    <row r="35" spans="1:12" outlineLevel="1" x14ac:dyDescent="0.25">
      <c r="A35" s="51">
        <f t="shared" si="3"/>
        <v>45048</v>
      </c>
      <c r="B35" s="53">
        <v>5</v>
      </c>
      <c r="C35" s="50">
        <f t="shared" si="4"/>
        <v>4.9500000000000002E-2</v>
      </c>
      <c r="D35" s="50"/>
      <c r="E35" s="41">
        <f t="shared" si="5"/>
        <v>665437.82839841524</v>
      </c>
      <c r="F35" s="52">
        <v>0</v>
      </c>
      <c r="G35" s="41">
        <f t="shared" si="0"/>
        <v>3897.26</v>
      </c>
      <c r="H35" s="41">
        <f t="shared" si="6"/>
        <v>2744.9310421434634</v>
      </c>
      <c r="I35" s="41">
        <f t="shared" si="1"/>
        <v>1152.3289578565368</v>
      </c>
      <c r="J35" s="41">
        <f t="shared" si="2"/>
        <v>664285.49944055872</v>
      </c>
      <c r="K35" s="41"/>
      <c r="L35" s="56"/>
    </row>
    <row r="36" spans="1:12" outlineLevel="1" x14ac:dyDescent="0.25">
      <c r="A36" s="51">
        <f t="shared" si="3"/>
        <v>45079</v>
      </c>
      <c r="B36" s="53">
        <v>6</v>
      </c>
      <c r="C36" s="50">
        <f t="shared" si="4"/>
        <v>4.9500000000000002E-2</v>
      </c>
      <c r="D36" s="50"/>
      <c r="E36" s="41">
        <f t="shared" si="5"/>
        <v>664285.49944055872</v>
      </c>
      <c r="F36" s="52">
        <v>0</v>
      </c>
      <c r="G36" s="41">
        <f t="shared" si="0"/>
        <v>3897.26</v>
      </c>
      <c r="H36" s="41">
        <f t="shared" si="6"/>
        <v>2740.1776851923046</v>
      </c>
      <c r="I36" s="41">
        <f t="shared" si="1"/>
        <v>1157.0823148076956</v>
      </c>
      <c r="J36" s="41">
        <f t="shared" si="2"/>
        <v>663128.41712575103</v>
      </c>
      <c r="K36" s="41"/>
      <c r="L36" s="41"/>
    </row>
    <row r="37" spans="1:12" outlineLevel="1" x14ac:dyDescent="0.25">
      <c r="A37" s="51">
        <f t="shared" si="3"/>
        <v>45109</v>
      </c>
      <c r="B37" s="53">
        <v>7</v>
      </c>
      <c r="C37" s="50">
        <f t="shared" si="4"/>
        <v>4.9500000000000002E-2</v>
      </c>
      <c r="D37" s="50"/>
      <c r="E37" s="41">
        <f t="shared" si="5"/>
        <v>663128.41712575103</v>
      </c>
      <c r="F37" s="52">
        <v>0</v>
      </c>
      <c r="G37" s="41">
        <f t="shared" si="0"/>
        <v>3897.26</v>
      </c>
      <c r="H37" s="41">
        <f t="shared" si="6"/>
        <v>2735.4047206437231</v>
      </c>
      <c r="I37" s="41">
        <f t="shared" si="1"/>
        <v>1161.8552793562772</v>
      </c>
      <c r="J37" s="41">
        <f t="shared" si="2"/>
        <v>661966.56184639479</v>
      </c>
      <c r="K37" s="41"/>
      <c r="L37" s="41"/>
    </row>
    <row r="38" spans="1:12" outlineLevel="1" x14ac:dyDescent="0.25">
      <c r="A38" s="51">
        <f t="shared" si="3"/>
        <v>45140</v>
      </c>
      <c r="B38" s="53">
        <v>8</v>
      </c>
      <c r="C38" s="50">
        <f t="shared" si="4"/>
        <v>4.9500000000000002E-2</v>
      </c>
      <c r="D38" s="50"/>
      <c r="E38" s="41">
        <f t="shared" si="5"/>
        <v>661966.56184639479</v>
      </c>
      <c r="F38" s="52">
        <v>0</v>
      </c>
      <c r="G38" s="41">
        <f t="shared" si="0"/>
        <v>3897.26</v>
      </c>
      <c r="H38" s="41">
        <f t="shared" si="6"/>
        <v>2730.6120676163787</v>
      </c>
      <c r="I38" s="41">
        <f t="shared" si="1"/>
        <v>1166.6479323836215</v>
      </c>
      <c r="J38" s="41">
        <f t="shared" si="2"/>
        <v>660799.91391401121</v>
      </c>
      <c r="K38" s="41"/>
      <c r="L38" s="41"/>
    </row>
    <row r="39" spans="1:12" outlineLevel="1" x14ac:dyDescent="0.25">
      <c r="A39" s="51">
        <f t="shared" si="3"/>
        <v>45171</v>
      </c>
      <c r="B39" s="53">
        <v>9</v>
      </c>
      <c r="C39" s="50">
        <f t="shared" si="4"/>
        <v>4.9500000000000002E-2</v>
      </c>
      <c r="D39" s="50"/>
      <c r="E39" s="41">
        <f t="shared" si="5"/>
        <v>660799.91391401121</v>
      </c>
      <c r="F39" s="52">
        <v>0</v>
      </c>
      <c r="G39" s="41">
        <f t="shared" si="0"/>
        <v>3897.26</v>
      </c>
      <c r="H39" s="41">
        <f t="shared" si="6"/>
        <v>2725.7996448952963</v>
      </c>
      <c r="I39" s="41">
        <f t="shared" si="1"/>
        <v>1171.4603551047039</v>
      </c>
      <c r="J39" s="41">
        <f t="shared" si="2"/>
        <v>659628.45355890645</v>
      </c>
      <c r="K39" s="41"/>
      <c r="L39" s="41"/>
    </row>
    <row r="40" spans="1:12" outlineLevel="1" x14ac:dyDescent="0.25">
      <c r="A40" s="51">
        <f t="shared" si="3"/>
        <v>45201</v>
      </c>
      <c r="B40" s="53">
        <v>10</v>
      </c>
      <c r="C40" s="50">
        <f t="shared" si="4"/>
        <v>4.9500000000000002E-2</v>
      </c>
      <c r="D40" s="50"/>
      <c r="E40" s="41">
        <f t="shared" si="5"/>
        <v>659628.45355890645</v>
      </c>
      <c r="F40" s="52">
        <v>0</v>
      </c>
      <c r="G40" s="41">
        <f t="shared" si="0"/>
        <v>3897.26</v>
      </c>
      <c r="H40" s="41">
        <f t="shared" si="6"/>
        <v>2720.9673709304893</v>
      </c>
      <c r="I40" s="41">
        <f t="shared" si="1"/>
        <v>1176.2926290695109</v>
      </c>
      <c r="J40" s="41">
        <f t="shared" si="2"/>
        <v>658452.16092983691</v>
      </c>
      <c r="K40" s="41"/>
      <c r="L40" s="41"/>
    </row>
    <row r="41" spans="1:12" outlineLevel="1" x14ac:dyDescent="0.25">
      <c r="A41" s="51">
        <f t="shared" si="3"/>
        <v>45232</v>
      </c>
      <c r="B41" s="53">
        <v>11</v>
      </c>
      <c r="C41" s="50">
        <f t="shared" si="4"/>
        <v>4.9500000000000002E-2</v>
      </c>
      <c r="D41" s="50"/>
      <c r="E41" s="41">
        <f t="shared" si="5"/>
        <v>658452.16092983691</v>
      </c>
      <c r="F41" s="52">
        <v>0</v>
      </c>
      <c r="G41" s="41">
        <f t="shared" si="0"/>
        <v>3897.26</v>
      </c>
      <c r="H41" s="41">
        <f t="shared" si="6"/>
        <v>2716.1151638355773</v>
      </c>
      <c r="I41" s="41">
        <f t="shared" si="1"/>
        <v>1181.1448361644229</v>
      </c>
      <c r="J41" s="41">
        <f t="shared" si="2"/>
        <v>657271.01609367249</v>
      </c>
    </row>
    <row r="42" spans="1:12" outlineLevel="1" x14ac:dyDescent="0.25">
      <c r="A42" s="51">
        <f t="shared" si="3"/>
        <v>45262</v>
      </c>
      <c r="B42" s="53">
        <v>12</v>
      </c>
      <c r="C42" s="50">
        <f t="shared" si="4"/>
        <v>4.9500000000000002E-2</v>
      </c>
      <c r="D42" s="50"/>
      <c r="E42" s="41">
        <f t="shared" si="5"/>
        <v>657271.01609367249</v>
      </c>
      <c r="F42" s="52">
        <v>0</v>
      </c>
      <c r="G42" s="41">
        <f t="shared" si="0"/>
        <v>3897.26</v>
      </c>
      <c r="H42" s="41">
        <f t="shared" si="6"/>
        <v>2711.2429413863993</v>
      </c>
      <c r="I42" s="41">
        <f t="shared" si="1"/>
        <v>1186.017058613601</v>
      </c>
      <c r="J42" s="41">
        <f t="shared" si="2"/>
        <v>656084.99903505889</v>
      </c>
    </row>
    <row r="43" spans="1:12" outlineLevel="1" x14ac:dyDescent="0.25">
      <c r="A43" s="51" t="s">
        <v>80</v>
      </c>
      <c r="C43" s="50"/>
      <c r="D43" s="50"/>
      <c r="E43" s="41">
        <f t="shared" si="5"/>
        <v>656084.99903505889</v>
      </c>
      <c r="F43" s="52"/>
      <c r="G43" s="49">
        <f>MIN(IF($C$12="Capital seulement",I43+H43,$E$12),E43)</f>
        <v>3897.26</v>
      </c>
      <c r="H43" s="49">
        <f>-I43</f>
        <v>0</v>
      </c>
      <c r="I43" s="41"/>
      <c r="J43" s="41">
        <f t="shared" si="2"/>
        <v>656084.99903505889</v>
      </c>
    </row>
    <row r="44" spans="1:12" x14ac:dyDescent="0.25">
      <c r="A44" s="48" t="str">
        <f>CONCATENATE("Total exercice ",A30)</f>
        <v>Total exercice 2024</v>
      </c>
      <c r="B44" s="10"/>
      <c r="C44" s="10"/>
      <c r="D44" s="10"/>
      <c r="E44" s="10"/>
      <c r="F44" s="10"/>
      <c r="G44" s="47">
        <f>SUM(G31:G43)</f>
        <v>50664.380000000019</v>
      </c>
      <c r="H44" s="47">
        <f>SUM(H31:H43)</f>
        <v>32852.119035058815</v>
      </c>
      <c r="I44" s="47">
        <f>SUM(I31:I43)</f>
        <v>13915.000964941191</v>
      </c>
      <c r="J44" s="47">
        <f>+J43</f>
        <v>656084.99903505889</v>
      </c>
    </row>
    <row r="45" spans="1:12" x14ac:dyDescent="0.25">
      <c r="A45" s="55"/>
      <c r="J45" s="41"/>
    </row>
    <row r="46" spans="1:12" outlineLevel="1" x14ac:dyDescent="0.25">
      <c r="A46" s="45">
        <f>+A30+1</f>
        <v>2025</v>
      </c>
      <c r="B46" s="1"/>
      <c r="C46" s="54" t="s">
        <v>87</v>
      </c>
      <c r="D46" s="54"/>
      <c r="E46" s="54" t="s">
        <v>86</v>
      </c>
      <c r="F46" s="54" t="s">
        <v>85</v>
      </c>
      <c r="G46" s="54" t="s">
        <v>84</v>
      </c>
      <c r="H46" s="54" t="s">
        <v>83</v>
      </c>
      <c r="I46" s="54" t="s">
        <v>82</v>
      </c>
      <c r="J46" s="54" t="s">
        <v>81</v>
      </c>
    </row>
    <row r="47" spans="1:12" outlineLevel="2" x14ac:dyDescent="0.25">
      <c r="A47" s="51">
        <f>EDATE(A42,1)</f>
        <v>45293</v>
      </c>
      <c r="B47" s="53">
        <v>1</v>
      </c>
      <c r="C47" s="50">
        <f t="shared" ref="C47:C58" si="7">SUM($E$10:$F$10)</f>
        <v>4.9500000000000002E-2</v>
      </c>
      <c r="D47" s="50"/>
      <c r="E47" s="41">
        <f>+J43</f>
        <v>656084.99903505889</v>
      </c>
      <c r="F47" s="52">
        <v>0</v>
      </c>
      <c r="G47" s="41">
        <f t="shared" ref="G47:G58" si="8">MIN(IF($C$12="Capital seulement",I47+H47,$E$12),E47+F47)</f>
        <v>3897.26</v>
      </c>
      <c r="H47" s="41">
        <f t="shared" ref="H47:H58" si="9">(E47+F47)*C47/12</f>
        <v>2706.3506210196178</v>
      </c>
      <c r="I47" s="41">
        <f t="shared" ref="I47:I58" si="10">MIN(IF($C$12="Capital seulement",$E$12,G47-H47),E47+F47)</f>
        <v>1190.9093789803824</v>
      </c>
      <c r="J47" s="41">
        <f t="shared" ref="J47:J59" si="11">MAX(E47-I47+F47,0)</f>
        <v>654894.08965607849</v>
      </c>
    </row>
    <row r="48" spans="1:12" outlineLevel="2" x14ac:dyDescent="0.25">
      <c r="A48" s="51">
        <f t="shared" ref="A48:A58" si="12">EDATE(A47,1)</f>
        <v>45324</v>
      </c>
      <c r="B48" s="53">
        <v>2</v>
      </c>
      <c r="C48" s="50">
        <f t="shared" si="7"/>
        <v>4.9500000000000002E-2</v>
      </c>
      <c r="D48" s="50"/>
      <c r="E48" s="41">
        <f t="shared" ref="E48:E59" si="13">+J47</f>
        <v>654894.08965607849</v>
      </c>
      <c r="F48" s="52">
        <v>0</v>
      </c>
      <c r="G48" s="41">
        <f t="shared" si="8"/>
        <v>3897.26</v>
      </c>
      <c r="H48" s="41">
        <f t="shared" si="9"/>
        <v>2701.438119831324</v>
      </c>
      <c r="I48" s="41">
        <f t="shared" si="10"/>
        <v>1195.8218801686762</v>
      </c>
      <c r="J48" s="41">
        <f t="shared" si="11"/>
        <v>653698.26777590986</v>
      </c>
    </row>
    <row r="49" spans="1:10" outlineLevel="2" x14ac:dyDescent="0.25">
      <c r="A49" s="51">
        <f t="shared" si="12"/>
        <v>45353</v>
      </c>
      <c r="B49" s="53">
        <v>3</v>
      </c>
      <c r="C49" s="50">
        <f t="shared" si="7"/>
        <v>4.9500000000000002E-2</v>
      </c>
      <c r="D49" s="50"/>
      <c r="E49" s="41">
        <f t="shared" si="13"/>
        <v>653698.26777590986</v>
      </c>
      <c r="F49" s="52">
        <v>0</v>
      </c>
      <c r="G49" s="41">
        <f t="shared" si="8"/>
        <v>3897.26</v>
      </c>
      <c r="H49" s="41">
        <f t="shared" si="9"/>
        <v>2696.5053545756282</v>
      </c>
      <c r="I49" s="41">
        <f t="shared" si="10"/>
        <v>1200.754645424372</v>
      </c>
      <c r="J49" s="41">
        <f t="shared" si="11"/>
        <v>652497.51313048543</v>
      </c>
    </row>
    <row r="50" spans="1:10" outlineLevel="2" x14ac:dyDescent="0.25">
      <c r="A50" s="51">
        <f t="shared" si="12"/>
        <v>45384</v>
      </c>
      <c r="B50" s="53">
        <v>4</v>
      </c>
      <c r="C50" s="50">
        <f t="shared" si="7"/>
        <v>4.9500000000000002E-2</v>
      </c>
      <c r="D50" s="50"/>
      <c r="E50" s="41">
        <f t="shared" si="13"/>
        <v>652497.51313048543</v>
      </c>
      <c r="F50" s="52">
        <v>0</v>
      </c>
      <c r="G50" s="41">
        <f t="shared" si="8"/>
        <v>3897.26</v>
      </c>
      <c r="H50" s="41">
        <f t="shared" si="9"/>
        <v>2691.5522416632525</v>
      </c>
      <c r="I50" s="41">
        <f t="shared" si="10"/>
        <v>1205.7077583367477</v>
      </c>
      <c r="J50" s="41">
        <f t="shared" si="11"/>
        <v>651291.80537214864</v>
      </c>
    </row>
    <row r="51" spans="1:10" outlineLevel="2" x14ac:dyDescent="0.25">
      <c r="A51" s="51">
        <f t="shared" si="12"/>
        <v>45414</v>
      </c>
      <c r="B51" s="53">
        <v>5</v>
      </c>
      <c r="C51" s="50">
        <f t="shared" si="7"/>
        <v>4.9500000000000002E-2</v>
      </c>
      <c r="D51" s="50"/>
      <c r="E51" s="41">
        <f t="shared" si="13"/>
        <v>651291.80537214864</v>
      </c>
      <c r="F51" s="52">
        <v>0</v>
      </c>
      <c r="G51" s="41">
        <f t="shared" si="8"/>
        <v>3897.26</v>
      </c>
      <c r="H51" s="41">
        <f t="shared" si="9"/>
        <v>2686.5786971601133</v>
      </c>
      <c r="I51" s="41">
        <f t="shared" si="10"/>
        <v>1210.6813028398869</v>
      </c>
      <c r="J51" s="41">
        <f t="shared" si="11"/>
        <v>650081.12406930875</v>
      </c>
    </row>
    <row r="52" spans="1:10" outlineLevel="2" x14ac:dyDescent="0.25">
      <c r="A52" s="51">
        <f t="shared" si="12"/>
        <v>45445</v>
      </c>
      <c r="B52" s="53">
        <v>6</v>
      </c>
      <c r="C52" s="50">
        <f t="shared" si="7"/>
        <v>4.9500000000000002E-2</v>
      </c>
      <c r="D52" s="50"/>
      <c r="E52" s="41">
        <f t="shared" si="13"/>
        <v>650081.12406930875</v>
      </c>
      <c r="F52" s="52">
        <v>0</v>
      </c>
      <c r="G52" s="41">
        <f t="shared" si="8"/>
        <v>3897.26</v>
      </c>
      <c r="H52" s="41">
        <f t="shared" si="9"/>
        <v>2681.584636785899</v>
      </c>
      <c r="I52" s="41">
        <f t="shared" si="10"/>
        <v>1215.6753632141013</v>
      </c>
      <c r="J52" s="41">
        <f t="shared" si="11"/>
        <v>648865.44870609464</v>
      </c>
    </row>
    <row r="53" spans="1:10" outlineLevel="2" x14ac:dyDescent="0.25">
      <c r="A53" s="51">
        <f t="shared" si="12"/>
        <v>45475</v>
      </c>
      <c r="B53" s="53">
        <v>7</v>
      </c>
      <c r="C53" s="50">
        <f t="shared" si="7"/>
        <v>4.9500000000000002E-2</v>
      </c>
      <c r="D53" s="50"/>
      <c r="E53" s="41">
        <f t="shared" si="13"/>
        <v>648865.44870609464</v>
      </c>
      <c r="F53" s="52">
        <v>0</v>
      </c>
      <c r="G53" s="41">
        <f t="shared" si="8"/>
        <v>3897.26</v>
      </c>
      <c r="H53" s="41">
        <f t="shared" si="9"/>
        <v>2676.5699759126405</v>
      </c>
      <c r="I53" s="41">
        <f t="shared" si="10"/>
        <v>1220.6900240873597</v>
      </c>
      <c r="J53" s="41">
        <f t="shared" si="11"/>
        <v>647644.75868200732</v>
      </c>
    </row>
    <row r="54" spans="1:10" outlineLevel="2" x14ac:dyDescent="0.25">
      <c r="A54" s="51">
        <f t="shared" si="12"/>
        <v>45506</v>
      </c>
      <c r="B54" s="53">
        <v>8</v>
      </c>
      <c r="C54" s="50">
        <f t="shared" si="7"/>
        <v>4.9500000000000002E-2</v>
      </c>
      <c r="D54" s="50"/>
      <c r="E54" s="41">
        <f t="shared" si="13"/>
        <v>647644.75868200732</v>
      </c>
      <c r="F54" s="52">
        <v>0</v>
      </c>
      <c r="G54" s="41">
        <f t="shared" si="8"/>
        <v>3897.26</v>
      </c>
      <c r="H54" s="41">
        <f t="shared" si="9"/>
        <v>2671.5346295632803</v>
      </c>
      <c r="I54" s="41">
        <f t="shared" si="10"/>
        <v>1225.7253704367199</v>
      </c>
      <c r="J54" s="41">
        <f t="shared" si="11"/>
        <v>646419.03331157065</v>
      </c>
    </row>
    <row r="55" spans="1:10" outlineLevel="2" x14ac:dyDescent="0.25">
      <c r="A55" s="51">
        <f t="shared" si="12"/>
        <v>45537</v>
      </c>
      <c r="B55" s="53">
        <v>9</v>
      </c>
      <c r="C55" s="50">
        <f t="shared" si="7"/>
        <v>4.9500000000000002E-2</v>
      </c>
      <c r="D55" s="50"/>
      <c r="E55" s="41">
        <f t="shared" si="13"/>
        <v>646419.03331157065</v>
      </c>
      <c r="F55" s="52">
        <v>0</v>
      </c>
      <c r="G55" s="41">
        <f t="shared" si="8"/>
        <v>3897.26</v>
      </c>
      <c r="H55" s="41">
        <f t="shared" si="9"/>
        <v>2666.4785124102291</v>
      </c>
      <c r="I55" s="41">
        <f t="shared" si="10"/>
        <v>1230.7814875897711</v>
      </c>
      <c r="J55" s="41">
        <f t="shared" si="11"/>
        <v>645188.25182398083</v>
      </c>
    </row>
    <row r="56" spans="1:10" outlineLevel="2" x14ac:dyDescent="0.25">
      <c r="A56" s="51">
        <f t="shared" si="12"/>
        <v>45567</v>
      </c>
      <c r="B56" s="53">
        <v>10</v>
      </c>
      <c r="C56" s="50">
        <f t="shared" si="7"/>
        <v>4.9500000000000002E-2</v>
      </c>
      <c r="D56" s="50"/>
      <c r="E56" s="41">
        <f t="shared" si="13"/>
        <v>645188.25182398083</v>
      </c>
      <c r="F56" s="52">
        <v>0</v>
      </c>
      <c r="G56" s="41">
        <f t="shared" si="8"/>
        <v>3897.26</v>
      </c>
      <c r="H56" s="41">
        <f t="shared" si="9"/>
        <v>2661.4015387739209</v>
      </c>
      <c r="I56" s="41">
        <f t="shared" si="10"/>
        <v>1235.8584612260793</v>
      </c>
      <c r="J56" s="41">
        <f t="shared" si="11"/>
        <v>643952.39336275472</v>
      </c>
    </row>
    <row r="57" spans="1:10" outlineLevel="2" x14ac:dyDescent="0.25">
      <c r="A57" s="51">
        <f t="shared" si="12"/>
        <v>45598</v>
      </c>
      <c r="B57" s="53">
        <v>11</v>
      </c>
      <c r="C57" s="50">
        <f t="shared" si="7"/>
        <v>4.9500000000000002E-2</v>
      </c>
      <c r="D57" s="50"/>
      <c r="E57" s="41">
        <f t="shared" si="13"/>
        <v>643952.39336275472</v>
      </c>
      <c r="F57" s="52">
        <v>0</v>
      </c>
      <c r="G57" s="41">
        <f t="shared" si="8"/>
        <v>3897.26</v>
      </c>
      <c r="H57" s="41">
        <f t="shared" si="9"/>
        <v>2656.3036226213635</v>
      </c>
      <c r="I57" s="41">
        <f t="shared" si="10"/>
        <v>1240.9563773786367</v>
      </c>
      <c r="J57" s="41">
        <f t="shared" si="11"/>
        <v>642711.43698537606</v>
      </c>
    </row>
    <row r="58" spans="1:10" outlineLevel="2" x14ac:dyDescent="0.25">
      <c r="A58" s="51">
        <f t="shared" si="12"/>
        <v>45628</v>
      </c>
      <c r="B58" s="53">
        <v>12</v>
      </c>
      <c r="C58" s="50">
        <f t="shared" si="7"/>
        <v>4.9500000000000002E-2</v>
      </c>
      <c r="D58" s="50"/>
      <c r="E58" s="41">
        <f t="shared" si="13"/>
        <v>642711.43698537606</v>
      </c>
      <c r="F58" s="52">
        <v>0</v>
      </c>
      <c r="G58" s="41">
        <f t="shared" si="8"/>
        <v>3897.26</v>
      </c>
      <c r="H58" s="41">
        <f t="shared" si="9"/>
        <v>2651.1846775646763</v>
      </c>
      <c r="I58" s="41">
        <f t="shared" si="10"/>
        <v>1246.0753224353239</v>
      </c>
      <c r="J58" s="41">
        <f t="shared" si="11"/>
        <v>641465.3616629407</v>
      </c>
    </row>
    <row r="59" spans="1:10" outlineLevel="2" x14ac:dyDescent="0.25">
      <c r="A59" s="51" t="s">
        <v>80</v>
      </c>
      <c r="C59" s="50"/>
      <c r="D59" s="50"/>
      <c r="E59" s="41">
        <f t="shared" si="13"/>
        <v>641465.3616629407</v>
      </c>
      <c r="F59" s="41"/>
      <c r="G59" s="49"/>
      <c r="H59" s="49">
        <f>-I59</f>
        <v>0</v>
      </c>
      <c r="I59" s="41"/>
      <c r="J59" s="41">
        <f t="shared" si="11"/>
        <v>641465.3616629407</v>
      </c>
    </row>
    <row r="60" spans="1:10" x14ac:dyDescent="0.25">
      <c r="A60" s="48" t="str">
        <f>CONCATENATE("Total exercice ",A46)</f>
        <v>Total exercice 2025</v>
      </c>
      <c r="B60" s="10"/>
      <c r="C60" s="10"/>
      <c r="D60" s="10"/>
      <c r="E60" s="10"/>
      <c r="F60" s="10"/>
      <c r="G60" s="47">
        <f>SUM(G47:G59)</f>
        <v>46767.120000000017</v>
      </c>
      <c r="H60" s="47">
        <f>SUM(H47:H59)</f>
        <v>32147.482627881949</v>
      </c>
      <c r="I60" s="47">
        <f>SUM(I47:I59)</f>
        <v>14619.637372118057</v>
      </c>
      <c r="J60" s="47">
        <f>+J59</f>
        <v>641465.3616629407</v>
      </c>
    </row>
    <row r="62" spans="1:10" outlineLevel="1" x14ac:dyDescent="0.25">
      <c r="A62" s="45">
        <f>+A46+1</f>
        <v>2026</v>
      </c>
      <c r="B62" s="1"/>
      <c r="C62" s="54" t="s">
        <v>87</v>
      </c>
      <c r="D62" s="54"/>
      <c r="E62" s="54" t="s">
        <v>86</v>
      </c>
      <c r="F62" s="54" t="s">
        <v>85</v>
      </c>
      <c r="G62" s="54" t="s">
        <v>84</v>
      </c>
      <c r="H62" s="54" t="s">
        <v>83</v>
      </c>
      <c r="I62" s="54" t="s">
        <v>82</v>
      </c>
      <c r="J62" s="54" t="s">
        <v>81</v>
      </c>
    </row>
    <row r="63" spans="1:10" outlineLevel="1" x14ac:dyDescent="0.25">
      <c r="A63" s="51">
        <f>EDATE(A58,1)</f>
        <v>45659</v>
      </c>
      <c r="B63" s="53">
        <v>1</v>
      </c>
      <c r="C63" s="50">
        <f t="shared" ref="C63:C74" si="14">SUM($E$10:$F$10)</f>
        <v>4.9500000000000002E-2</v>
      </c>
      <c r="D63" s="50"/>
      <c r="E63" s="41">
        <f>+J59</f>
        <v>641465.3616629407</v>
      </c>
      <c r="F63" s="52">
        <v>0</v>
      </c>
      <c r="G63" s="41">
        <f t="shared" ref="G63:G74" si="15">MIN(IF($C$12="Capital seulement",I63+H63,$E$12),E63+F63)</f>
        <v>3897.26</v>
      </c>
      <c r="H63" s="41">
        <f t="shared" ref="H63:H74" si="16">(E63+F63)*C63/12</f>
        <v>2646.0446168596304</v>
      </c>
      <c r="I63" s="41">
        <f t="shared" ref="I63:I74" si="17">MIN(IF($C$12="Capital seulement",$E$12,G63-H63),E63+F63)</f>
        <v>1251.2153831403698</v>
      </c>
      <c r="J63" s="41">
        <f t="shared" ref="J63:J75" si="18">MAX(E63-I63+F63,0)</f>
        <v>640214.14627980033</v>
      </c>
    </row>
    <row r="64" spans="1:10" outlineLevel="1" x14ac:dyDescent="0.25">
      <c r="A64" s="51">
        <f t="shared" ref="A64:A74" si="19">EDATE(A63,1)</f>
        <v>45690</v>
      </c>
      <c r="B64" s="53">
        <v>2</v>
      </c>
      <c r="C64" s="50">
        <f t="shared" si="14"/>
        <v>4.9500000000000002E-2</v>
      </c>
      <c r="D64" s="50"/>
      <c r="E64" s="41">
        <f t="shared" ref="E64:E75" si="20">+J63</f>
        <v>640214.14627980033</v>
      </c>
      <c r="F64" s="52">
        <v>0</v>
      </c>
      <c r="G64" s="41">
        <f t="shared" si="15"/>
        <v>3897.26</v>
      </c>
      <c r="H64" s="41">
        <f t="shared" si="16"/>
        <v>2640.8833534041764</v>
      </c>
      <c r="I64" s="41">
        <f t="shared" si="17"/>
        <v>1256.3766465958238</v>
      </c>
      <c r="J64" s="41">
        <f t="shared" si="18"/>
        <v>638957.76963320456</v>
      </c>
    </row>
    <row r="65" spans="1:10" outlineLevel="1" x14ac:dyDescent="0.25">
      <c r="A65" s="51">
        <f t="shared" si="19"/>
        <v>45718</v>
      </c>
      <c r="B65" s="53">
        <v>3</v>
      </c>
      <c r="C65" s="50">
        <f t="shared" si="14"/>
        <v>4.9500000000000002E-2</v>
      </c>
      <c r="D65" s="50"/>
      <c r="E65" s="41">
        <f t="shared" si="20"/>
        <v>638957.76963320456</v>
      </c>
      <c r="F65" s="52">
        <v>0</v>
      </c>
      <c r="G65" s="41">
        <f t="shared" si="15"/>
        <v>3897.26</v>
      </c>
      <c r="H65" s="41">
        <f t="shared" si="16"/>
        <v>2635.7007997369687</v>
      </c>
      <c r="I65" s="41">
        <f t="shared" si="17"/>
        <v>1261.5592002630315</v>
      </c>
      <c r="J65" s="41">
        <f t="shared" si="18"/>
        <v>637696.21043294156</v>
      </c>
    </row>
    <row r="66" spans="1:10" outlineLevel="1" x14ac:dyDescent="0.25">
      <c r="A66" s="51">
        <f t="shared" si="19"/>
        <v>45749</v>
      </c>
      <c r="B66" s="53">
        <v>4</v>
      </c>
      <c r="C66" s="50">
        <f t="shared" si="14"/>
        <v>4.9500000000000002E-2</v>
      </c>
      <c r="D66" s="50"/>
      <c r="E66" s="41">
        <f t="shared" si="20"/>
        <v>637696.21043294156</v>
      </c>
      <c r="F66" s="52">
        <v>0</v>
      </c>
      <c r="G66" s="41">
        <f t="shared" si="15"/>
        <v>3897.26</v>
      </c>
      <c r="H66" s="41">
        <f t="shared" si="16"/>
        <v>2630.4968680358838</v>
      </c>
      <c r="I66" s="41">
        <f t="shared" si="17"/>
        <v>1266.7631319641164</v>
      </c>
      <c r="J66" s="41">
        <f t="shared" si="18"/>
        <v>636429.44730097742</v>
      </c>
    </row>
    <row r="67" spans="1:10" outlineLevel="1" x14ac:dyDescent="0.25">
      <c r="A67" s="51">
        <f t="shared" si="19"/>
        <v>45779</v>
      </c>
      <c r="B67" s="53">
        <v>5</v>
      </c>
      <c r="C67" s="50">
        <f t="shared" si="14"/>
        <v>4.9500000000000002E-2</v>
      </c>
      <c r="D67" s="50"/>
      <c r="E67" s="41">
        <f t="shared" si="20"/>
        <v>636429.44730097742</v>
      </c>
      <c r="F67" s="52">
        <v>0</v>
      </c>
      <c r="G67" s="41">
        <f t="shared" si="15"/>
        <v>3897.26</v>
      </c>
      <c r="H67" s="41">
        <f t="shared" si="16"/>
        <v>2625.2714701165319</v>
      </c>
      <c r="I67" s="41">
        <f t="shared" si="17"/>
        <v>1271.9885298834683</v>
      </c>
      <c r="J67" s="41">
        <f t="shared" si="18"/>
        <v>635157.45877109398</v>
      </c>
    </row>
    <row r="68" spans="1:10" outlineLevel="1" x14ac:dyDescent="0.25">
      <c r="A68" s="51">
        <f t="shared" si="19"/>
        <v>45810</v>
      </c>
      <c r="B68" s="53">
        <v>6</v>
      </c>
      <c r="C68" s="50">
        <f t="shared" si="14"/>
        <v>4.9500000000000002E-2</v>
      </c>
      <c r="D68" s="50"/>
      <c r="E68" s="41">
        <f t="shared" si="20"/>
        <v>635157.45877109398</v>
      </c>
      <c r="F68" s="52">
        <v>0</v>
      </c>
      <c r="G68" s="41">
        <f t="shared" si="15"/>
        <v>3897.26</v>
      </c>
      <c r="H68" s="41">
        <f t="shared" si="16"/>
        <v>2620.0245174307629</v>
      </c>
      <c r="I68" s="41">
        <f t="shared" si="17"/>
        <v>1277.2354825692373</v>
      </c>
      <c r="J68" s="41">
        <f t="shared" si="18"/>
        <v>633880.22328852478</v>
      </c>
    </row>
    <row r="69" spans="1:10" outlineLevel="1" x14ac:dyDescent="0.25">
      <c r="A69" s="51">
        <f t="shared" si="19"/>
        <v>45840</v>
      </c>
      <c r="B69" s="53">
        <v>7</v>
      </c>
      <c r="C69" s="50">
        <f t="shared" si="14"/>
        <v>4.9500000000000002E-2</v>
      </c>
      <c r="D69" s="50"/>
      <c r="E69" s="41">
        <f t="shared" si="20"/>
        <v>633880.22328852478</v>
      </c>
      <c r="F69" s="52">
        <v>0</v>
      </c>
      <c r="G69" s="41">
        <f t="shared" si="15"/>
        <v>3897.26</v>
      </c>
      <c r="H69" s="41">
        <f t="shared" si="16"/>
        <v>2614.7559210651648</v>
      </c>
      <c r="I69" s="41">
        <f t="shared" si="17"/>
        <v>1282.5040789348354</v>
      </c>
      <c r="J69" s="41">
        <f t="shared" si="18"/>
        <v>632597.71920959</v>
      </c>
    </row>
    <row r="70" spans="1:10" outlineLevel="1" x14ac:dyDescent="0.25">
      <c r="A70" s="51">
        <f t="shared" si="19"/>
        <v>45871</v>
      </c>
      <c r="B70" s="53">
        <v>8</v>
      </c>
      <c r="C70" s="50">
        <f t="shared" si="14"/>
        <v>4.9500000000000002E-2</v>
      </c>
      <c r="D70" s="50"/>
      <c r="E70" s="41">
        <f t="shared" si="20"/>
        <v>632597.71920959</v>
      </c>
      <c r="F70" s="52">
        <v>0</v>
      </c>
      <c r="G70" s="41">
        <f t="shared" si="15"/>
        <v>3897.26</v>
      </c>
      <c r="H70" s="41">
        <f t="shared" si="16"/>
        <v>2609.4655917395589</v>
      </c>
      <c r="I70" s="41">
        <f t="shared" si="17"/>
        <v>1287.7944082604413</v>
      </c>
      <c r="J70" s="41">
        <f t="shared" si="18"/>
        <v>631309.9248013295</v>
      </c>
    </row>
    <row r="71" spans="1:10" outlineLevel="1" x14ac:dyDescent="0.25">
      <c r="A71" s="51">
        <f t="shared" si="19"/>
        <v>45902</v>
      </c>
      <c r="B71" s="53">
        <v>9</v>
      </c>
      <c r="C71" s="50">
        <f t="shared" si="14"/>
        <v>4.9500000000000002E-2</v>
      </c>
      <c r="D71" s="50"/>
      <c r="E71" s="41">
        <f t="shared" si="20"/>
        <v>631309.9248013295</v>
      </c>
      <c r="F71" s="52">
        <v>0</v>
      </c>
      <c r="G71" s="41">
        <f t="shared" si="15"/>
        <v>3897.26</v>
      </c>
      <c r="H71" s="41">
        <f t="shared" si="16"/>
        <v>2604.1534398054841</v>
      </c>
      <c r="I71" s="41">
        <f t="shared" si="17"/>
        <v>1293.1065601945161</v>
      </c>
      <c r="J71" s="41">
        <f t="shared" si="18"/>
        <v>630016.81824113498</v>
      </c>
    </row>
    <row r="72" spans="1:10" outlineLevel="1" x14ac:dyDescent="0.25">
      <c r="A72" s="51">
        <f t="shared" si="19"/>
        <v>45932</v>
      </c>
      <c r="B72" s="53">
        <v>10</v>
      </c>
      <c r="C72" s="50">
        <f t="shared" si="14"/>
        <v>4.9500000000000002E-2</v>
      </c>
      <c r="D72" s="50"/>
      <c r="E72" s="41">
        <f t="shared" si="20"/>
        <v>630016.81824113498</v>
      </c>
      <c r="F72" s="52">
        <v>0</v>
      </c>
      <c r="G72" s="41">
        <f t="shared" si="15"/>
        <v>3897.26</v>
      </c>
      <c r="H72" s="41">
        <f t="shared" si="16"/>
        <v>2598.8193752446819</v>
      </c>
      <c r="I72" s="41">
        <f t="shared" si="17"/>
        <v>1298.4406247553184</v>
      </c>
      <c r="J72" s="41">
        <f t="shared" si="18"/>
        <v>628718.37761637964</v>
      </c>
    </row>
    <row r="73" spans="1:10" outlineLevel="1" x14ac:dyDescent="0.25">
      <c r="A73" s="51">
        <f t="shared" si="19"/>
        <v>45963</v>
      </c>
      <c r="B73" s="53">
        <v>11</v>
      </c>
      <c r="C73" s="50">
        <f t="shared" si="14"/>
        <v>4.9500000000000002E-2</v>
      </c>
      <c r="D73" s="50"/>
      <c r="E73" s="41">
        <f t="shared" si="20"/>
        <v>628718.37761637964</v>
      </c>
      <c r="F73" s="52">
        <v>0</v>
      </c>
      <c r="G73" s="41">
        <f t="shared" si="15"/>
        <v>3897.26</v>
      </c>
      <c r="H73" s="41">
        <f t="shared" si="16"/>
        <v>2593.4633076675659</v>
      </c>
      <c r="I73" s="41">
        <f t="shared" si="17"/>
        <v>1303.7966923324343</v>
      </c>
      <c r="J73" s="41">
        <f t="shared" si="18"/>
        <v>627414.58092404716</v>
      </c>
    </row>
    <row r="74" spans="1:10" outlineLevel="1" x14ac:dyDescent="0.25">
      <c r="A74" s="51">
        <f t="shared" si="19"/>
        <v>45993</v>
      </c>
      <c r="B74" s="53">
        <v>12</v>
      </c>
      <c r="C74" s="50">
        <f t="shared" si="14"/>
        <v>4.9500000000000002E-2</v>
      </c>
      <c r="D74" s="50"/>
      <c r="E74" s="41">
        <f t="shared" si="20"/>
        <v>627414.58092404716</v>
      </c>
      <c r="F74" s="52">
        <v>0</v>
      </c>
      <c r="G74" s="41">
        <f t="shared" si="15"/>
        <v>3897.26</v>
      </c>
      <c r="H74" s="41">
        <f t="shared" si="16"/>
        <v>2588.0851463116946</v>
      </c>
      <c r="I74" s="41">
        <f t="shared" si="17"/>
        <v>1309.1748536883056</v>
      </c>
      <c r="J74" s="41">
        <f t="shared" si="18"/>
        <v>626105.40607035882</v>
      </c>
    </row>
    <row r="75" spans="1:10" outlineLevel="1" x14ac:dyDescent="0.25">
      <c r="A75" s="51" t="s">
        <v>80</v>
      </c>
      <c r="C75" s="50"/>
      <c r="D75" s="50"/>
      <c r="E75" s="41">
        <f t="shared" si="20"/>
        <v>626105.40607035882</v>
      </c>
      <c r="F75" s="41"/>
      <c r="G75" s="49"/>
      <c r="H75" s="49">
        <f>-I75</f>
        <v>0</v>
      </c>
      <c r="I75" s="41"/>
      <c r="J75" s="41">
        <f t="shared" si="18"/>
        <v>626105.40607035882</v>
      </c>
    </row>
    <row r="76" spans="1:10" x14ac:dyDescent="0.25">
      <c r="A76" s="48" t="str">
        <f>CONCATENATE("Total exercice ",A62)</f>
        <v>Total exercice 2026</v>
      </c>
      <c r="B76" s="10"/>
      <c r="C76" s="10"/>
      <c r="D76" s="10"/>
      <c r="E76" s="10"/>
      <c r="F76" s="10"/>
      <c r="G76" s="47">
        <f>SUM(G63:G75)</f>
        <v>46767.120000000017</v>
      </c>
      <c r="H76" s="47">
        <f>SUM(H63:H75)</f>
        <v>31407.164407418102</v>
      </c>
      <c r="I76" s="47">
        <f>SUM(I63:I75)</f>
        <v>15359.955592581899</v>
      </c>
      <c r="J76" s="47">
        <f>+J75</f>
        <v>626105.40607035882</v>
      </c>
    </row>
    <row r="78" spans="1:10" outlineLevel="1" x14ac:dyDescent="0.25">
      <c r="A78" s="45">
        <f>+A62+1</f>
        <v>2027</v>
      </c>
      <c r="B78" s="1"/>
      <c r="C78" s="54" t="s">
        <v>87</v>
      </c>
      <c r="D78" s="54"/>
      <c r="E78" s="54" t="s">
        <v>86</v>
      </c>
      <c r="F78" s="54" t="s">
        <v>85</v>
      </c>
      <c r="G78" s="54" t="s">
        <v>84</v>
      </c>
      <c r="H78" s="54" t="s">
        <v>83</v>
      </c>
      <c r="I78" s="54" t="s">
        <v>82</v>
      </c>
      <c r="J78" s="54" t="s">
        <v>81</v>
      </c>
    </row>
    <row r="79" spans="1:10" outlineLevel="1" x14ac:dyDescent="0.25">
      <c r="A79" s="51">
        <f>EDATE(A74,1)</f>
        <v>46024</v>
      </c>
      <c r="B79" s="53">
        <v>1</v>
      </c>
      <c r="C79" s="50">
        <f t="shared" ref="C79:C90" si="21">SUM($E$10:$F$10)</f>
        <v>4.9500000000000002E-2</v>
      </c>
      <c r="D79" s="50"/>
      <c r="E79" s="41">
        <f>+J75</f>
        <v>626105.40607035882</v>
      </c>
      <c r="F79" s="52">
        <v>0</v>
      </c>
      <c r="G79" s="41">
        <f t="shared" ref="G79:G90" si="22">MIN(IF($C$12="Capital seulement",I79+H79,$E$12),E79+F79)</f>
        <v>3897.26</v>
      </c>
      <c r="H79" s="41">
        <f t="shared" ref="H79:H90" si="23">(E79+F79)*C79/12</f>
        <v>2582.6848000402301</v>
      </c>
      <c r="I79" s="41">
        <f t="shared" ref="I79:I90" si="24">MIN(IF($C$12="Capital seulement",$E$12,G79-H79),E79+F79)</f>
        <v>1314.5751999597701</v>
      </c>
      <c r="J79" s="41">
        <f t="shared" ref="J79:J91" si="25">MAX(E79-I79+F79,0)</f>
        <v>624790.83087039902</v>
      </c>
    </row>
    <row r="80" spans="1:10" outlineLevel="1" x14ac:dyDescent="0.25">
      <c r="A80" s="51">
        <f t="shared" ref="A80:A90" si="26">EDATE(A79,1)</f>
        <v>46055</v>
      </c>
      <c r="B80" s="53">
        <v>2</v>
      </c>
      <c r="C80" s="50">
        <f t="shared" si="21"/>
        <v>4.9500000000000002E-2</v>
      </c>
      <c r="D80" s="50"/>
      <c r="E80" s="41">
        <f t="shared" ref="E80:E91" si="27">+J79</f>
        <v>624790.83087039902</v>
      </c>
      <c r="F80" s="52">
        <v>0</v>
      </c>
      <c r="G80" s="41">
        <f t="shared" si="22"/>
        <v>3897.26</v>
      </c>
      <c r="H80" s="41">
        <f t="shared" si="23"/>
        <v>2577.2621773403962</v>
      </c>
      <c r="I80" s="41">
        <f t="shared" si="24"/>
        <v>1319.997822659604</v>
      </c>
      <c r="J80" s="41">
        <f t="shared" si="25"/>
        <v>623470.83304773946</v>
      </c>
    </row>
    <row r="81" spans="1:10" outlineLevel="1" x14ac:dyDescent="0.25">
      <c r="A81" s="51">
        <f t="shared" si="26"/>
        <v>46083</v>
      </c>
      <c r="B81" s="53">
        <v>3</v>
      </c>
      <c r="C81" s="50">
        <f t="shared" si="21"/>
        <v>4.9500000000000002E-2</v>
      </c>
      <c r="D81" s="50"/>
      <c r="E81" s="41">
        <f t="shared" si="27"/>
        <v>623470.83304773946</v>
      </c>
      <c r="F81" s="52">
        <v>0</v>
      </c>
      <c r="G81" s="41">
        <f t="shared" si="22"/>
        <v>3897.26</v>
      </c>
      <c r="H81" s="41">
        <f t="shared" si="23"/>
        <v>2571.8171863219254</v>
      </c>
      <c r="I81" s="41">
        <f t="shared" si="24"/>
        <v>1325.4428136780748</v>
      </c>
      <c r="J81" s="41">
        <f t="shared" si="25"/>
        <v>622145.3902340614</v>
      </c>
    </row>
    <row r="82" spans="1:10" outlineLevel="1" x14ac:dyDescent="0.25">
      <c r="A82" s="51">
        <f t="shared" si="26"/>
        <v>46114</v>
      </c>
      <c r="B82" s="53">
        <v>4</v>
      </c>
      <c r="C82" s="50">
        <f t="shared" si="21"/>
        <v>4.9500000000000002E-2</v>
      </c>
      <c r="D82" s="50"/>
      <c r="E82" s="41">
        <f t="shared" si="27"/>
        <v>622145.3902340614</v>
      </c>
      <c r="F82" s="52">
        <v>0</v>
      </c>
      <c r="G82" s="41">
        <f t="shared" si="22"/>
        <v>3897.26</v>
      </c>
      <c r="H82" s="41">
        <f t="shared" si="23"/>
        <v>2566.3497347155035</v>
      </c>
      <c r="I82" s="41">
        <f t="shared" si="24"/>
        <v>1330.9102652844967</v>
      </c>
      <c r="J82" s="41">
        <f t="shared" si="25"/>
        <v>620814.47996877693</v>
      </c>
    </row>
    <row r="83" spans="1:10" outlineLevel="1" x14ac:dyDescent="0.25">
      <c r="A83" s="51">
        <f t="shared" si="26"/>
        <v>46144</v>
      </c>
      <c r="B83" s="53">
        <v>5</v>
      </c>
      <c r="C83" s="50">
        <f t="shared" si="21"/>
        <v>4.9500000000000002E-2</v>
      </c>
      <c r="D83" s="50"/>
      <c r="E83" s="41">
        <f t="shared" si="27"/>
        <v>620814.47996877693</v>
      </c>
      <c r="F83" s="52">
        <v>0</v>
      </c>
      <c r="G83" s="41">
        <f t="shared" si="22"/>
        <v>3897.26</v>
      </c>
      <c r="H83" s="41">
        <f t="shared" si="23"/>
        <v>2560.8597298712052</v>
      </c>
      <c r="I83" s="41">
        <f t="shared" si="24"/>
        <v>1336.400270128795</v>
      </c>
      <c r="J83" s="41">
        <f t="shared" si="25"/>
        <v>619478.07969864819</v>
      </c>
    </row>
    <row r="84" spans="1:10" outlineLevel="1" x14ac:dyDescent="0.25">
      <c r="A84" s="51">
        <f t="shared" si="26"/>
        <v>46175</v>
      </c>
      <c r="B84" s="53">
        <v>6</v>
      </c>
      <c r="C84" s="50">
        <f t="shared" si="21"/>
        <v>4.9500000000000002E-2</v>
      </c>
      <c r="D84" s="50"/>
      <c r="E84" s="41">
        <f t="shared" si="27"/>
        <v>619478.07969864819</v>
      </c>
      <c r="F84" s="52">
        <v>0</v>
      </c>
      <c r="G84" s="41">
        <f t="shared" si="22"/>
        <v>3897.26</v>
      </c>
      <c r="H84" s="41">
        <f t="shared" si="23"/>
        <v>2555.347078756924</v>
      </c>
      <c r="I84" s="41">
        <f t="shared" si="24"/>
        <v>1341.9129212430762</v>
      </c>
      <c r="J84" s="41">
        <f t="shared" si="25"/>
        <v>618136.16677740507</v>
      </c>
    </row>
    <row r="85" spans="1:10" outlineLevel="1" x14ac:dyDescent="0.25">
      <c r="A85" s="51">
        <f t="shared" si="26"/>
        <v>46205</v>
      </c>
      <c r="B85" s="53">
        <v>7</v>
      </c>
      <c r="C85" s="50">
        <f t="shared" si="21"/>
        <v>4.9500000000000002E-2</v>
      </c>
      <c r="D85" s="50"/>
      <c r="E85" s="41">
        <f t="shared" si="27"/>
        <v>618136.16677740507</v>
      </c>
      <c r="F85" s="52">
        <v>0</v>
      </c>
      <c r="G85" s="41">
        <f t="shared" si="22"/>
        <v>3897.26</v>
      </c>
      <c r="H85" s="41">
        <f t="shared" si="23"/>
        <v>2549.811687956796</v>
      </c>
      <c r="I85" s="41">
        <f t="shared" si="24"/>
        <v>1347.4483120432042</v>
      </c>
      <c r="J85" s="41">
        <f t="shared" si="25"/>
        <v>616788.71846536186</v>
      </c>
    </row>
    <row r="86" spans="1:10" outlineLevel="1" x14ac:dyDescent="0.25">
      <c r="A86" s="51">
        <f t="shared" si="26"/>
        <v>46236</v>
      </c>
      <c r="B86" s="53">
        <v>8</v>
      </c>
      <c r="C86" s="50">
        <f t="shared" si="21"/>
        <v>4.9500000000000002E-2</v>
      </c>
      <c r="D86" s="50"/>
      <c r="E86" s="41">
        <f t="shared" si="27"/>
        <v>616788.71846536186</v>
      </c>
      <c r="F86" s="52">
        <v>0</v>
      </c>
      <c r="G86" s="41">
        <f t="shared" si="22"/>
        <v>3897.26</v>
      </c>
      <c r="H86" s="41">
        <f t="shared" si="23"/>
        <v>2544.2534636696178</v>
      </c>
      <c r="I86" s="41">
        <f t="shared" si="24"/>
        <v>1353.0065363303825</v>
      </c>
      <c r="J86" s="41">
        <f t="shared" si="25"/>
        <v>615435.71192903153</v>
      </c>
    </row>
    <row r="87" spans="1:10" outlineLevel="1" x14ac:dyDescent="0.25">
      <c r="A87" s="51">
        <f t="shared" si="26"/>
        <v>46267</v>
      </c>
      <c r="B87" s="53">
        <v>9</v>
      </c>
      <c r="C87" s="50">
        <f t="shared" si="21"/>
        <v>4.9500000000000002E-2</v>
      </c>
      <c r="D87" s="50"/>
      <c r="E87" s="41">
        <f t="shared" si="27"/>
        <v>615435.71192903153</v>
      </c>
      <c r="F87" s="52"/>
      <c r="G87" s="41">
        <f t="shared" si="22"/>
        <v>3897.26</v>
      </c>
      <c r="H87" s="41">
        <f t="shared" si="23"/>
        <v>2538.6723117072552</v>
      </c>
      <c r="I87" s="41">
        <f t="shared" si="24"/>
        <v>1358.587688292745</v>
      </c>
      <c r="J87" s="41">
        <f t="shared" si="25"/>
        <v>614077.12424073881</v>
      </c>
    </row>
    <row r="88" spans="1:10" outlineLevel="1" x14ac:dyDescent="0.25">
      <c r="A88" s="51">
        <f t="shared" si="26"/>
        <v>46297</v>
      </c>
      <c r="B88" s="53">
        <v>10</v>
      </c>
      <c r="C88" s="50">
        <f t="shared" si="21"/>
        <v>4.9500000000000002E-2</v>
      </c>
      <c r="D88" s="50"/>
      <c r="E88" s="41">
        <f t="shared" si="27"/>
        <v>614077.12424073881</v>
      </c>
      <c r="F88" s="52">
        <v>0</v>
      </c>
      <c r="G88" s="41">
        <f t="shared" si="22"/>
        <v>3897.26</v>
      </c>
      <c r="H88" s="41">
        <f t="shared" si="23"/>
        <v>2533.0681374930477</v>
      </c>
      <c r="I88" s="41">
        <f t="shared" si="24"/>
        <v>1364.1918625069525</v>
      </c>
      <c r="J88" s="41">
        <f t="shared" si="25"/>
        <v>612712.9323782319</v>
      </c>
    </row>
    <row r="89" spans="1:10" outlineLevel="1" x14ac:dyDescent="0.25">
      <c r="A89" s="51">
        <f t="shared" si="26"/>
        <v>46328</v>
      </c>
      <c r="B89" s="53">
        <v>11</v>
      </c>
      <c r="C89" s="50">
        <f t="shared" si="21"/>
        <v>4.9500000000000002E-2</v>
      </c>
      <c r="D89" s="50"/>
      <c r="E89" s="41">
        <f t="shared" si="27"/>
        <v>612712.9323782319</v>
      </c>
      <c r="F89" s="52">
        <v>0</v>
      </c>
      <c r="G89" s="41">
        <f t="shared" si="22"/>
        <v>3897.26</v>
      </c>
      <c r="H89" s="41">
        <f t="shared" si="23"/>
        <v>2527.4408460602067</v>
      </c>
      <c r="I89" s="41">
        <f t="shared" si="24"/>
        <v>1369.8191539397935</v>
      </c>
      <c r="J89" s="41">
        <f t="shared" si="25"/>
        <v>611343.11322429206</v>
      </c>
    </row>
    <row r="90" spans="1:10" outlineLevel="1" x14ac:dyDescent="0.25">
      <c r="A90" s="51">
        <f t="shared" si="26"/>
        <v>46358</v>
      </c>
      <c r="B90" s="53">
        <v>12</v>
      </c>
      <c r="C90" s="50">
        <f t="shared" si="21"/>
        <v>4.9500000000000002E-2</v>
      </c>
      <c r="D90" s="50"/>
      <c r="E90" s="41">
        <f t="shared" si="27"/>
        <v>611343.11322429206</v>
      </c>
      <c r="F90" s="52">
        <v>0</v>
      </c>
      <c r="G90" s="41">
        <f t="shared" si="22"/>
        <v>3897.26</v>
      </c>
      <c r="H90" s="41">
        <f t="shared" si="23"/>
        <v>2521.7903420502048</v>
      </c>
      <c r="I90" s="41">
        <f t="shared" si="24"/>
        <v>1375.4696579497954</v>
      </c>
      <c r="J90" s="41">
        <f t="shared" si="25"/>
        <v>609967.6435663423</v>
      </c>
    </row>
    <row r="91" spans="1:10" outlineLevel="1" x14ac:dyDescent="0.25">
      <c r="A91" s="51" t="s">
        <v>80</v>
      </c>
      <c r="C91" s="50"/>
      <c r="D91" s="50"/>
      <c r="E91" s="41">
        <f t="shared" si="27"/>
        <v>609967.6435663423</v>
      </c>
      <c r="F91" s="41"/>
      <c r="G91" s="49"/>
      <c r="H91" s="49">
        <f>-I91</f>
        <v>0</v>
      </c>
      <c r="I91" s="41"/>
      <c r="J91" s="41">
        <f t="shared" si="25"/>
        <v>609967.6435663423</v>
      </c>
    </row>
    <row r="92" spans="1:10" x14ac:dyDescent="0.25">
      <c r="A92" s="48" t="str">
        <f>CONCATENATE("Total exercice ",A78)</f>
        <v>Total exercice 2027</v>
      </c>
      <c r="B92" s="10"/>
      <c r="C92" s="10"/>
      <c r="D92" s="10"/>
      <c r="E92" s="10"/>
      <c r="F92" s="10"/>
      <c r="G92" s="47">
        <f>SUM(G79:G91)</f>
        <v>46767.120000000017</v>
      </c>
      <c r="H92" s="47">
        <f>SUM(H79:H91)</f>
        <v>30629.357495983309</v>
      </c>
      <c r="I92" s="47">
        <f>SUM(I79:I91)</f>
        <v>16137.762504016689</v>
      </c>
      <c r="J92" s="47">
        <f>+J91</f>
        <v>609967.6435663423</v>
      </c>
    </row>
    <row r="94" spans="1:10" hidden="1" outlineLevel="1" x14ac:dyDescent="0.25">
      <c r="A94" s="45">
        <f>+A78+1</f>
        <v>2028</v>
      </c>
      <c r="B94" s="1"/>
      <c r="C94" s="54" t="s">
        <v>87</v>
      </c>
      <c r="D94" s="54"/>
      <c r="E94" s="54" t="s">
        <v>86</v>
      </c>
      <c r="F94" s="54" t="s">
        <v>85</v>
      </c>
      <c r="G94" s="54" t="s">
        <v>84</v>
      </c>
      <c r="H94" s="54" t="s">
        <v>83</v>
      </c>
      <c r="I94" s="54" t="s">
        <v>82</v>
      </c>
      <c r="J94" s="54" t="s">
        <v>81</v>
      </c>
    </row>
    <row r="95" spans="1:10" hidden="1" outlineLevel="1" x14ac:dyDescent="0.25">
      <c r="A95" s="51">
        <f>EDATE(A90,1)</f>
        <v>46389</v>
      </c>
      <c r="B95" s="53">
        <v>1</v>
      </c>
      <c r="C95" s="50" t="e">
        <v>#VALUE!</v>
      </c>
      <c r="D95" s="50"/>
      <c r="E95" s="41">
        <f>+J91</f>
        <v>609967.6435663423</v>
      </c>
      <c r="F95" s="52">
        <v>0</v>
      </c>
      <c r="G95" s="41">
        <f t="shared" ref="G95:G106" si="28">MIN(IF($C$12="Capital seulement",I95+H95,$E$12),E95+F95)</f>
        <v>3897.26</v>
      </c>
      <c r="H95" s="41" t="e">
        <f t="shared" ref="H95:H106" si="29">(E95+F95)*C95/12</f>
        <v>#VALUE!</v>
      </c>
      <c r="I95" s="41" t="e">
        <f t="shared" ref="I95:I106" si="30">MIN(IF($C$12="Capital seulement",$E$12,G95-H95),E95+F95)</f>
        <v>#VALUE!</v>
      </c>
      <c r="J95" s="41" t="e">
        <f t="shared" ref="J95:J107" si="31">MAX(E95-I95+F95,0)</f>
        <v>#VALUE!</v>
      </c>
    </row>
    <row r="96" spans="1:10" hidden="1" outlineLevel="1" x14ac:dyDescent="0.25">
      <c r="A96" s="51">
        <f t="shared" ref="A96:A106" si="32">EDATE(A95,1)</f>
        <v>46420</v>
      </c>
      <c r="B96" s="53">
        <v>2</v>
      </c>
      <c r="C96" s="50" t="e">
        <v>#VALUE!</v>
      </c>
      <c r="D96" s="50"/>
      <c r="E96" s="41" t="e">
        <f t="shared" ref="E96:E107" si="33">+J95</f>
        <v>#VALUE!</v>
      </c>
      <c r="F96" s="52">
        <v>0</v>
      </c>
      <c r="G96" s="41" t="e">
        <f t="shared" si="28"/>
        <v>#VALUE!</v>
      </c>
      <c r="H96" s="41" t="e">
        <f t="shared" si="29"/>
        <v>#VALUE!</v>
      </c>
      <c r="I96" s="41" t="e">
        <f t="shared" si="30"/>
        <v>#VALUE!</v>
      </c>
      <c r="J96" s="41" t="e">
        <f t="shared" si="31"/>
        <v>#VALUE!</v>
      </c>
    </row>
    <row r="97" spans="1:10" hidden="1" outlineLevel="1" x14ac:dyDescent="0.25">
      <c r="A97" s="51">
        <f t="shared" si="32"/>
        <v>46448</v>
      </c>
      <c r="B97" s="53">
        <v>3</v>
      </c>
      <c r="C97" s="50" t="e">
        <v>#VALUE!</v>
      </c>
      <c r="D97" s="50"/>
      <c r="E97" s="41" t="e">
        <f t="shared" si="33"/>
        <v>#VALUE!</v>
      </c>
      <c r="F97" s="52">
        <v>0</v>
      </c>
      <c r="G97" s="41" t="e">
        <f t="shared" si="28"/>
        <v>#VALUE!</v>
      </c>
      <c r="H97" s="41" t="e">
        <f t="shared" si="29"/>
        <v>#VALUE!</v>
      </c>
      <c r="I97" s="41" t="e">
        <f t="shared" si="30"/>
        <v>#VALUE!</v>
      </c>
      <c r="J97" s="41" t="e">
        <f t="shared" si="31"/>
        <v>#VALUE!</v>
      </c>
    </row>
    <row r="98" spans="1:10" hidden="1" outlineLevel="1" x14ac:dyDescent="0.25">
      <c r="A98" s="51">
        <f t="shared" si="32"/>
        <v>46479</v>
      </c>
      <c r="B98" s="53">
        <v>4</v>
      </c>
      <c r="C98" s="50" t="e">
        <v>#VALUE!</v>
      </c>
      <c r="D98" s="50"/>
      <c r="E98" s="41" t="e">
        <f t="shared" si="33"/>
        <v>#VALUE!</v>
      </c>
      <c r="F98" s="52">
        <v>0</v>
      </c>
      <c r="G98" s="41" t="e">
        <f t="shared" si="28"/>
        <v>#VALUE!</v>
      </c>
      <c r="H98" s="41" t="e">
        <f t="shared" si="29"/>
        <v>#VALUE!</v>
      </c>
      <c r="I98" s="41" t="e">
        <f t="shared" si="30"/>
        <v>#VALUE!</v>
      </c>
      <c r="J98" s="41" t="e">
        <f t="shared" si="31"/>
        <v>#VALUE!</v>
      </c>
    </row>
    <row r="99" spans="1:10" hidden="1" outlineLevel="1" x14ac:dyDescent="0.25">
      <c r="A99" s="51">
        <f t="shared" si="32"/>
        <v>46509</v>
      </c>
      <c r="B99" s="53">
        <v>5</v>
      </c>
      <c r="C99" s="50" t="e">
        <v>#VALUE!</v>
      </c>
      <c r="D99" s="50"/>
      <c r="E99" s="41" t="e">
        <f t="shared" si="33"/>
        <v>#VALUE!</v>
      </c>
      <c r="F99" s="52">
        <v>0</v>
      </c>
      <c r="G99" s="41" t="e">
        <f t="shared" si="28"/>
        <v>#VALUE!</v>
      </c>
      <c r="H99" s="41" t="e">
        <f t="shared" si="29"/>
        <v>#VALUE!</v>
      </c>
      <c r="I99" s="41" t="e">
        <f t="shared" si="30"/>
        <v>#VALUE!</v>
      </c>
      <c r="J99" s="41" t="e">
        <f t="shared" si="31"/>
        <v>#VALUE!</v>
      </c>
    </row>
    <row r="100" spans="1:10" hidden="1" outlineLevel="1" x14ac:dyDescent="0.25">
      <c r="A100" s="51">
        <f t="shared" si="32"/>
        <v>46540</v>
      </c>
      <c r="B100" s="53">
        <v>6</v>
      </c>
      <c r="C100" s="50" t="e">
        <v>#VALUE!</v>
      </c>
      <c r="D100" s="50"/>
      <c r="E100" s="41" t="e">
        <f t="shared" si="33"/>
        <v>#VALUE!</v>
      </c>
      <c r="F100" s="52">
        <v>0</v>
      </c>
      <c r="G100" s="41" t="e">
        <f t="shared" si="28"/>
        <v>#VALUE!</v>
      </c>
      <c r="H100" s="41" t="e">
        <f t="shared" si="29"/>
        <v>#VALUE!</v>
      </c>
      <c r="I100" s="41" t="e">
        <f t="shared" si="30"/>
        <v>#VALUE!</v>
      </c>
      <c r="J100" s="41" t="e">
        <f t="shared" si="31"/>
        <v>#VALUE!</v>
      </c>
    </row>
    <row r="101" spans="1:10" hidden="1" outlineLevel="1" x14ac:dyDescent="0.25">
      <c r="A101" s="51">
        <f t="shared" si="32"/>
        <v>46570</v>
      </c>
      <c r="B101" s="53">
        <v>7</v>
      </c>
      <c r="C101" s="50" t="e">
        <v>#VALUE!</v>
      </c>
      <c r="D101" s="50"/>
      <c r="E101" s="41" t="e">
        <f t="shared" si="33"/>
        <v>#VALUE!</v>
      </c>
      <c r="F101" s="52">
        <v>0</v>
      </c>
      <c r="G101" s="41" t="e">
        <f t="shared" si="28"/>
        <v>#VALUE!</v>
      </c>
      <c r="H101" s="41" t="e">
        <f t="shared" si="29"/>
        <v>#VALUE!</v>
      </c>
      <c r="I101" s="41" t="e">
        <f t="shared" si="30"/>
        <v>#VALUE!</v>
      </c>
      <c r="J101" s="41" t="e">
        <f t="shared" si="31"/>
        <v>#VALUE!</v>
      </c>
    </row>
    <row r="102" spans="1:10" hidden="1" outlineLevel="1" x14ac:dyDescent="0.25">
      <c r="A102" s="51">
        <f t="shared" si="32"/>
        <v>46601</v>
      </c>
      <c r="B102" s="53">
        <v>8</v>
      </c>
      <c r="C102" s="50" t="e">
        <v>#VALUE!</v>
      </c>
      <c r="D102" s="50"/>
      <c r="E102" s="41" t="e">
        <f t="shared" si="33"/>
        <v>#VALUE!</v>
      </c>
      <c r="F102" s="52">
        <v>0</v>
      </c>
      <c r="G102" s="41" t="e">
        <f t="shared" si="28"/>
        <v>#VALUE!</v>
      </c>
      <c r="H102" s="41" t="e">
        <f t="shared" si="29"/>
        <v>#VALUE!</v>
      </c>
      <c r="I102" s="41" t="e">
        <f t="shared" si="30"/>
        <v>#VALUE!</v>
      </c>
      <c r="J102" s="41" t="e">
        <f t="shared" si="31"/>
        <v>#VALUE!</v>
      </c>
    </row>
    <row r="103" spans="1:10" hidden="1" outlineLevel="1" x14ac:dyDescent="0.25">
      <c r="A103" s="51">
        <f t="shared" si="32"/>
        <v>46632</v>
      </c>
      <c r="B103" s="53">
        <v>9</v>
      </c>
      <c r="C103" s="50" t="e">
        <v>#VALUE!</v>
      </c>
      <c r="D103" s="50"/>
      <c r="E103" s="41" t="e">
        <f t="shared" si="33"/>
        <v>#VALUE!</v>
      </c>
      <c r="F103" s="52">
        <v>0</v>
      </c>
      <c r="G103" s="41" t="e">
        <f t="shared" si="28"/>
        <v>#VALUE!</v>
      </c>
      <c r="H103" s="41" t="e">
        <f t="shared" si="29"/>
        <v>#VALUE!</v>
      </c>
      <c r="I103" s="41" t="e">
        <f t="shared" si="30"/>
        <v>#VALUE!</v>
      </c>
      <c r="J103" s="41" t="e">
        <f t="shared" si="31"/>
        <v>#VALUE!</v>
      </c>
    </row>
    <row r="104" spans="1:10" hidden="1" outlineLevel="1" x14ac:dyDescent="0.25">
      <c r="A104" s="51">
        <f t="shared" si="32"/>
        <v>46662</v>
      </c>
      <c r="B104" s="53">
        <v>10</v>
      </c>
      <c r="C104" s="50" t="e">
        <v>#VALUE!</v>
      </c>
      <c r="D104" s="50"/>
      <c r="E104" s="41" t="e">
        <f t="shared" si="33"/>
        <v>#VALUE!</v>
      </c>
      <c r="F104" s="52">
        <v>0</v>
      </c>
      <c r="G104" s="41" t="e">
        <f t="shared" si="28"/>
        <v>#VALUE!</v>
      </c>
      <c r="H104" s="41" t="e">
        <f t="shared" si="29"/>
        <v>#VALUE!</v>
      </c>
      <c r="I104" s="41" t="e">
        <f t="shared" si="30"/>
        <v>#VALUE!</v>
      </c>
      <c r="J104" s="41" t="e">
        <f t="shared" si="31"/>
        <v>#VALUE!</v>
      </c>
    </row>
    <row r="105" spans="1:10" hidden="1" outlineLevel="1" x14ac:dyDescent="0.25">
      <c r="A105" s="51">
        <f t="shared" si="32"/>
        <v>46693</v>
      </c>
      <c r="B105" s="53">
        <v>11</v>
      </c>
      <c r="C105" s="50" t="e">
        <v>#VALUE!</v>
      </c>
      <c r="D105" s="50"/>
      <c r="E105" s="41" t="e">
        <f t="shared" si="33"/>
        <v>#VALUE!</v>
      </c>
      <c r="F105" s="52">
        <v>0</v>
      </c>
      <c r="G105" s="41" t="e">
        <f t="shared" si="28"/>
        <v>#VALUE!</v>
      </c>
      <c r="H105" s="41" t="e">
        <f t="shared" si="29"/>
        <v>#VALUE!</v>
      </c>
      <c r="I105" s="41" t="e">
        <f t="shared" si="30"/>
        <v>#VALUE!</v>
      </c>
      <c r="J105" s="41" t="e">
        <f t="shared" si="31"/>
        <v>#VALUE!</v>
      </c>
    </row>
    <row r="106" spans="1:10" hidden="1" outlineLevel="1" x14ac:dyDescent="0.25">
      <c r="A106" s="51">
        <f t="shared" si="32"/>
        <v>46723</v>
      </c>
      <c r="B106" s="53">
        <v>12</v>
      </c>
      <c r="C106" s="50" t="e">
        <v>#VALUE!</v>
      </c>
      <c r="D106" s="50"/>
      <c r="E106" s="41" t="e">
        <f t="shared" si="33"/>
        <v>#VALUE!</v>
      </c>
      <c r="F106" s="52">
        <v>0</v>
      </c>
      <c r="G106" s="41" t="e">
        <f t="shared" si="28"/>
        <v>#VALUE!</v>
      </c>
      <c r="H106" s="41" t="e">
        <f t="shared" si="29"/>
        <v>#VALUE!</v>
      </c>
      <c r="I106" s="41" t="e">
        <f t="shared" si="30"/>
        <v>#VALUE!</v>
      </c>
      <c r="J106" s="41" t="e">
        <f t="shared" si="31"/>
        <v>#VALUE!</v>
      </c>
    </row>
    <row r="107" spans="1:10" hidden="1" outlineLevel="1" x14ac:dyDescent="0.25">
      <c r="A107" s="51" t="s">
        <v>80</v>
      </c>
      <c r="C107" s="50"/>
      <c r="D107" s="50"/>
      <c r="E107" s="41" t="e">
        <f t="shared" si="33"/>
        <v>#VALUE!</v>
      </c>
      <c r="F107" s="41"/>
      <c r="G107" s="49"/>
      <c r="H107" s="49">
        <f>-I107</f>
        <v>0</v>
      </c>
      <c r="I107" s="41"/>
      <c r="J107" s="41" t="e">
        <f t="shared" si="31"/>
        <v>#VALUE!</v>
      </c>
    </row>
    <row r="108" spans="1:10" collapsed="1" x14ac:dyDescent="0.25">
      <c r="A108" s="48" t="str">
        <f>CONCATENATE("Total exercice ",A94)</f>
        <v>Total exercice 2028</v>
      </c>
      <c r="B108" s="10"/>
      <c r="C108" s="10"/>
      <c r="D108" s="10"/>
      <c r="E108" s="10"/>
      <c r="F108" s="10"/>
      <c r="G108" s="47" t="e">
        <f>SUM(G95:G107)</f>
        <v>#VALUE!</v>
      </c>
      <c r="H108" s="47" t="e">
        <f>SUM(H95:H107)</f>
        <v>#VALUE!</v>
      </c>
      <c r="I108" s="47" t="e">
        <f>SUM(I95:I107)</f>
        <v>#VALUE!</v>
      </c>
      <c r="J108" s="47" t="e">
        <f>+J107</f>
        <v>#VALUE!</v>
      </c>
    </row>
    <row r="110" spans="1:10" hidden="1" outlineLevel="1" x14ac:dyDescent="0.25">
      <c r="A110" s="45">
        <f>+A94+1</f>
        <v>2029</v>
      </c>
      <c r="B110" s="1"/>
      <c r="C110" s="54" t="s">
        <v>87</v>
      </c>
      <c r="D110" s="54"/>
      <c r="E110" s="54" t="s">
        <v>86</v>
      </c>
      <c r="F110" s="54" t="s">
        <v>85</v>
      </c>
      <c r="G110" s="54" t="s">
        <v>84</v>
      </c>
      <c r="H110" s="54" t="s">
        <v>83</v>
      </c>
      <c r="I110" s="54" t="s">
        <v>82</v>
      </c>
      <c r="J110" s="54" t="s">
        <v>81</v>
      </c>
    </row>
    <row r="111" spans="1:10" hidden="1" outlineLevel="1" x14ac:dyDescent="0.25">
      <c r="A111" s="51">
        <f>EDATE(A106,1)</f>
        <v>46754</v>
      </c>
      <c r="B111" s="53">
        <v>1</v>
      </c>
      <c r="C111" s="50" t="e">
        <v>#VALUE!</v>
      </c>
      <c r="D111" s="50"/>
      <c r="E111" s="41" t="e">
        <f>+J107</f>
        <v>#VALUE!</v>
      </c>
      <c r="F111" s="52">
        <v>0</v>
      </c>
      <c r="G111" s="41" t="e">
        <f t="shared" ref="G111:G122" si="34">MIN(IF($C$12="Capital seulement",I111+H111,$E$12),E111+F111)</f>
        <v>#VALUE!</v>
      </c>
      <c r="H111" s="41" t="e">
        <f t="shared" ref="H111:H122" si="35">(E111+F111)*C111/12</f>
        <v>#VALUE!</v>
      </c>
      <c r="I111" s="41" t="e">
        <f t="shared" ref="I111:I122" si="36">MIN(IF($C$12="Capital seulement",$E$12,G111-H111),E111+F111)</f>
        <v>#VALUE!</v>
      </c>
      <c r="J111" s="41" t="e">
        <f t="shared" ref="J111:J123" si="37">MAX(E111-I111+F111,0)</f>
        <v>#VALUE!</v>
      </c>
    </row>
    <row r="112" spans="1:10" hidden="1" outlineLevel="1" x14ac:dyDescent="0.25">
      <c r="A112" s="51">
        <f t="shared" ref="A112:A122" si="38">EDATE(A111,1)</f>
        <v>46785</v>
      </c>
      <c r="B112" s="53">
        <v>2</v>
      </c>
      <c r="C112" s="50" t="e">
        <v>#VALUE!</v>
      </c>
      <c r="D112" s="50"/>
      <c r="E112" s="41" t="e">
        <f t="shared" ref="E112:E123" si="39">+J111</f>
        <v>#VALUE!</v>
      </c>
      <c r="F112" s="52">
        <v>0</v>
      </c>
      <c r="G112" s="41" t="e">
        <f t="shared" si="34"/>
        <v>#VALUE!</v>
      </c>
      <c r="H112" s="41" t="e">
        <f t="shared" si="35"/>
        <v>#VALUE!</v>
      </c>
      <c r="I112" s="41" t="e">
        <f t="shared" si="36"/>
        <v>#VALUE!</v>
      </c>
      <c r="J112" s="41" t="e">
        <f t="shared" si="37"/>
        <v>#VALUE!</v>
      </c>
    </row>
    <row r="113" spans="1:10" hidden="1" outlineLevel="1" x14ac:dyDescent="0.25">
      <c r="A113" s="51">
        <f t="shared" si="38"/>
        <v>46814</v>
      </c>
      <c r="B113" s="53">
        <v>3</v>
      </c>
      <c r="C113" s="50" t="e">
        <v>#VALUE!</v>
      </c>
      <c r="D113" s="50"/>
      <c r="E113" s="41" t="e">
        <f t="shared" si="39"/>
        <v>#VALUE!</v>
      </c>
      <c r="F113" s="52">
        <v>0</v>
      </c>
      <c r="G113" s="41" t="e">
        <f t="shared" si="34"/>
        <v>#VALUE!</v>
      </c>
      <c r="H113" s="41" t="e">
        <f t="shared" si="35"/>
        <v>#VALUE!</v>
      </c>
      <c r="I113" s="41" t="e">
        <f t="shared" si="36"/>
        <v>#VALUE!</v>
      </c>
      <c r="J113" s="41" t="e">
        <f t="shared" si="37"/>
        <v>#VALUE!</v>
      </c>
    </row>
    <row r="114" spans="1:10" hidden="1" outlineLevel="1" x14ac:dyDescent="0.25">
      <c r="A114" s="51">
        <f t="shared" si="38"/>
        <v>46845</v>
      </c>
      <c r="B114" s="53">
        <v>4</v>
      </c>
      <c r="C114" s="50" t="e">
        <v>#VALUE!</v>
      </c>
      <c r="D114" s="50"/>
      <c r="E114" s="41" t="e">
        <f t="shared" si="39"/>
        <v>#VALUE!</v>
      </c>
      <c r="F114" s="52">
        <v>0</v>
      </c>
      <c r="G114" s="41" t="e">
        <f t="shared" si="34"/>
        <v>#VALUE!</v>
      </c>
      <c r="H114" s="41" t="e">
        <f t="shared" si="35"/>
        <v>#VALUE!</v>
      </c>
      <c r="I114" s="41" t="e">
        <f t="shared" si="36"/>
        <v>#VALUE!</v>
      </c>
      <c r="J114" s="41" t="e">
        <f t="shared" si="37"/>
        <v>#VALUE!</v>
      </c>
    </row>
    <row r="115" spans="1:10" hidden="1" outlineLevel="1" x14ac:dyDescent="0.25">
      <c r="A115" s="51">
        <f t="shared" si="38"/>
        <v>46875</v>
      </c>
      <c r="B115" s="53">
        <v>5</v>
      </c>
      <c r="C115" s="50" t="e">
        <v>#VALUE!</v>
      </c>
      <c r="D115" s="50"/>
      <c r="E115" s="41" t="e">
        <f t="shared" si="39"/>
        <v>#VALUE!</v>
      </c>
      <c r="F115" s="52">
        <v>0</v>
      </c>
      <c r="G115" s="41" t="e">
        <f t="shared" si="34"/>
        <v>#VALUE!</v>
      </c>
      <c r="H115" s="41" t="e">
        <f t="shared" si="35"/>
        <v>#VALUE!</v>
      </c>
      <c r="I115" s="41" t="e">
        <f t="shared" si="36"/>
        <v>#VALUE!</v>
      </c>
      <c r="J115" s="41" t="e">
        <f t="shared" si="37"/>
        <v>#VALUE!</v>
      </c>
    </row>
    <row r="116" spans="1:10" hidden="1" outlineLevel="1" x14ac:dyDescent="0.25">
      <c r="A116" s="51">
        <f t="shared" si="38"/>
        <v>46906</v>
      </c>
      <c r="B116" s="53">
        <v>6</v>
      </c>
      <c r="C116" s="50" t="e">
        <v>#VALUE!</v>
      </c>
      <c r="D116" s="50"/>
      <c r="E116" s="41" t="e">
        <f t="shared" si="39"/>
        <v>#VALUE!</v>
      </c>
      <c r="F116" s="52">
        <v>0</v>
      </c>
      <c r="G116" s="41" t="e">
        <f t="shared" si="34"/>
        <v>#VALUE!</v>
      </c>
      <c r="H116" s="41" t="e">
        <f t="shared" si="35"/>
        <v>#VALUE!</v>
      </c>
      <c r="I116" s="41" t="e">
        <f t="shared" si="36"/>
        <v>#VALUE!</v>
      </c>
      <c r="J116" s="41" t="e">
        <f t="shared" si="37"/>
        <v>#VALUE!</v>
      </c>
    </row>
    <row r="117" spans="1:10" hidden="1" outlineLevel="1" x14ac:dyDescent="0.25">
      <c r="A117" s="51">
        <f t="shared" si="38"/>
        <v>46936</v>
      </c>
      <c r="B117" s="53">
        <v>7</v>
      </c>
      <c r="C117" s="50" t="e">
        <v>#VALUE!</v>
      </c>
      <c r="D117" s="50"/>
      <c r="E117" s="41" t="e">
        <f t="shared" si="39"/>
        <v>#VALUE!</v>
      </c>
      <c r="F117" s="52">
        <v>0</v>
      </c>
      <c r="G117" s="41" t="e">
        <f t="shared" si="34"/>
        <v>#VALUE!</v>
      </c>
      <c r="H117" s="41" t="e">
        <f t="shared" si="35"/>
        <v>#VALUE!</v>
      </c>
      <c r="I117" s="41" t="e">
        <f t="shared" si="36"/>
        <v>#VALUE!</v>
      </c>
      <c r="J117" s="41" t="e">
        <f t="shared" si="37"/>
        <v>#VALUE!</v>
      </c>
    </row>
    <row r="118" spans="1:10" hidden="1" outlineLevel="1" x14ac:dyDescent="0.25">
      <c r="A118" s="51">
        <f t="shared" si="38"/>
        <v>46967</v>
      </c>
      <c r="B118" s="53">
        <v>8</v>
      </c>
      <c r="C118" s="50" t="e">
        <v>#VALUE!</v>
      </c>
      <c r="D118" s="50"/>
      <c r="E118" s="41" t="e">
        <f t="shared" si="39"/>
        <v>#VALUE!</v>
      </c>
      <c r="F118" s="52">
        <v>0</v>
      </c>
      <c r="G118" s="41" t="e">
        <f t="shared" si="34"/>
        <v>#VALUE!</v>
      </c>
      <c r="H118" s="41" t="e">
        <f t="shared" si="35"/>
        <v>#VALUE!</v>
      </c>
      <c r="I118" s="41" t="e">
        <f t="shared" si="36"/>
        <v>#VALUE!</v>
      </c>
      <c r="J118" s="41" t="e">
        <f t="shared" si="37"/>
        <v>#VALUE!</v>
      </c>
    </row>
    <row r="119" spans="1:10" hidden="1" outlineLevel="1" x14ac:dyDescent="0.25">
      <c r="A119" s="51">
        <f t="shared" si="38"/>
        <v>46998</v>
      </c>
      <c r="B119" s="53">
        <v>9</v>
      </c>
      <c r="C119" s="50" t="e">
        <v>#VALUE!</v>
      </c>
      <c r="D119" s="50"/>
      <c r="E119" s="41" t="e">
        <f t="shared" si="39"/>
        <v>#VALUE!</v>
      </c>
      <c r="F119" s="52">
        <v>0</v>
      </c>
      <c r="G119" s="41" t="e">
        <f t="shared" si="34"/>
        <v>#VALUE!</v>
      </c>
      <c r="H119" s="41" t="e">
        <f t="shared" si="35"/>
        <v>#VALUE!</v>
      </c>
      <c r="I119" s="41" t="e">
        <f t="shared" si="36"/>
        <v>#VALUE!</v>
      </c>
      <c r="J119" s="41" t="e">
        <f t="shared" si="37"/>
        <v>#VALUE!</v>
      </c>
    </row>
    <row r="120" spans="1:10" hidden="1" outlineLevel="1" x14ac:dyDescent="0.25">
      <c r="A120" s="51">
        <f t="shared" si="38"/>
        <v>47028</v>
      </c>
      <c r="B120" s="53">
        <v>10</v>
      </c>
      <c r="C120" s="50" t="e">
        <v>#VALUE!</v>
      </c>
      <c r="D120" s="50"/>
      <c r="E120" s="41" t="e">
        <f t="shared" si="39"/>
        <v>#VALUE!</v>
      </c>
      <c r="F120" s="52">
        <v>0</v>
      </c>
      <c r="G120" s="41" t="e">
        <f t="shared" si="34"/>
        <v>#VALUE!</v>
      </c>
      <c r="H120" s="41" t="e">
        <f t="shared" si="35"/>
        <v>#VALUE!</v>
      </c>
      <c r="I120" s="41" t="e">
        <f t="shared" si="36"/>
        <v>#VALUE!</v>
      </c>
      <c r="J120" s="41" t="e">
        <f t="shared" si="37"/>
        <v>#VALUE!</v>
      </c>
    </row>
    <row r="121" spans="1:10" hidden="1" outlineLevel="1" x14ac:dyDescent="0.25">
      <c r="A121" s="51">
        <f t="shared" si="38"/>
        <v>47059</v>
      </c>
      <c r="B121" s="53">
        <v>11</v>
      </c>
      <c r="C121" s="50" t="e">
        <v>#VALUE!</v>
      </c>
      <c r="D121" s="50"/>
      <c r="E121" s="41" t="e">
        <f t="shared" si="39"/>
        <v>#VALUE!</v>
      </c>
      <c r="F121" s="52">
        <v>0</v>
      </c>
      <c r="G121" s="41" t="e">
        <f t="shared" si="34"/>
        <v>#VALUE!</v>
      </c>
      <c r="H121" s="41" t="e">
        <f t="shared" si="35"/>
        <v>#VALUE!</v>
      </c>
      <c r="I121" s="41" t="e">
        <f t="shared" si="36"/>
        <v>#VALUE!</v>
      </c>
      <c r="J121" s="41" t="e">
        <f t="shared" si="37"/>
        <v>#VALUE!</v>
      </c>
    </row>
    <row r="122" spans="1:10" hidden="1" outlineLevel="1" x14ac:dyDescent="0.25">
      <c r="A122" s="51">
        <f t="shared" si="38"/>
        <v>47089</v>
      </c>
      <c r="B122" s="53">
        <v>12</v>
      </c>
      <c r="C122" s="50" t="e">
        <v>#VALUE!</v>
      </c>
      <c r="D122" s="50"/>
      <c r="E122" s="41" t="e">
        <f t="shared" si="39"/>
        <v>#VALUE!</v>
      </c>
      <c r="F122" s="52">
        <v>0</v>
      </c>
      <c r="G122" s="41" t="e">
        <f t="shared" si="34"/>
        <v>#VALUE!</v>
      </c>
      <c r="H122" s="41" t="e">
        <f t="shared" si="35"/>
        <v>#VALUE!</v>
      </c>
      <c r="I122" s="41" t="e">
        <f t="shared" si="36"/>
        <v>#VALUE!</v>
      </c>
      <c r="J122" s="41" t="e">
        <f t="shared" si="37"/>
        <v>#VALUE!</v>
      </c>
    </row>
    <row r="123" spans="1:10" hidden="1" outlineLevel="1" x14ac:dyDescent="0.25">
      <c r="A123" s="51" t="s">
        <v>80</v>
      </c>
      <c r="C123" s="50"/>
      <c r="D123" s="50"/>
      <c r="E123" s="41" t="e">
        <f t="shared" si="39"/>
        <v>#VALUE!</v>
      </c>
      <c r="F123" s="41"/>
      <c r="G123" s="49"/>
      <c r="H123" s="49">
        <f>-I123</f>
        <v>0</v>
      </c>
      <c r="I123" s="41"/>
      <c r="J123" s="41" t="e">
        <f t="shared" si="37"/>
        <v>#VALUE!</v>
      </c>
    </row>
    <row r="124" spans="1:10" collapsed="1" x14ac:dyDescent="0.25">
      <c r="A124" s="48" t="str">
        <f>CONCATENATE("Total exercice ",A110)</f>
        <v>Total exercice 2029</v>
      </c>
      <c r="B124" s="10"/>
      <c r="C124" s="10"/>
      <c r="D124" s="10"/>
      <c r="E124" s="10"/>
      <c r="F124" s="10"/>
      <c r="G124" s="47" t="e">
        <f>SUM(G111:G123)</f>
        <v>#VALUE!</v>
      </c>
      <c r="H124" s="47" t="e">
        <f>SUM(H111:H123)</f>
        <v>#VALUE!</v>
      </c>
      <c r="I124" s="47" t="e">
        <f>SUM(I111:I123)</f>
        <v>#VALUE!</v>
      </c>
      <c r="J124" s="47" t="e">
        <f>+J123</f>
        <v>#VALUE!</v>
      </c>
    </row>
  </sheetData>
  <mergeCells count="5">
    <mergeCell ref="F22:I24"/>
    <mergeCell ref="A2:E2"/>
    <mergeCell ref="E15:I15"/>
    <mergeCell ref="E16:I16"/>
    <mergeCell ref="E17:I17"/>
  </mergeCells>
  <conditionalFormatting sqref="C10 C12 C15:C17">
    <cfRule type="cellIs" dxfId="1" priority="1" operator="equal">
      <formula>"Effectuez choix"</formula>
    </cfRule>
  </conditionalFormatting>
  <conditionalFormatting sqref="C24:D24">
    <cfRule type="cellIs" dxfId="0" priority="2" operator="notEqual">
      <formula>0</formula>
    </cfRule>
  </conditionalFormatting>
  <dataValidations count="3">
    <dataValidation type="list" allowBlank="1" showInputMessage="1" showErrorMessage="1" sqref="C10" xr:uid="{2BD94992-9452-46E1-A117-6AE9BFAF8272}">
      <formula1>$K$7:$K$10</formula1>
    </dataValidation>
    <dataValidation type="list" allowBlank="1" showInputMessage="1" showErrorMessage="1" sqref="C12" xr:uid="{81A409C3-02B0-4260-B8EB-A8A3640B18D0}">
      <formula1>$K$12:$K$14</formula1>
    </dataValidation>
    <dataValidation type="list" allowBlank="1" showInputMessage="1" showErrorMessage="1" sqref="C15:C17" xr:uid="{EE6985C1-85F4-47C9-805F-A4800226AA32}">
      <formula1>$K$16:$K$18</formula1>
    </dataValidation>
  </dataValidations>
  <hyperlinks>
    <hyperlink ref="E22" r:id="rId1" tooltip="cw:KK" display="'KK" xr:uid="{5DC7D615-3395-41A3-94D9-6597B5E130D5}"/>
  </hyperlinks>
  <pageMargins left="0.25" right="0.25" top="0.75" bottom="0.75" header="0.3" footer="0.3"/>
  <pageSetup scale="53" fitToHeight="0" orientation="portrait" r:id="rId2"/>
  <drawing r:id="rId3"/>
  <legacyDrawing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A4F9-B822-4181-A06B-A0AAFBCD5C8C}">
  <sheetPr>
    <tabColor theme="4" tint="0.39997558519241921"/>
  </sheetPr>
  <dimension ref="A1:J46"/>
  <sheetViews>
    <sheetView workbookViewId="0">
      <selection activeCell="B39" sqref="B39"/>
    </sheetView>
  </sheetViews>
  <sheetFormatPr baseColWidth="10" defaultRowHeight="15" x14ac:dyDescent="0.25"/>
  <cols>
    <col min="1" max="1" width="24.7109375" customWidth="1"/>
    <col min="4" max="4" width="16.7109375" customWidth="1"/>
    <col min="5" max="5" width="13.28515625" customWidth="1"/>
    <col min="6" max="6" width="12.85546875" customWidth="1"/>
  </cols>
  <sheetData>
    <row r="1" spans="1:6" x14ac:dyDescent="0.25">
      <c r="F1">
        <v>5</v>
      </c>
    </row>
    <row r="2" spans="1:6" x14ac:dyDescent="0.25">
      <c r="A2" s="1" t="s">
        <v>0</v>
      </c>
    </row>
    <row r="4" spans="1:6" x14ac:dyDescent="0.25">
      <c r="A4" s="1" t="s">
        <v>2</v>
      </c>
    </row>
    <row r="6" spans="1:6" x14ac:dyDescent="0.25">
      <c r="A6" s="3" t="s">
        <v>3</v>
      </c>
      <c r="B6" s="4"/>
      <c r="C6" s="4"/>
      <c r="D6" s="4"/>
      <c r="E6" s="4"/>
      <c r="F6" s="4"/>
    </row>
    <row r="8" spans="1:6" x14ac:dyDescent="0.25">
      <c r="A8" s="4"/>
      <c r="B8" s="4"/>
      <c r="C8" s="4"/>
      <c r="D8" s="4"/>
      <c r="E8" s="5">
        <v>2021</v>
      </c>
      <c r="F8" s="6">
        <v>2020</v>
      </c>
    </row>
    <row r="10" spans="1:6" x14ac:dyDescent="0.25">
      <c r="A10" s="1" t="s">
        <v>7</v>
      </c>
    </row>
    <row r="11" spans="1:6" x14ac:dyDescent="0.25">
      <c r="A11" s="1" t="s">
        <v>5</v>
      </c>
    </row>
    <row r="12" spans="1:6" hidden="1" x14ac:dyDescent="0.25">
      <c r="A12" t="s">
        <v>8</v>
      </c>
      <c r="E12" s="23">
        <v>0</v>
      </c>
      <c r="F12" s="21">
        <v>0</v>
      </c>
    </row>
    <row r="13" spans="1:6" x14ac:dyDescent="0.25">
      <c r="A13" t="s">
        <v>9</v>
      </c>
      <c r="E13" s="23">
        <v>0</v>
      </c>
      <c r="F13" s="21">
        <v>120416</v>
      </c>
    </row>
    <row r="14" spans="1:6" x14ac:dyDescent="0.25">
      <c r="A14" t="s">
        <v>10</v>
      </c>
      <c r="E14" s="8">
        <v>1278833</v>
      </c>
      <c r="F14" s="9">
        <v>1077727</v>
      </c>
    </row>
    <row r="15" spans="1:6" x14ac:dyDescent="0.25">
      <c r="A15" t="s">
        <v>11</v>
      </c>
      <c r="E15" s="8">
        <v>2059</v>
      </c>
      <c r="F15" s="9">
        <v>5898</v>
      </c>
    </row>
    <row r="16" spans="1:6" x14ac:dyDescent="0.25">
      <c r="A16" t="s">
        <v>12</v>
      </c>
      <c r="E16" s="8">
        <v>25914</v>
      </c>
      <c r="F16" s="9">
        <v>0</v>
      </c>
    </row>
    <row r="17" spans="1:10" x14ac:dyDescent="0.25">
      <c r="A17" t="s">
        <v>13</v>
      </c>
      <c r="E17" s="8">
        <v>189792</v>
      </c>
      <c r="F17" s="9">
        <v>152071</v>
      </c>
    </row>
    <row r="18" spans="1:10" x14ac:dyDescent="0.25">
      <c r="A18" t="s">
        <v>14</v>
      </c>
      <c r="E18" s="8">
        <v>1302865</v>
      </c>
      <c r="F18" s="9">
        <v>797047</v>
      </c>
    </row>
    <row r="19" spans="1:10" x14ac:dyDescent="0.25">
      <c r="A19" s="4" t="s">
        <v>15</v>
      </c>
      <c r="B19" s="4"/>
      <c r="C19" s="4"/>
      <c r="D19" s="4"/>
      <c r="E19" s="8">
        <v>15914</v>
      </c>
      <c r="F19" s="9">
        <v>30904</v>
      </c>
    </row>
    <row r="20" spans="1:10" x14ac:dyDescent="0.25">
      <c r="A20" s="4"/>
      <c r="B20" s="4"/>
      <c r="C20" s="4"/>
      <c r="D20" s="4"/>
      <c r="E20" s="12">
        <f>SUM(E12:E19)</f>
        <v>2815377</v>
      </c>
      <c r="F20" s="13">
        <f>SUM(F12:F19)</f>
        <v>2184063</v>
      </c>
    </row>
    <row r="21" spans="1:10" x14ac:dyDescent="0.25">
      <c r="E21" s="1"/>
    </row>
    <row r="22" spans="1:10" x14ac:dyDescent="0.25">
      <c r="A22" s="3" t="s">
        <v>16</v>
      </c>
      <c r="B22" s="4"/>
      <c r="C22" s="4"/>
      <c r="D22" s="4"/>
      <c r="E22" s="14">
        <v>13300937</v>
      </c>
      <c r="F22" s="15">
        <v>7221556</v>
      </c>
    </row>
    <row r="23" spans="1:10" x14ac:dyDescent="0.25">
      <c r="A23" s="1"/>
      <c r="E23" s="8"/>
      <c r="F23" s="9"/>
    </row>
    <row r="24" spans="1:10" x14ac:dyDescent="0.25">
      <c r="A24" s="1" t="s">
        <v>17</v>
      </c>
      <c r="B24" s="4"/>
      <c r="C24" s="4"/>
      <c r="D24" s="4"/>
      <c r="E24" s="14">
        <v>3231</v>
      </c>
      <c r="F24" s="15">
        <v>38083</v>
      </c>
    </row>
    <row r="25" spans="1:10" x14ac:dyDescent="0.25">
      <c r="A25" s="10"/>
      <c r="B25" s="11"/>
      <c r="C25" s="11"/>
      <c r="D25" s="11"/>
      <c r="E25" s="12">
        <f>+E22+E24+E20</f>
        <v>16119545</v>
      </c>
      <c r="F25" s="13">
        <f>+F22+F24+F20</f>
        <v>9443702</v>
      </c>
    </row>
    <row r="26" spans="1:10" x14ac:dyDescent="0.25">
      <c r="E26" s="1"/>
    </row>
    <row r="27" spans="1:10" x14ac:dyDescent="0.25">
      <c r="A27" s="1" t="s">
        <v>18</v>
      </c>
      <c r="E27" s="1"/>
    </row>
    <row r="28" spans="1:10" x14ac:dyDescent="0.25">
      <c r="A28" t="s">
        <v>19</v>
      </c>
      <c r="E28" s="8">
        <v>1329</v>
      </c>
      <c r="F28" s="9">
        <f>3174-2174</f>
        <v>1000</v>
      </c>
    </row>
    <row r="29" spans="1:10" x14ac:dyDescent="0.25">
      <c r="A29" s="4" t="s">
        <v>20</v>
      </c>
      <c r="B29" s="4"/>
      <c r="C29" s="4"/>
      <c r="D29" s="4"/>
      <c r="E29" s="14" t="e">
        <f>+#REF!</f>
        <v>#REF!</v>
      </c>
      <c r="F29" s="15" t="e">
        <f>+#REF!</f>
        <v>#REF!</v>
      </c>
      <c r="J29" s="21"/>
    </row>
    <row r="30" spans="1:10" x14ac:dyDescent="0.25">
      <c r="A30" s="4"/>
      <c r="B30" s="4"/>
      <c r="C30" s="4"/>
      <c r="D30" s="4"/>
      <c r="E30" s="14" t="e">
        <f>+E28+E29</f>
        <v>#REF!</v>
      </c>
      <c r="F30" s="15" t="e">
        <f>+F28+F29</f>
        <v>#REF!</v>
      </c>
    </row>
    <row r="31" spans="1:10" x14ac:dyDescent="0.25">
      <c r="E31" s="1"/>
    </row>
    <row r="32" spans="1:10" ht="21" customHeight="1" thickBot="1" x14ac:dyDescent="0.3">
      <c r="A32" s="17"/>
      <c r="B32" s="17"/>
      <c r="C32" s="17"/>
      <c r="D32" s="17"/>
      <c r="E32" s="19" t="e">
        <f>+E20+E22+E24+E30</f>
        <v>#REF!</v>
      </c>
      <c r="F32" s="20" t="e">
        <f>+F20+F22+F24+F30</f>
        <v>#REF!</v>
      </c>
    </row>
    <row r="36" spans="1:6" x14ac:dyDescent="0.25">
      <c r="F36" s="24" t="s">
        <v>21</v>
      </c>
    </row>
    <row r="38" spans="1:6" x14ac:dyDescent="0.25">
      <c r="F38" s="25" t="s">
        <v>22</v>
      </c>
    </row>
    <row r="46" spans="1:6" x14ac:dyDescent="0.25">
      <c r="A46" s="18"/>
    </row>
  </sheetData>
  <pageMargins left="0.7" right="0.7" top="0.75" bottom="0.75" header="0.3" footer="0.3"/>
  <pageSetup orientation="portrait" r:id="rId1"/>
  <headerFooter>
    <oddFooter>&amp;L&amp;"-,Gras"&amp;8NON AUDITÉ - VOIR AVIS AU LECTEUR</oddFooter>
  </headerFooter>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7603-7668-4CAF-B6B9-AC1E9232671A}">
  <sheetPr>
    <tabColor theme="4" tint="0.39997558519241921"/>
  </sheetPr>
  <dimension ref="A1:F45"/>
  <sheetViews>
    <sheetView workbookViewId="0">
      <selection activeCell="I15" sqref="I15"/>
    </sheetView>
  </sheetViews>
  <sheetFormatPr baseColWidth="10" defaultRowHeight="15" x14ac:dyDescent="0.25"/>
  <cols>
    <col min="1" max="1" width="33" customWidth="1"/>
    <col min="5" max="5" width="10.28515625" customWidth="1"/>
  </cols>
  <sheetData>
    <row r="1" spans="1:6" x14ac:dyDescent="0.25">
      <c r="F1">
        <v>5</v>
      </c>
    </row>
    <row r="2" spans="1:6" x14ac:dyDescent="0.25">
      <c r="A2" s="1" t="s">
        <v>28</v>
      </c>
    </row>
    <row r="4" spans="1:6" x14ac:dyDescent="0.25">
      <c r="A4" s="1" t="s">
        <v>23</v>
      </c>
    </row>
    <row r="6" spans="1:6" x14ac:dyDescent="0.25">
      <c r="A6" s="26" t="s">
        <v>30</v>
      </c>
      <c r="B6" s="4"/>
      <c r="C6" s="4"/>
      <c r="D6" s="4"/>
      <c r="E6" s="4"/>
      <c r="F6" s="4"/>
    </row>
    <row r="8" spans="1:6" x14ac:dyDescent="0.25">
      <c r="A8" s="1" t="s">
        <v>33</v>
      </c>
    </row>
    <row r="9" spans="1:6" ht="5.25" customHeight="1" x14ac:dyDescent="0.25"/>
    <row r="10" spans="1:6" ht="62.45" customHeight="1" x14ac:dyDescent="0.25">
      <c r="A10" s="120" t="s">
        <v>34</v>
      </c>
      <c r="B10" s="120"/>
      <c r="C10" s="120"/>
      <c r="D10" s="120"/>
      <c r="E10" s="120"/>
      <c r="F10" s="120"/>
    </row>
    <row r="12" spans="1:6" x14ac:dyDescent="0.25">
      <c r="A12" s="1" t="s">
        <v>35</v>
      </c>
    </row>
    <row r="13" spans="1:6" ht="4.5" customHeight="1" x14ac:dyDescent="0.25"/>
    <row r="14" spans="1:6" ht="30" customHeight="1" x14ac:dyDescent="0.25">
      <c r="A14" s="120" t="s">
        <v>36</v>
      </c>
      <c r="B14" s="120"/>
      <c r="C14" s="120"/>
      <c r="D14" s="120"/>
      <c r="E14" s="120"/>
      <c r="F14" s="120"/>
    </row>
    <row r="15" spans="1:6" x14ac:dyDescent="0.25">
      <c r="A15" s="29" t="s">
        <v>37</v>
      </c>
    </row>
    <row r="16" spans="1:6" x14ac:dyDescent="0.25">
      <c r="A16" s="30" t="s">
        <v>38</v>
      </c>
    </row>
    <row r="17" spans="1:6" x14ac:dyDescent="0.25">
      <c r="A17" s="30"/>
    </row>
    <row r="18" spans="1:6" x14ac:dyDescent="0.25">
      <c r="A18" s="1" t="s">
        <v>39</v>
      </c>
    </row>
    <row r="19" spans="1:6" ht="4.5" customHeight="1" x14ac:dyDescent="0.25"/>
    <row r="20" spans="1:6" ht="30" customHeight="1" x14ac:dyDescent="0.25">
      <c r="A20" s="120" t="s">
        <v>40</v>
      </c>
      <c r="B20" s="120"/>
      <c r="C20" s="120"/>
      <c r="D20" s="120"/>
      <c r="E20" s="120"/>
      <c r="F20" s="120"/>
    </row>
    <row r="45" spans="1:1" x14ac:dyDescent="0.25">
      <c r="A45" s="18"/>
    </row>
  </sheetData>
  <mergeCells count="3">
    <mergeCell ref="A10:F10"/>
    <mergeCell ref="A14:F14"/>
    <mergeCell ref="A20:F20"/>
  </mergeCells>
  <pageMargins left="0.7" right="0.7" top="0.75" bottom="0.75" header="0.3" footer="0.3"/>
  <pageSetup orientation="portrait" r:id="rId1"/>
  <headerFooter>
    <oddFooter>&amp;L&amp;"-,Gras"&amp;8NON AUDITÉ - VOIR AVIS AU LECTEUR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Clinique Veta</vt:lpstr>
      <vt:lpstr>Résultats - Veta</vt:lpstr>
      <vt:lpstr>Bilan - Veta</vt:lpstr>
      <vt:lpstr>Breakeven</vt:lpstr>
      <vt:lpstr>Hypothèses - Veta</vt:lpstr>
      <vt:lpstr>Prêt - Veta</vt:lpstr>
      <vt:lpstr>BPV - Veta</vt:lpstr>
      <vt:lpstr>Immo</vt:lpstr>
      <vt:lpstr>Résultats - Immo</vt:lpstr>
      <vt:lpstr>Bilan - Immo</vt:lpstr>
      <vt:lpstr>Hypothèses - Immo</vt:lpstr>
      <vt:lpstr>Prêt - Immo</vt:lpstr>
      <vt:lpstr>Bilan 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Rachelle Fancelli</dc:creator>
  <cp:lastModifiedBy>Félix Lacroix</cp:lastModifiedBy>
  <cp:lastPrinted>2025-02-18T20:12:09Z</cp:lastPrinted>
  <dcterms:created xsi:type="dcterms:W3CDTF">2023-06-08T13:56:50Z</dcterms:created>
  <dcterms:modified xsi:type="dcterms:W3CDTF">2025-07-18T15:53:10Z</dcterms:modified>
</cp:coreProperties>
</file>