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xhamel/Desktop/267 49e av/"/>
    </mc:Choice>
  </mc:AlternateContent>
  <xr:revisionPtr revIDLastSave="0" documentId="8_{D28F0C78-7FCF-8F45-A960-554E1C4A0B5B}" xr6:coauthVersionLast="47" xr6:coauthVersionMax="47" xr10:uidLastSave="{00000000-0000-0000-0000-000000000000}"/>
  <bookViews>
    <workbookView xWindow="0" yWindow="500" windowWidth="25860" windowHeight="18520" xr2:uid="{3E57F32E-25BB-FC45-A10F-B645BF08CCF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8" i="1" l="1"/>
  <c r="E39" i="1" s="1"/>
  <c r="E17" i="1" l="1"/>
  <c r="E38" i="1" s="1"/>
  <c r="B28" i="1"/>
  <c r="E37" i="1" s="1"/>
  <c r="E24" i="1"/>
  <c r="B49" i="1" s="1"/>
  <c r="B45" i="1" l="1"/>
  <c r="B50" i="1" l="1"/>
  <c r="B51" i="1" s="1"/>
  <c r="E36" i="1" s="1"/>
  <c r="E41" i="1" s="1"/>
  <c r="E42" i="1" s="1"/>
  <c r="E31" i="1"/>
  <c r="E32" i="1" s="1"/>
</calcChain>
</file>

<file path=xl/sharedStrings.xml><?xml version="1.0" encoding="utf-8"?>
<sst xmlns="http://schemas.openxmlformats.org/spreadsheetml/2006/main" count="78" uniqueCount="67">
  <si>
    <t>taxe scolaire</t>
  </si>
  <si>
    <t>taxe municipal</t>
  </si>
  <si>
    <t>assurence</t>
  </si>
  <si>
    <t>chauffage</t>
  </si>
  <si>
    <t>deneigement</t>
  </si>
  <si>
    <t>gazon</t>
  </si>
  <si>
    <t>menage</t>
  </si>
  <si>
    <t>frais de gestion</t>
  </si>
  <si>
    <t>montant/mois</t>
  </si>
  <si>
    <t xml:space="preserve">baisse du capital </t>
  </si>
  <si>
    <t>location moyenne</t>
  </si>
  <si>
    <t>total des gains</t>
  </si>
  <si>
    <t>total des depences</t>
  </si>
  <si>
    <t>A-rentabiliter/mois</t>
  </si>
  <si>
    <t>MONTANT</t>
  </si>
  <si>
    <t xml:space="preserve">TOTAL DES DEPENCES </t>
  </si>
  <si>
    <t>CASH FLOW/MOIS</t>
  </si>
  <si>
    <t>payment electro</t>
  </si>
  <si>
    <t>DEPENCES</t>
  </si>
  <si>
    <t>GAINS</t>
  </si>
  <si>
    <t>RENTABILITER/MOIS</t>
  </si>
  <si>
    <t>RENTABILITER TOTAL</t>
  </si>
  <si>
    <t>hypotheque</t>
  </si>
  <si>
    <t>hypotheque total</t>
  </si>
  <si>
    <t>gain a la construction</t>
  </si>
  <si>
    <t>montant</t>
  </si>
  <si>
    <t>valeur de la maison</t>
  </si>
  <si>
    <t xml:space="preserve">gain a la vente </t>
  </si>
  <si>
    <t xml:space="preserve">C- gain a la vente </t>
  </si>
  <si>
    <t>A- rentabiliter/mois x 12</t>
  </si>
  <si>
    <t>Ax+B+C rentabiliter/1 ans</t>
  </si>
  <si>
    <t>calcul de rentabilité</t>
  </si>
  <si>
    <t>D-retour de taxe</t>
  </si>
  <si>
    <t>(Ax5)+B+C+D rentabiliter/5 ans</t>
  </si>
  <si>
    <t>prise de valeur 2%</t>
  </si>
  <si>
    <t xml:space="preserve">valeur terrain </t>
  </si>
  <si>
    <t xml:space="preserve">hypotheque terrain </t>
  </si>
  <si>
    <t>gain terrain</t>
  </si>
  <si>
    <t>rentabiliter terrain B</t>
  </si>
  <si>
    <t>gain terrain B</t>
  </si>
  <si>
    <t>hypotheque:</t>
  </si>
  <si>
    <t xml:space="preserve">valeur de la maison: </t>
  </si>
  <si>
    <t xml:space="preserve">cout reel de contruction: </t>
  </si>
  <si>
    <r>
      <t>mise de fond:</t>
    </r>
    <r>
      <rPr>
        <sz val="18"/>
        <color theme="1"/>
        <rFont val="Calibri"/>
        <family val="2"/>
        <scheme val="minor"/>
      </rPr>
      <t xml:space="preserve"> </t>
    </r>
  </si>
  <si>
    <t xml:space="preserve">valeur terrain A: </t>
  </si>
  <si>
    <t xml:space="preserve">valeur terrain B: </t>
  </si>
  <si>
    <t>location A: 0$/mois</t>
  </si>
  <si>
    <t>location B: 0$/mois a 0$/mois</t>
  </si>
  <si>
    <t>hypotheque commercial</t>
  </si>
  <si>
    <t xml:space="preserve">balance de vente </t>
  </si>
  <si>
    <t>autres</t>
  </si>
  <si>
    <t>gain a l'acquisition</t>
  </si>
  <si>
    <t>inspection</t>
  </si>
  <si>
    <t>notaire</t>
  </si>
  <si>
    <t>taxe de bienvenue</t>
  </si>
  <si>
    <t>ajustement de taxes</t>
  </si>
  <si>
    <t>demenagement</t>
  </si>
  <si>
    <t xml:space="preserve">prix de vente </t>
  </si>
  <si>
    <t xml:space="preserve">Difference </t>
  </si>
  <si>
    <t>LOCATION R-D-C</t>
  </si>
  <si>
    <t>LOCATION S-S</t>
  </si>
  <si>
    <t>LOCATION GARAGE</t>
  </si>
  <si>
    <t>B- gain a l'acquisition</t>
  </si>
  <si>
    <t xml:space="preserve">evaluation location </t>
  </si>
  <si>
    <t xml:space="preserve">remboursement de taxes </t>
  </si>
  <si>
    <t xml:space="preserve">fond de reparations </t>
  </si>
  <si>
    <t>projet: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</si>
</sst>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)\ &quot;$&quot;_ ;_ * \(#,##0.00\)\ &quot;$&quot;_ ;_ * &quot;-&quot;??_)\ &quot;$&quot;_ ;_ @_ "/>
  </numFmts>
  <fonts count="1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48"/>
      <color theme="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4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9" tint="0.39997558519241921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20"/>
      <color theme="9" tint="-0.249977111117893"/>
      <name val="Calibri"/>
      <family val="2"/>
      <scheme val="minor"/>
    </font>
    <font>
      <b/>
      <sz val="14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auto="1"/>
      </left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6" fillId="0" borderId="0" xfId="0" applyFont="1" applyAlignment="1">
      <alignment vertical="center"/>
    </xf>
    <xf numFmtId="0" fontId="0" fillId="0" borderId="2" xfId="0" applyBorder="1"/>
    <xf numFmtId="0" fontId="0" fillId="0" borderId="1" xfId="0" applyBorder="1"/>
    <xf numFmtId="0" fontId="5" fillId="0" borderId="1" xfId="0" applyFont="1" applyBorder="1"/>
    <xf numFmtId="164" fontId="5" fillId="0" borderId="4" xfId="1" applyFont="1" applyBorder="1"/>
    <xf numFmtId="164" fontId="5" fillId="0" borderId="3" xfId="1" applyFont="1" applyBorder="1"/>
    <xf numFmtId="164" fontId="2" fillId="0" borderId="7" xfId="1" applyFont="1" applyBorder="1"/>
    <xf numFmtId="164" fontId="10" fillId="0" borderId="6" xfId="1" applyFont="1" applyBorder="1"/>
    <xf numFmtId="164" fontId="9" fillId="0" borderId="6" xfId="1" applyFont="1" applyBorder="1"/>
    <xf numFmtId="164" fontId="5" fillId="0" borderId="5" xfId="1" applyFont="1" applyBorder="1"/>
    <xf numFmtId="164" fontId="5" fillId="0" borderId="7" xfId="1" applyFont="1" applyBorder="1"/>
    <xf numFmtId="164" fontId="2" fillId="0" borderId="5" xfId="1" applyFont="1" applyBorder="1"/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64" fontId="0" fillId="0" borderId="5" xfId="1" applyFont="1" applyBorder="1"/>
    <xf numFmtId="164" fontId="0" fillId="0" borderId="7" xfId="1" applyFont="1" applyBorder="1"/>
    <xf numFmtId="164" fontId="10" fillId="0" borderId="7" xfId="1" applyFont="1" applyBorder="1"/>
    <xf numFmtId="164" fontId="2" fillId="0" borderId="1" xfId="1" applyFont="1" applyBorder="1"/>
    <xf numFmtId="164" fontId="10" fillId="0" borderId="1" xfId="1" applyFont="1" applyBorder="1"/>
    <xf numFmtId="164" fontId="0" fillId="0" borderId="12" xfId="1" applyFont="1" applyBorder="1"/>
    <xf numFmtId="0" fontId="11" fillId="0" borderId="0" xfId="0" applyFont="1"/>
    <xf numFmtId="164" fontId="12" fillId="0" borderId="6" xfId="1" applyFont="1" applyBorder="1"/>
    <xf numFmtId="164" fontId="5" fillId="0" borderId="12" xfId="1" applyFont="1" applyBorder="1"/>
    <xf numFmtId="164" fontId="13" fillId="0" borderId="6" xfId="1" applyFont="1" applyBorder="1"/>
    <xf numFmtId="0" fontId="14" fillId="0" borderId="1" xfId="0" applyFont="1" applyBorder="1"/>
    <xf numFmtId="164" fontId="5" fillId="0" borderId="13" xfId="1" applyFont="1" applyBorder="1"/>
    <xf numFmtId="0" fontId="6" fillId="0" borderId="10" xfId="0" applyFont="1" applyBorder="1" applyAlignment="1">
      <alignment vertical="center"/>
    </xf>
    <xf numFmtId="0" fontId="7" fillId="0" borderId="2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6" fillId="0" borderId="10" xfId="0" applyFont="1" applyBorder="1" applyAlignment="1">
      <alignment horizontal="left" vertical="center"/>
    </xf>
    <xf numFmtId="0" fontId="8" fillId="0" borderId="2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9" xfId="0" applyFont="1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2A4E8-21C1-DC47-8C4E-498C757D91D9}">
  <dimension ref="A1:I52"/>
  <sheetViews>
    <sheetView tabSelected="1" topLeftCell="A13" zoomScale="130" zoomScaleNormal="130" workbookViewId="0">
      <selection activeCell="A3" sqref="A3:E3"/>
    </sheetView>
  </sheetViews>
  <sheetFormatPr baseColWidth="10" defaultRowHeight="16" x14ac:dyDescent="0.2"/>
  <cols>
    <col min="1" max="1" width="25.83203125" customWidth="1"/>
    <col min="2" max="2" width="22.1640625" customWidth="1"/>
    <col min="3" max="3" width="8" customWidth="1"/>
    <col min="4" max="4" width="31.1640625" customWidth="1"/>
    <col min="5" max="5" width="22.1640625" customWidth="1"/>
  </cols>
  <sheetData>
    <row r="1" spans="1:5" ht="62" x14ac:dyDescent="0.7">
      <c r="A1" s="33" t="s">
        <v>31</v>
      </c>
      <c r="B1" s="33"/>
      <c r="C1" s="33"/>
      <c r="D1" s="33"/>
      <c r="E1" s="33"/>
    </row>
    <row r="3" spans="1:5" ht="31" customHeight="1" x14ac:dyDescent="0.2">
      <c r="A3" s="38" t="s">
        <v>66</v>
      </c>
      <c r="B3" s="38"/>
      <c r="C3" s="38"/>
      <c r="D3" s="38"/>
      <c r="E3" s="38"/>
    </row>
    <row r="4" spans="1:5" ht="36" customHeight="1" x14ac:dyDescent="0.2">
      <c r="A4" s="27" t="s">
        <v>40</v>
      </c>
      <c r="B4" s="27"/>
      <c r="C4" s="27"/>
      <c r="D4" s="27"/>
      <c r="E4" s="27"/>
    </row>
    <row r="5" spans="1:5" ht="42" customHeight="1" x14ac:dyDescent="0.2">
      <c r="A5" s="27" t="s">
        <v>41</v>
      </c>
      <c r="B5" s="27"/>
      <c r="C5" s="27"/>
      <c r="D5" s="27"/>
      <c r="E5" s="27"/>
    </row>
    <row r="6" spans="1:5" ht="41" customHeight="1" x14ac:dyDescent="0.2">
      <c r="A6" s="27" t="s">
        <v>42</v>
      </c>
      <c r="B6" s="27"/>
      <c r="C6" s="27"/>
      <c r="D6" s="27"/>
      <c r="E6" s="27"/>
    </row>
    <row r="7" spans="1:5" ht="38" customHeight="1" x14ac:dyDescent="0.2">
      <c r="A7" s="27" t="s">
        <v>43</v>
      </c>
      <c r="B7" s="27"/>
      <c r="C7" s="27"/>
      <c r="D7" s="27"/>
      <c r="E7" s="27"/>
    </row>
    <row r="8" spans="1:5" ht="39" customHeight="1" x14ac:dyDescent="0.2">
      <c r="A8" s="27" t="s">
        <v>44</v>
      </c>
      <c r="B8" s="27"/>
      <c r="C8" s="27"/>
      <c r="D8" s="27"/>
      <c r="E8" s="27"/>
    </row>
    <row r="9" spans="1:5" ht="39" customHeight="1" x14ac:dyDescent="0.2">
      <c r="A9" s="30" t="s">
        <v>45</v>
      </c>
      <c r="B9" s="30"/>
      <c r="C9" s="30"/>
      <c r="D9" s="30"/>
      <c r="E9" s="30"/>
    </row>
    <row r="10" spans="1:5" ht="39" customHeight="1" x14ac:dyDescent="0.2">
      <c r="A10" s="36" t="s">
        <v>46</v>
      </c>
      <c r="B10" s="36"/>
      <c r="C10" s="36"/>
      <c r="D10" s="36"/>
      <c r="E10" s="36"/>
    </row>
    <row r="11" spans="1:5" ht="39" customHeight="1" x14ac:dyDescent="0.2">
      <c r="A11" s="37" t="s">
        <v>47</v>
      </c>
      <c r="B11" s="37"/>
      <c r="C11" s="37"/>
      <c r="D11" s="37"/>
      <c r="E11" s="37"/>
    </row>
    <row r="12" spans="1:5" ht="25" thickBot="1" x14ac:dyDescent="0.25">
      <c r="A12" s="1"/>
    </row>
    <row r="13" spans="1:5" ht="26" thickTop="1" thickBot="1" x14ac:dyDescent="0.35">
      <c r="A13" s="34" t="s">
        <v>51</v>
      </c>
      <c r="B13" s="35"/>
      <c r="D13" s="28" t="s">
        <v>27</v>
      </c>
      <c r="E13" s="29"/>
    </row>
    <row r="14" spans="1:5" ht="26" thickTop="1" thickBot="1" x14ac:dyDescent="0.3">
      <c r="A14" s="13"/>
      <c r="B14" s="4" t="s">
        <v>25</v>
      </c>
      <c r="D14" s="4"/>
      <c r="E14" s="4" t="s">
        <v>25</v>
      </c>
    </row>
    <row r="15" spans="1:5" ht="26" thickTop="1" thickBot="1" x14ac:dyDescent="0.3">
      <c r="A15" s="13" t="s">
        <v>57</v>
      </c>
      <c r="B15" s="26">
        <v>214213</v>
      </c>
      <c r="D15" s="4" t="s">
        <v>26</v>
      </c>
      <c r="E15" s="10">
        <v>325000</v>
      </c>
    </row>
    <row r="16" spans="1:5" ht="21" thickTop="1" thickBot="1" x14ac:dyDescent="0.3">
      <c r="A16" s="14" t="s">
        <v>23</v>
      </c>
      <c r="B16" s="15">
        <v>229213</v>
      </c>
      <c r="D16" s="4" t="s">
        <v>22</v>
      </c>
      <c r="E16" s="11">
        <v>-229213</v>
      </c>
    </row>
    <row r="17" spans="1:9" ht="21" thickTop="1" thickBot="1" x14ac:dyDescent="0.3">
      <c r="A17" s="14" t="s">
        <v>48</v>
      </c>
      <c r="B17" s="20">
        <v>-229213</v>
      </c>
      <c r="D17" s="4" t="s">
        <v>27</v>
      </c>
      <c r="E17" s="9">
        <f>SUM(E15:E16)</f>
        <v>95787</v>
      </c>
    </row>
    <row r="18" spans="1:9" ht="21" thickTop="1" thickBot="1" x14ac:dyDescent="0.25">
      <c r="A18" s="14" t="s">
        <v>49</v>
      </c>
      <c r="B18" s="20">
        <v>0</v>
      </c>
    </row>
    <row r="19" spans="1:9" ht="23" thickTop="1" thickBot="1" x14ac:dyDescent="0.3">
      <c r="A19" s="14" t="s">
        <v>58</v>
      </c>
      <c r="B19" s="20">
        <v>15000</v>
      </c>
      <c r="D19" s="31" t="s">
        <v>19</v>
      </c>
      <c r="E19" s="32"/>
    </row>
    <row r="20" spans="1:9" ht="21" thickTop="1" thickBot="1" x14ac:dyDescent="0.3">
      <c r="A20" s="14" t="s">
        <v>65</v>
      </c>
      <c r="B20" s="20">
        <v>-3600</v>
      </c>
      <c r="D20" s="4"/>
      <c r="E20" s="4" t="s">
        <v>8</v>
      </c>
    </row>
    <row r="21" spans="1:9" ht="21" thickTop="1" thickBot="1" x14ac:dyDescent="0.3">
      <c r="A21" s="14" t="s">
        <v>63</v>
      </c>
      <c r="B21" s="20">
        <v>-200</v>
      </c>
      <c r="D21" s="4" t="s">
        <v>10</v>
      </c>
      <c r="E21" s="6">
        <v>1990</v>
      </c>
    </row>
    <row r="22" spans="1:9" ht="21" thickTop="1" thickBot="1" x14ac:dyDescent="0.3">
      <c r="A22" s="14" t="s">
        <v>52</v>
      </c>
      <c r="B22" s="20">
        <v>-1000</v>
      </c>
      <c r="D22" s="4" t="s">
        <v>34</v>
      </c>
      <c r="E22" s="6">
        <v>541</v>
      </c>
    </row>
    <row r="23" spans="1:9" ht="21" thickTop="1" thickBot="1" x14ac:dyDescent="0.3">
      <c r="A23" s="14" t="s">
        <v>53</v>
      </c>
      <c r="B23" s="20">
        <v>-1000</v>
      </c>
      <c r="D23" s="4" t="s">
        <v>9</v>
      </c>
      <c r="E23" s="6">
        <v>811</v>
      </c>
      <c r="I23" s="21"/>
    </row>
    <row r="24" spans="1:9" ht="21" thickTop="1" thickBot="1" x14ac:dyDescent="0.3">
      <c r="A24" s="14" t="s">
        <v>54</v>
      </c>
      <c r="B24" s="20">
        <v>-3500</v>
      </c>
      <c r="D24" s="4" t="s">
        <v>11</v>
      </c>
      <c r="E24" s="9">
        <f>SUM(E21:E23)</f>
        <v>3342</v>
      </c>
    </row>
    <row r="25" spans="1:9" ht="21" thickTop="1" thickBot="1" x14ac:dyDescent="0.25">
      <c r="A25" s="14" t="s">
        <v>55</v>
      </c>
      <c r="B25" s="20">
        <v>-100</v>
      </c>
    </row>
    <row r="26" spans="1:9" ht="23" thickTop="1" thickBot="1" x14ac:dyDescent="0.3">
      <c r="A26" s="14" t="s">
        <v>56</v>
      </c>
      <c r="B26" s="20">
        <v>0</v>
      </c>
      <c r="D26" s="31" t="s">
        <v>16</v>
      </c>
      <c r="E26" s="32"/>
    </row>
    <row r="27" spans="1:9" ht="21" thickTop="1" thickBot="1" x14ac:dyDescent="0.3">
      <c r="A27" s="14" t="s">
        <v>64</v>
      </c>
      <c r="B27" s="16">
        <v>-5592.82</v>
      </c>
      <c r="D27" s="3"/>
      <c r="E27" s="4" t="s">
        <v>14</v>
      </c>
    </row>
    <row r="28" spans="1:9" ht="26" thickTop="1" thickBot="1" x14ac:dyDescent="0.35">
      <c r="A28" s="14" t="s">
        <v>24</v>
      </c>
      <c r="B28" s="22">
        <f>SUM(B16:B27)</f>
        <v>7.180000000000291</v>
      </c>
      <c r="D28" s="4" t="s">
        <v>59</v>
      </c>
      <c r="E28" s="10">
        <v>1990</v>
      </c>
    </row>
    <row r="29" spans="1:9" ht="26" thickTop="1" thickBot="1" x14ac:dyDescent="0.3">
      <c r="A29" s="1"/>
      <c r="D29" s="4" t="s">
        <v>60</v>
      </c>
      <c r="E29" s="23">
        <v>0</v>
      </c>
    </row>
    <row r="30" spans="1:9" ht="26" thickTop="1" thickBot="1" x14ac:dyDescent="0.3">
      <c r="A30" s="34" t="s">
        <v>18</v>
      </c>
      <c r="B30" s="35"/>
      <c r="D30" s="4" t="s">
        <v>61</v>
      </c>
      <c r="E30" s="23">
        <v>0</v>
      </c>
    </row>
    <row r="31" spans="1:9" ht="21" thickTop="1" thickBot="1" x14ac:dyDescent="0.3">
      <c r="A31" s="2"/>
      <c r="B31" s="4" t="s">
        <v>8</v>
      </c>
      <c r="D31" s="25" t="s">
        <v>15</v>
      </c>
      <c r="E31" s="11">
        <f>-B45</f>
        <v>-1968</v>
      </c>
    </row>
    <row r="32" spans="1:9" ht="28" thickTop="1" thickBot="1" x14ac:dyDescent="0.35">
      <c r="A32" s="4" t="s">
        <v>48</v>
      </c>
      <c r="B32" s="5">
        <v>1623</v>
      </c>
      <c r="D32" s="4" t="s">
        <v>16</v>
      </c>
      <c r="E32" s="24">
        <f>SUM(E28:E31)</f>
        <v>22</v>
      </c>
    </row>
    <row r="33" spans="1:5" ht="21" thickTop="1" thickBot="1" x14ac:dyDescent="0.3">
      <c r="A33" s="4" t="s">
        <v>49</v>
      </c>
      <c r="B33" s="5">
        <v>0</v>
      </c>
    </row>
    <row r="34" spans="1:5" ht="23" thickTop="1" thickBot="1" x14ac:dyDescent="0.3">
      <c r="A34" s="4" t="s">
        <v>1</v>
      </c>
      <c r="B34" s="6">
        <v>200</v>
      </c>
      <c r="D34" s="31" t="s">
        <v>21</v>
      </c>
      <c r="E34" s="32"/>
    </row>
    <row r="35" spans="1:5" ht="21" thickTop="1" thickBot="1" x14ac:dyDescent="0.3">
      <c r="A35" s="4" t="s">
        <v>0</v>
      </c>
      <c r="B35" s="6">
        <v>50</v>
      </c>
      <c r="D35" s="3"/>
      <c r="E35" s="4" t="s">
        <v>14</v>
      </c>
    </row>
    <row r="36" spans="1:5" ht="21" thickTop="1" thickBot="1" x14ac:dyDescent="0.3">
      <c r="A36" s="4" t="s">
        <v>2</v>
      </c>
      <c r="B36" s="6">
        <v>95</v>
      </c>
      <c r="D36" s="4" t="s">
        <v>29</v>
      </c>
      <c r="E36" s="12">
        <f>B51*12</f>
        <v>16488</v>
      </c>
    </row>
    <row r="37" spans="1:5" ht="21" thickTop="1" thickBot="1" x14ac:dyDescent="0.3">
      <c r="A37" s="4" t="s">
        <v>7</v>
      </c>
      <c r="B37" s="6">
        <v>0</v>
      </c>
      <c r="D37" s="4" t="s">
        <v>62</v>
      </c>
      <c r="E37" s="7">
        <f>B28</f>
        <v>7.180000000000291</v>
      </c>
    </row>
    <row r="38" spans="1:5" ht="21" thickTop="1" thickBot="1" x14ac:dyDescent="0.3">
      <c r="A38" s="4" t="s">
        <v>4</v>
      </c>
      <c r="B38" s="6"/>
      <c r="D38" s="4" t="s">
        <v>28</v>
      </c>
      <c r="E38" s="7">
        <f>E17</f>
        <v>95787</v>
      </c>
    </row>
    <row r="39" spans="1:5" ht="21" thickTop="1" thickBot="1" x14ac:dyDescent="0.3">
      <c r="A39" s="4" t="s">
        <v>5</v>
      </c>
      <c r="B39" s="6"/>
      <c r="D39" s="4" t="s">
        <v>39</v>
      </c>
      <c r="E39" s="7">
        <f>E48</f>
        <v>0</v>
      </c>
    </row>
    <row r="40" spans="1:5" ht="21" thickTop="1" thickBot="1" x14ac:dyDescent="0.3">
      <c r="A40" s="4" t="s">
        <v>6</v>
      </c>
      <c r="B40" s="6"/>
      <c r="D40" s="4" t="s">
        <v>32</v>
      </c>
      <c r="E40" s="7">
        <v>0</v>
      </c>
    </row>
    <row r="41" spans="1:5" ht="21" thickTop="1" thickBot="1" x14ac:dyDescent="0.3">
      <c r="A41" s="4" t="s">
        <v>17</v>
      </c>
      <c r="B41" s="6"/>
      <c r="D41" s="4" t="s">
        <v>30</v>
      </c>
      <c r="E41" s="17">
        <f>SUM(E36:E40)</f>
        <v>112282.18</v>
      </c>
    </row>
    <row r="42" spans="1:5" ht="21" thickTop="1" thickBot="1" x14ac:dyDescent="0.3">
      <c r="A42" s="4" t="s">
        <v>3</v>
      </c>
      <c r="B42" s="6"/>
      <c r="D42" s="4" t="s">
        <v>33</v>
      </c>
      <c r="E42" s="8">
        <f>E41+E36*4</f>
        <v>178234.18</v>
      </c>
    </row>
    <row r="43" spans="1:5" ht="21" thickTop="1" thickBot="1" x14ac:dyDescent="0.3">
      <c r="A43" s="4" t="s">
        <v>50</v>
      </c>
      <c r="B43" s="11">
        <v>0</v>
      </c>
    </row>
    <row r="44" spans="1:5" ht="26" thickTop="1" thickBot="1" x14ac:dyDescent="0.35">
      <c r="A44" s="4"/>
      <c r="B44" s="7"/>
      <c r="D44" s="28" t="s">
        <v>38</v>
      </c>
      <c r="E44" s="29"/>
    </row>
    <row r="45" spans="1:5" ht="21" thickTop="1" thickBot="1" x14ac:dyDescent="0.3">
      <c r="A45" s="4" t="s">
        <v>12</v>
      </c>
      <c r="B45" s="8">
        <f>SUM(B32:B44)</f>
        <v>1968</v>
      </c>
      <c r="D45" s="4"/>
      <c r="E45" s="4" t="s">
        <v>25</v>
      </c>
    </row>
    <row r="46" spans="1:5" ht="21" thickTop="1" thickBot="1" x14ac:dyDescent="0.3">
      <c r="D46" s="4" t="s">
        <v>35</v>
      </c>
      <c r="E46" s="18">
        <v>0</v>
      </c>
    </row>
    <row r="47" spans="1:5" ht="23" thickTop="1" thickBot="1" x14ac:dyDescent="0.3">
      <c r="A47" s="31" t="s">
        <v>20</v>
      </c>
      <c r="B47" s="32"/>
      <c r="D47" s="4" t="s">
        <v>36</v>
      </c>
      <c r="E47" s="18">
        <v>0</v>
      </c>
    </row>
    <row r="48" spans="1:5" ht="21" thickTop="1" thickBot="1" x14ac:dyDescent="0.3">
      <c r="A48" s="2"/>
      <c r="B48" s="4" t="s">
        <v>8</v>
      </c>
      <c r="D48" s="4" t="s">
        <v>37</v>
      </c>
      <c r="E48" s="19">
        <f>SUM(E46:E47)</f>
        <v>0</v>
      </c>
    </row>
    <row r="49" spans="1:2" ht="21" thickTop="1" thickBot="1" x14ac:dyDescent="0.3">
      <c r="A49" s="4" t="s">
        <v>11</v>
      </c>
      <c r="B49" s="12">
        <f>E24</f>
        <v>3342</v>
      </c>
    </row>
    <row r="50" spans="1:2" ht="21" thickTop="1" thickBot="1" x14ac:dyDescent="0.3">
      <c r="A50" s="4" t="s">
        <v>12</v>
      </c>
      <c r="B50" s="7">
        <f>-B45</f>
        <v>-1968</v>
      </c>
    </row>
    <row r="51" spans="1:2" ht="21" thickTop="1" thickBot="1" x14ac:dyDescent="0.3">
      <c r="A51" s="4" t="s">
        <v>13</v>
      </c>
      <c r="B51" s="8">
        <f>SUM(B49:B50)</f>
        <v>1374</v>
      </c>
    </row>
    <row r="52" spans="1:2" ht="17" thickTop="1" x14ac:dyDescent="0.2"/>
  </sheetData>
  <mergeCells count="18">
    <mergeCell ref="A1:E1"/>
    <mergeCell ref="A30:B30"/>
    <mergeCell ref="D19:E19"/>
    <mergeCell ref="D26:E26"/>
    <mergeCell ref="A5:E5"/>
    <mergeCell ref="A6:E6"/>
    <mergeCell ref="A13:B13"/>
    <mergeCell ref="D13:E13"/>
    <mergeCell ref="A10:E10"/>
    <mergeCell ref="A11:E11"/>
    <mergeCell ref="A3:E3"/>
    <mergeCell ref="A4:E4"/>
    <mergeCell ref="A7:E7"/>
    <mergeCell ref="A8:E8"/>
    <mergeCell ref="D44:E44"/>
    <mergeCell ref="A9:E9"/>
    <mergeCell ref="A47:B47"/>
    <mergeCell ref="D34:E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2018-12-06T18:29:12Z</dcterms:created>
  <dcterms:modified xsi:type="dcterms:W3CDTF">2023-02-21T18:43:08Z</dcterms:modified>
</cp:coreProperties>
</file>