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U:\Nath\Personnel\Mon cabinet\Vente de mon bureau\Luc Charest CPA consultant\"/>
    </mc:Choice>
  </mc:AlternateContent>
  <xr:revisionPtr revIDLastSave="0" documentId="13_ncr:1_{8C0ADE50-9F53-4C74-BA73-5F0E20A115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2-23-Langlois tri" sheetId="2" r:id="rId1"/>
    <sheet name="2022-23-Langlois tri par groupe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1" i="2" l="1"/>
  <c r="Q30" i="2"/>
  <c r="S95" i="2"/>
  <c r="S94" i="2"/>
  <c r="Q29" i="2"/>
  <c r="E116" i="2"/>
  <c r="O14" i="2"/>
  <c r="O33" i="2" s="1"/>
  <c r="A131" i="2"/>
  <c r="A98" i="2"/>
  <c r="S138" i="2" s="1"/>
  <c r="A54" i="2"/>
  <c r="R138" i="2" s="1"/>
  <c r="A33" i="2"/>
  <c r="Q138" i="2" s="1"/>
  <c r="O131" i="2"/>
  <c r="O54" i="2"/>
  <c r="S93" i="2"/>
  <c r="T128" i="2"/>
  <c r="S92" i="2"/>
  <c r="Q28" i="2"/>
  <c r="V111" i="3"/>
  <c r="V112" i="3" s="1"/>
  <c r="O111" i="3"/>
  <c r="O112" i="3" s="1"/>
  <c r="Q9" i="3"/>
  <c r="F53" i="3"/>
  <c r="P111" i="3"/>
  <c r="T107" i="3"/>
  <c r="T106" i="3"/>
  <c r="T105" i="3"/>
  <c r="F57" i="3"/>
  <c r="T104" i="3"/>
  <c r="T103" i="3"/>
  <c r="U102" i="3"/>
  <c r="U101" i="3"/>
  <c r="U100" i="3"/>
  <c r="U99" i="3"/>
  <c r="U98" i="3"/>
  <c r="U97" i="3"/>
  <c r="U96" i="3"/>
  <c r="U95" i="3"/>
  <c r="U94" i="3"/>
  <c r="U93" i="3"/>
  <c r="U92" i="3"/>
  <c r="U91" i="3"/>
  <c r="T90" i="3"/>
  <c r="U89" i="3"/>
  <c r="U88" i="3"/>
  <c r="T87" i="3"/>
  <c r="T86" i="3"/>
  <c r="U85" i="3"/>
  <c r="F80" i="3"/>
  <c r="U84" i="3"/>
  <c r="U83" i="3"/>
  <c r="U82" i="3"/>
  <c r="U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Q27" i="3"/>
  <c r="Q26" i="3"/>
  <c r="Q25" i="3"/>
  <c r="Q24" i="3"/>
  <c r="Q23" i="3"/>
  <c r="Q22" i="3"/>
  <c r="Q21" i="3"/>
  <c r="Q20" i="3"/>
  <c r="Q19" i="3"/>
  <c r="Q18" i="3"/>
  <c r="Q17" i="3"/>
  <c r="F49" i="3"/>
  <c r="Q16" i="3"/>
  <c r="Q15" i="3"/>
  <c r="Q14" i="3"/>
  <c r="Q13" i="3"/>
  <c r="Q12" i="3"/>
  <c r="Q11" i="3"/>
  <c r="Q10" i="3"/>
  <c r="Q8" i="3"/>
  <c r="Q7" i="3"/>
  <c r="Q6" i="3"/>
  <c r="Q5" i="3"/>
  <c r="Q4" i="3"/>
  <c r="Q3" i="3"/>
  <c r="U122" i="2"/>
  <c r="U121" i="2"/>
  <c r="U120" i="2"/>
  <c r="U119" i="2"/>
  <c r="U118" i="2"/>
  <c r="U117" i="2"/>
  <c r="U116" i="2"/>
  <c r="U115" i="2"/>
  <c r="U114" i="2"/>
  <c r="U113" i="2"/>
  <c r="F106" i="2"/>
  <c r="Q111" i="3" l="1"/>
  <c r="Q112" i="3" s="1"/>
  <c r="S111" i="3"/>
  <c r="S112" i="3" s="1"/>
  <c r="T111" i="3"/>
  <c r="T112" i="3" s="1"/>
  <c r="R111" i="3"/>
  <c r="R112" i="3" s="1"/>
  <c r="U111" i="3"/>
  <c r="U112" i="3" s="1"/>
  <c r="N111" i="3"/>
  <c r="T127" i="2" l="1"/>
  <c r="S91" i="2"/>
  <c r="U112" i="2" l="1"/>
  <c r="O138" i="2"/>
  <c r="S139" i="2" s="1"/>
  <c r="V131" i="2"/>
  <c r="R131" i="2"/>
  <c r="Q131" i="2"/>
  <c r="P131" i="2"/>
  <c r="T111" i="2"/>
  <c r="U110" i="2"/>
  <c r="U109" i="2"/>
  <c r="T108" i="2"/>
  <c r="T107" i="2"/>
  <c r="U106" i="2"/>
  <c r="U105" i="2"/>
  <c r="U104" i="2"/>
  <c r="U103" i="2"/>
  <c r="U102" i="2"/>
  <c r="V98" i="2"/>
  <c r="U98" i="2"/>
  <c r="T98" i="2"/>
  <c r="R98" i="2"/>
  <c r="Q98" i="2"/>
  <c r="O98" i="2"/>
  <c r="S90" i="2"/>
  <c r="S89" i="2"/>
  <c r="S88" i="2"/>
  <c r="T126" i="2"/>
  <c r="S87" i="2"/>
  <c r="S86" i="2"/>
  <c r="S85" i="2"/>
  <c r="S84" i="2"/>
  <c r="T125" i="2"/>
  <c r="F125" i="2"/>
  <c r="S83" i="2"/>
  <c r="S82" i="2"/>
  <c r="S81" i="2"/>
  <c r="S80" i="2"/>
  <c r="S79" i="2"/>
  <c r="S78" i="2"/>
  <c r="P78" i="2"/>
  <c r="S77" i="2"/>
  <c r="P77" i="2"/>
  <c r="S76" i="2"/>
  <c r="S75" i="2"/>
  <c r="S74" i="2"/>
  <c r="T124" i="2"/>
  <c r="T123" i="2"/>
  <c r="S73" i="2"/>
  <c r="S72" i="2"/>
  <c r="S71" i="2"/>
  <c r="S70" i="2"/>
  <c r="S69" i="2"/>
  <c r="S68" i="2"/>
  <c r="S67" i="2"/>
  <c r="S66" i="2"/>
  <c r="S65" i="2"/>
  <c r="P65" i="2"/>
  <c r="S64" i="2"/>
  <c r="S63" i="2"/>
  <c r="S62" i="2"/>
  <c r="S61" i="2"/>
  <c r="S60" i="2"/>
  <c r="S59" i="2"/>
  <c r="S58" i="2"/>
  <c r="V54" i="2"/>
  <c r="U54" i="2"/>
  <c r="T54" i="2"/>
  <c r="S54" i="2"/>
  <c r="Q54" i="2"/>
  <c r="P54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V33" i="2"/>
  <c r="U33" i="2"/>
  <c r="T33" i="2"/>
  <c r="S33" i="2"/>
  <c r="R33" i="2"/>
  <c r="P33" i="2"/>
  <c r="Q27" i="2"/>
  <c r="Q26" i="2"/>
  <c r="Q25" i="2"/>
  <c r="Q24" i="2"/>
  <c r="Q23" i="2"/>
  <c r="Q22" i="2"/>
  <c r="Q21" i="2"/>
  <c r="Q20" i="2"/>
  <c r="Q19" i="2"/>
  <c r="Q18" i="2"/>
  <c r="F18" i="2"/>
  <c r="Q17" i="2"/>
  <c r="Q16" i="2"/>
  <c r="Q15" i="2"/>
  <c r="Q14" i="2"/>
  <c r="Q13" i="2"/>
  <c r="Q12" i="2"/>
  <c r="Q11" i="2"/>
  <c r="F11" i="2"/>
  <c r="Q10" i="2"/>
  <c r="Q9" i="2"/>
  <c r="Q8" i="2"/>
  <c r="Q7" i="2"/>
  <c r="Q6" i="2"/>
  <c r="Q5" i="2"/>
  <c r="Q4" i="2"/>
  <c r="O134" i="2" l="1"/>
  <c r="N131" i="2" s="1"/>
  <c r="S131" i="2"/>
  <c r="P98" i="2"/>
  <c r="P99" i="2" s="1"/>
  <c r="V134" i="2"/>
  <c r="P34" i="2"/>
  <c r="T131" i="2"/>
  <c r="T134" i="2" s="1"/>
  <c r="P55" i="2"/>
  <c r="Q33" i="2"/>
  <c r="Q134" i="2" s="1"/>
  <c r="S98" i="2"/>
  <c r="R54" i="2"/>
  <c r="R134" i="2" s="1"/>
  <c r="U131" i="2"/>
  <c r="U134" i="2" s="1"/>
  <c r="P132" i="2"/>
  <c r="O139" i="2"/>
  <c r="Q139" i="2"/>
  <c r="R139" i="2"/>
  <c r="Q136" i="2" l="1"/>
  <c r="S134" i="2"/>
  <c r="S136" i="2" s="1"/>
  <c r="N54" i="2"/>
  <c r="P134" i="2"/>
  <c r="O136" i="2"/>
  <c r="T136" i="2"/>
  <c r="N98" i="2"/>
  <c r="V136" i="2"/>
  <c r="N33" i="2"/>
  <c r="U136" i="2"/>
  <c r="R1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Nathalie Langlois</author>
    <author>nathalie</author>
  </authors>
  <commentList>
    <comment ref="C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Nouveau client</t>
        </r>
      </text>
    </comment>
    <comment ref="C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Nouveau client - Rapport SCHL sur coût des travaux de construction</t>
        </r>
      </text>
    </comment>
    <comment ref="C28" authorId="1" shapeId="0" xr:uid="{99D08CDB-4F0A-424A-AE02-79409CF97470}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nouveau client</t>
        </r>
      </text>
    </comment>
    <comment ref="B3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Pour états financiers et impôts exercice terminé le 31 décembre 2020
</t>
        </r>
      </text>
    </comment>
    <comment ref="C4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Dernière année 2023 - a été fusionné avec G3P</t>
        </r>
      </text>
    </comment>
    <comment ref="O6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Pour avis au lecteur et préparation des impôts de votre société</t>
        </r>
      </text>
    </comment>
    <comment ref="C6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Dernier exercice - fusionnée avec Maranda</t>
        </r>
      </text>
    </comment>
    <comment ref="C6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Incertain - problèmes de liquidités</t>
        </r>
      </text>
    </comment>
    <comment ref="C6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incertain - problèmes de liquidités</t>
        </r>
      </text>
    </comment>
    <comment ref="O7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inclue travaux de réorg</t>
        </r>
      </text>
    </comment>
    <comment ref="C92" authorId="1" shapeId="0" xr:uid="{1114F836-A024-4451-A184-6CEB6AD1D527}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nouveau client</t>
        </r>
      </text>
    </comment>
    <comment ref="C93" authorId="1" shapeId="0" xr:uid="{EFC9840F-61BE-47BF-85A3-E3B08B053B73}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Nouveau Client</t>
        </r>
      </text>
    </comment>
    <comment ref="C94" authorId="1" shapeId="0" xr:uid="{190ABFAB-11E7-40DB-8630-4C4EC0E1F50A}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EF + T3010</t>
        </r>
      </text>
    </comment>
    <comment ref="C95" authorId="1" shapeId="0" xr:uid="{08C426E3-2F80-4504-B334-936AF7C61A83}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EF + T3010</t>
        </r>
      </text>
    </comment>
    <comment ref="B128" authorId="1" shapeId="0" xr:uid="{781A47DC-AA28-417C-87B7-EE5585E01CC0}">
      <text>
        <r>
          <rPr>
            <b/>
            <sz val="9"/>
            <color indexed="81"/>
            <rFont val="Tahoma"/>
            <charset val="1"/>
          </rPr>
          <t>nathalie:</t>
        </r>
        <r>
          <rPr>
            <sz val="9"/>
            <color indexed="81"/>
            <rFont val="Tahoma"/>
            <charset val="1"/>
          </rPr>
          <t xml:space="preserve">
Nouveau client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Nathalie Langlois</author>
  </authors>
  <commentList>
    <comment ref="A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Pour états financiers et impôts exercice terminé le 31 décembre 2020
</t>
        </r>
      </text>
    </comment>
    <comment ref="B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Nouveau client - Rapport SCHL sur coût des travaux de construction</t>
        </r>
      </text>
    </comment>
    <comment ref="B4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Nouveau client - 1er audit (la date pourrait être en 2023)</t>
        </r>
      </text>
    </comment>
    <comment ref="O5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Pour avis au lecteur et préparation des impôts de votre société</t>
        </r>
      </text>
    </comment>
    <comment ref="B5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Nouveau client</t>
        </r>
      </text>
    </comment>
    <comment ref="B6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Dernière année 2023 - a été fusionné avec G3P</t>
        </r>
      </text>
    </comment>
    <comment ref="O6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inclue travaux de réorg</t>
        </r>
      </text>
    </comment>
    <comment ref="B7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Dernier exercice - fusionnée avec Maranda</t>
        </r>
      </text>
    </comment>
    <comment ref="B8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Incertain - problèmes de liquidités</t>
        </r>
      </text>
    </comment>
    <comment ref="B8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Nathalie Langlois:</t>
        </r>
        <r>
          <rPr>
            <sz val="9"/>
            <color indexed="81"/>
            <rFont val="Tahoma"/>
            <family val="2"/>
          </rPr>
          <t xml:space="preserve">
incertain - problèmes de liquidités</t>
        </r>
      </text>
    </comment>
  </commentList>
</comments>
</file>

<file path=xl/sharedStrings.xml><?xml version="1.0" encoding="utf-8"?>
<sst xmlns="http://schemas.openxmlformats.org/spreadsheetml/2006/main" count="2211" uniqueCount="364">
  <si>
    <t>Client</t>
  </si>
  <si>
    <t>numéro de client</t>
  </si>
  <si>
    <t>Secteur d'activité</t>
  </si>
  <si>
    <t>Cadre normatif</t>
  </si>
  <si>
    <t>Fin d'année</t>
  </si>
  <si>
    <t>cote de rique interne</t>
  </si>
  <si>
    <t>Risques particuliers</t>
  </si>
  <si>
    <t>RCQM</t>
  </si>
  <si>
    <t>Inspection cyclique dans les 3 dernières années</t>
  </si>
  <si>
    <t>no facture</t>
  </si>
  <si>
    <t>date facture</t>
  </si>
  <si>
    <t>heures</t>
  </si>
  <si>
    <t>Audit</t>
  </si>
  <si>
    <t>Examen</t>
  </si>
  <si>
    <t>Compilation</t>
  </si>
  <si>
    <t>T2, C017</t>
  </si>
  <si>
    <t>T1, TP1</t>
  </si>
  <si>
    <t>Consultations et autres</t>
  </si>
  <si>
    <t>Madats d'audit</t>
  </si>
  <si>
    <t>Association Régionale de Soccer de la Rive-Sud (ARSRS)</t>
  </si>
  <si>
    <t>ARSRS</t>
  </si>
  <si>
    <t>Assoiciation sportives</t>
  </si>
  <si>
    <t>OSBL</t>
  </si>
  <si>
    <t>faible</t>
  </si>
  <si>
    <t>aucun</t>
  </si>
  <si>
    <t>non</t>
  </si>
  <si>
    <t>oui</t>
  </si>
  <si>
    <t>Recyclo Centre</t>
  </si>
  <si>
    <t>RC</t>
  </si>
  <si>
    <t>recyclage, ressourcerie, insertion RH</t>
  </si>
  <si>
    <t>Habitations Saint-Maxime</t>
  </si>
  <si>
    <t>HSTM</t>
  </si>
  <si>
    <t>gestion immobilière</t>
  </si>
  <si>
    <t>Colonie des Grèves de Contrecoeur</t>
  </si>
  <si>
    <t>CVDG</t>
  </si>
  <si>
    <t>camp de vacances</t>
  </si>
  <si>
    <t>Carrefour Communautaire l'Arc-en-Ciel</t>
  </si>
  <si>
    <t>CCAEC</t>
  </si>
  <si>
    <t>aide sociale,</t>
  </si>
  <si>
    <t>Garderie les Coquelicots</t>
  </si>
  <si>
    <t>GarCoq</t>
  </si>
  <si>
    <t>Garderie subventionnée</t>
  </si>
  <si>
    <t>NCECF</t>
  </si>
  <si>
    <t>Garderie des Sœurs de la Résurrection de NSJC</t>
  </si>
  <si>
    <t>GarSRNSJC</t>
  </si>
  <si>
    <t>Garderie Un Monde à découvrir</t>
  </si>
  <si>
    <t>CPE La Boîte à Surprises</t>
  </si>
  <si>
    <t>CPE BtSurp</t>
  </si>
  <si>
    <t>Centre de la Petite enfance subventionné</t>
  </si>
  <si>
    <t>Garderie Papillon</t>
  </si>
  <si>
    <t>GarPap</t>
  </si>
  <si>
    <t>Fondation Papillon</t>
  </si>
  <si>
    <t>SEHQ</t>
  </si>
  <si>
    <t>camps de vacances</t>
  </si>
  <si>
    <t>Coopérative d'Habitation de l'Acier de Sorel</t>
  </si>
  <si>
    <t>Acier</t>
  </si>
  <si>
    <t>Logements sociaux</t>
  </si>
  <si>
    <t>Coopérative d'Habitation du 8295 des Jacinthes</t>
  </si>
  <si>
    <t>Jacinthes</t>
  </si>
  <si>
    <t>Héberge du Grand Héron (rapport SHQ)</t>
  </si>
  <si>
    <t>Héron</t>
  </si>
  <si>
    <t>Héberge du Grand Héron</t>
  </si>
  <si>
    <t>RLQ</t>
  </si>
  <si>
    <t>Action sociale et informative</t>
  </si>
  <si>
    <t>L'Atelier Centre de travail adapté</t>
  </si>
  <si>
    <t>Atelier</t>
  </si>
  <si>
    <t>Insertion sociale pour personnes handicapées</t>
  </si>
  <si>
    <t>Carrefour Jeunesse Emploi Pierre-de Saurel</t>
  </si>
  <si>
    <t>CJE PDS</t>
  </si>
  <si>
    <t>Aide à l'emploi et entrepreneurship chez les jeunes</t>
  </si>
  <si>
    <t>Association Québécoise de la Garde Scolaire (AQGS)</t>
  </si>
  <si>
    <t>AQGS</t>
  </si>
  <si>
    <t>Information, formation, approvisionnement écoles primaires et secondaires au québec</t>
  </si>
  <si>
    <t>Camping Québec</t>
  </si>
  <si>
    <t>CQ</t>
  </si>
  <si>
    <t>Association des terrains camping au Québec</t>
  </si>
  <si>
    <t>Camping Québec - ATS</t>
  </si>
  <si>
    <t>CQ-ATS</t>
  </si>
  <si>
    <t>Association des terrains camping au Québec - projet spécial</t>
  </si>
  <si>
    <t>Carrefour Naissance Famille</t>
  </si>
  <si>
    <t>CNF</t>
  </si>
  <si>
    <t>alte-garderie, formation aux futures mères, boutique</t>
  </si>
  <si>
    <t>CDC Pierre-de Saurel</t>
  </si>
  <si>
    <t>CDC PDS</t>
  </si>
  <si>
    <t>Regroupement d'OSBL régional</t>
  </si>
  <si>
    <t>L'Ardoise, groupe populaire en alphabétisation</t>
  </si>
  <si>
    <t>Ardoise</t>
  </si>
  <si>
    <t>Alphaétisation sociale</t>
  </si>
  <si>
    <t>Maison Le Passeur</t>
  </si>
  <si>
    <t>MP</t>
  </si>
  <si>
    <t>Hébergement père et enfants en détresse et intervention violence conjugale</t>
  </si>
  <si>
    <t>Mandats d'Examen</t>
  </si>
  <si>
    <t>Chants de Vielles</t>
  </si>
  <si>
    <t>CdeV</t>
  </si>
  <si>
    <t>Organisation festival musique traditionnelle</t>
  </si>
  <si>
    <t>Syndicat de l'Enseignement du Bas-Richelieu (SEBR)</t>
  </si>
  <si>
    <t>SEBR</t>
  </si>
  <si>
    <t>Organisation syndicale</t>
  </si>
  <si>
    <t>RIREST</t>
  </si>
  <si>
    <t>Attraction touristique</t>
  </si>
  <si>
    <t>Festival Accès Asie</t>
  </si>
  <si>
    <t>FAA</t>
  </si>
  <si>
    <t>organisation d'un festival arts asiatiques</t>
  </si>
  <si>
    <t>Production le Vent du Nord inc.</t>
  </si>
  <si>
    <t>VDN</t>
  </si>
  <si>
    <t>production de spectacles et d'artistes</t>
  </si>
  <si>
    <t>Syndicat des Copropriétéaire du Condominium Le 200</t>
  </si>
  <si>
    <t>Le 200</t>
  </si>
  <si>
    <t>Syndicat de copropriétaires</t>
  </si>
  <si>
    <t>Centre Communautaire Notre-Dame (CCND)</t>
  </si>
  <si>
    <t>CCND</t>
  </si>
  <si>
    <t>gestion d'immeuble et location de bureaux à OSBL</t>
  </si>
  <si>
    <t>Pôle d'Entrepreneuriat Collectif Est de la Montérégie</t>
  </si>
  <si>
    <t>PECEM</t>
  </si>
  <si>
    <t>Concertation et développement de l'économie sociale</t>
  </si>
  <si>
    <t>Regroupement des assistés sociaux du Bas-Richelieu</t>
  </si>
  <si>
    <t>RAS</t>
  </si>
  <si>
    <t>Information et défence des droits des assistés sociaux</t>
  </si>
  <si>
    <t>Regroupement Québécois des Femmes en Environnement</t>
  </si>
  <si>
    <t>RQFE</t>
  </si>
  <si>
    <t>Réseautage des femmes actives en environnement et éducation en environnement et santé</t>
  </si>
  <si>
    <t>Services Plus des 3 Pignons (SP3P)</t>
  </si>
  <si>
    <t>SP3P</t>
  </si>
  <si>
    <t>Loisirs et activités sociales pour ainés</t>
  </si>
  <si>
    <t>Zocalo Atelier d'art de Longueil</t>
  </si>
  <si>
    <t>Zocalo</t>
  </si>
  <si>
    <t>atelier d'arts</t>
  </si>
  <si>
    <t>BMAYS</t>
  </si>
  <si>
    <t>hébergement jeunes</t>
  </si>
  <si>
    <t>Maison L'Ancrage</t>
  </si>
  <si>
    <t>L'Ancrage</t>
  </si>
  <si>
    <t>Construction Madéus inc.</t>
  </si>
  <si>
    <t>Madéus</t>
  </si>
  <si>
    <t>construction résidentielle</t>
  </si>
  <si>
    <t>RÉRAQ (Regroupement des écoles de la Rue Accréditées)</t>
  </si>
  <si>
    <t>RÉRAQ</t>
  </si>
  <si>
    <t>formation populaire</t>
  </si>
  <si>
    <t>La Prûche Libre</t>
  </si>
  <si>
    <t>Prûche</t>
  </si>
  <si>
    <t>Production d'artistes et de spectacles</t>
  </si>
  <si>
    <t>Porductions de Temps Antan inc. (rapport SODEC)</t>
  </si>
  <si>
    <t>DTA</t>
  </si>
  <si>
    <t>Action Logement Pierre-de Saurel</t>
  </si>
  <si>
    <t>ALPDS</t>
  </si>
  <si>
    <t>Information et défence droits locatiares</t>
  </si>
  <si>
    <t>Madats de compilation</t>
  </si>
  <si>
    <t>Roger Rhéaume Courtier Immobilier inc.</t>
  </si>
  <si>
    <t>R.R coutier</t>
  </si>
  <si>
    <t>courtier immobilier</t>
  </si>
  <si>
    <t>Productions Synop6 inc.</t>
  </si>
  <si>
    <t>Synop6</t>
  </si>
  <si>
    <t>Productions vidéo et commerciales</t>
  </si>
  <si>
    <t>Pâtisserie de la maison de pierre</t>
  </si>
  <si>
    <t>PMdeP</t>
  </si>
  <si>
    <t>Patisserie artisanale</t>
  </si>
  <si>
    <t>9131-8063 Québec inc. (A.Desjardins)</t>
  </si>
  <si>
    <t>Desjardins</t>
  </si>
  <si>
    <t>gestion de placements</t>
  </si>
  <si>
    <t>Coopérative de Services Internet</t>
  </si>
  <si>
    <t>ServInternet</t>
  </si>
  <si>
    <t>fourniture de services internet en région</t>
  </si>
  <si>
    <t>Hydro Herba Ensemensement inc.</t>
  </si>
  <si>
    <t>HydroH</t>
  </si>
  <si>
    <t>ensemensement hydroponique</t>
  </si>
  <si>
    <t>Ignis Infermi inc.</t>
  </si>
  <si>
    <t>Ignis</t>
  </si>
  <si>
    <t>Fonderie artisanale</t>
  </si>
  <si>
    <t>9156-1217 Québec inc (Maranda)</t>
  </si>
  <si>
    <t>Maranda</t>
  </si>
  <si>
    <t>Gestion d'un immeuble et encaissement de cachets d'artistes</t>
  </si>
  <si>
    <t>Productions La Firme inc. (EF final - fusion)</t>
  </si>
  <si>
    <t>Firme</t>
  </si>
  <si>
    <t>9371-1505 Québec inc. (L.Chartier)</t>
  </si>
  <si>
    <t>société de placement (Holding)</t>
  </si>
  <si>
    <t>9033-8476 Québec inc. (Le Floribell)</t>
  </si>
  <si>
    <t>Floribell</t>
  </si>
  <si>
    <t>Résidence pour aînés en perte d'autonomie</t>
  </si>
  <si>
    <t>ratio endettement élevé</t>
  </si>
  <si>
    <t>Phare de Paix inc</t>
  </si>
  <si>
    <t>Phare</t>
  </si>
  <si>
    <t>élevé</t>
  </si>
  <si>
    <t>ratio endettement élevé, poursuite contre le contracteur chargé des rénovations</t>
  </si>
  <si>
    <t>Construction Guy Fagnant inc.</t>
  </si>
  <si>
    <t>CGF</t>
  </si>
  <si>
    <t>construction - gestion de chantiers</t>
  </si>
  <si>
    <t>Atelier St-Denis Ébénisterie</t>
  </si>
  <si>
    <t>ASTD</t>
  </si>
  <si>
    <t>vente et installation cuisine et salle de bain</t>
  </si>
  <si>
    <t>Coopérative régionale du Parc des Grèves de Contrecoeur</t>
  </si>
  <si>
    <t>CRPRDG</t>
  </si>
  <si>
    <t>Gestion du parc nature Sorel-Tracy</t>
  </si>
  <si>
    <t>Distribution Nutri-Choix</t>
  </si>
  <si>
    <t>NutriChoix</t>
  </si>
  <si>
    <t>Distribution produits laitiers et fromages</t>
  </si>
  <si>
    <t>9414-0746 Qc inc (D. Lemoine)</t>
  </si>
  <si>
    <t>compagnie de gestion</t>
  </si>
  <si>
    <t>Entreprises Evape inc.</t>
  </si>
  <si>
    <t>Evape</t>
  </si>
  <si>
    <t>Vente au détail - cigarettes électroniques et sous-produits</t>
  </si>
  <si>
    <t>Investissements Lavallée</t>
  </si>
  <si>
    <t>Société de gestion - Détention d'immeubles</t>
  </si>
  <si>
    <t>Excavation RV</t>
  </si>
  <si>
    <t>ExcRV</t>
  </si>
  <si>
    <t>Excavation résidentielle et commerciales</t>
  </si>
  <si>
    <t>GN Solution inc.</t>
  </si>
  <si>
    <t>GNS</t>
  </si>
  <si>
    <t>firme d'ingénieur conseils</t>
  </si>
  <si>
    <t>GN Technologies inc.</t>
  </si>
  <si>
    <t>GNT</t>
  </si>
  <si>
    <t>société de placement- détient des brevets</t>
  </si>
  <si>
    <t>TCF</t>
  </si>
  <si>
    <t>Télévision communautaire</t>
  </si>
  <si>
    <t>Team Elevation inc.</t>
  </si>
  <si>
    <t>Team</t>
  </si>
  <si>
    <t>Conseiller en informatique</t>
  </si>
  <si>
    <t>Gestion Léandre Papillon inc.</t>
  </si>
  <si>
    <t>Société de portefeuille</t>
  </si>
  <si>
    <t>Hoding Léandre Papillon (cie #)</t>
  </si>
  <si>
    <t>Holdco LP</t>
  </si>
  <si>
    <t>Holding conjointe L.Papillon (cie #)</t>
  </si>
  <si>
    <t>Holdco CLP</t>
  </si>
  <si>
    <t>9286-4909 Qc inc. (L.Papillon)</t>
  </si>
  <si>
    <t>A. Handfield transport inc.</t>
  </si>
  <si>
    <t>Handfield</t>
  </si>
  <si>
    <t>Transport de marchandises</t>
  </si>
  <si>
    <t>9339-6349 Qc inc (Madéus)</t>
  </si>
  <si>
    <t>6349Madéus</t>
  </si>
  <si>
    <t>gestion d'immeubles</t>
  </si>
  <si>
    <t>9391-3887 Qc inc.(Madéus)</t>
  </si>
  <si>
    <t>3887Madéus</t>
  </si>
  <si>
    <t>société de portefeuille</t>
  </si>
  <si>
    <t>9393-7100 QC (Madéus)</t>
  </si>
  <si>
    <t>7100Madéus</t>
  </si>
  <si>
    <t>9393-7118 Qc (Madéus)</t>
  </si>
  <si>
    <t>7118Madéus</t>
  </si>
  <si>
    <t>société prête-nom</t>
  </si>
  <si>
    <t>Société en commandite CLDC</t>
  </si>
  <si>
    <t>Construction et location d'immeubles</t>
  </si>
  <si>
    <t>7302100 Canada inc</t>
  </si>
  <si>
    <t>Biocca</t>
  </si>
  <si>
    <t>consultant en vente de matrices</t>
  </si>
  <si>
    <t>Fondation Jean-Béliveau</t>
  </si>
  <si>
    <t>FJB</t>
  </si>
  <si>
    <t>gestion de placements boursiers</t>
  </si>
  <si>
    <t>Christian Murphy et Marie-Hélène Gauthier (T1 TP1 2019)</t>
  </si>
  <si>
    <t>particulier</t>
  </si>
  <si>
    <t>S/O</t>
  </si>
  <si>
    <t>Lawrence Biocca (T1 TP1)</t>
  </si>
  <si>
    <t>Liette Beaudoin (T1 TP1)</t>
  </si>
  <si>
    <t>Claude Daigle (T1 TP1)</t>
  </si>
  <si>
    <t>François Maranda &amp; Marie-Ève Botelho (T1 TP1)</t>
  </si>
  <si>
    <t>Brun Bois inc.</t>
  </si>
  <si>
    <t>Brun</t>
  </si>
  <si>
    <t>Arômes Dépôt inc.</t>
  </si>
  <si>
    <t>Arômes</t>
  </si>
  <si>
    <t>vente de produits pour fumeurs (inactive)</t>
  </si>
  <si>
    <t>Marie-Michèle Gagnon et Jean-Luc Lacoste</t>
  </si>
  <si>
    <t>Yannick Dupui et famille (T1 TP1)</t>
  </si>
  <si>
    <t>Clinique d'ostéopathie du Vieux Longueuil</t>
  </si>
  <si>
    <t>COVL</t>
  </si>
  <si>
    <t>Clinique d'ostéopathie</t>
  </si>
  <si>
    <t>Pourcentage $</t>
  </si>
  <si>
    <t>NOTE -</t>
  </si>
  <si>
    <t>Les honoraires prévus ci-hut n'incluent pas les mandats spéciaux, les réorganisations, les consultations et autres rapports spéciaux occasionnels.</t>
  </si>
  <si>
    <t>Fiscalité</t>
  </si>
  <si>
    <t>Yvon et Denise Gaudette</t>
  </si>
  <si>
    <t>Lizette Trépanier</t>
  </si>
  <si>
    <t>Mathieu Dansereau</t>
  </si>
  <si>
    <t>James Quigley et Sylvie Tellier</t>
  </si>
  <si>
    <t>Alex Desjardins</t>
  </si>
  <si>
    <t>Roger Vaillant et famille</t>
  </si>
  <si>
    <t xml:space="preserve">Dany Pagé et Marie-Éthier </t>
  </si>
  <si>
    <t>Roger Rhéaume</t>
  </si>
  <si>
    <t>R.R.courtier</t>
  </si>
  <si>
    <t>Jean-François Éthier et Joelle Bouchard</t>
  </si>
  <si>
    <t>Charles Primeau et Johanne Bouchard</t>
  </si>
  <si>
    <t>Ginette Beaumier et David Lemoine</t>
  </si>
  <si>
    <t>Manuel Lavallée</t>
  </si>
  <si>
    <t>GarMàD</t>
  </si>
  <si>
    <t>Ville</t>
  </si>
  <si>
    <t>Région</t>
  </si>
  <si>
    <t>Brossard</t>
  </si>
  <si>
    <t>Rive-Sud de Mtl</t>
  </si>
  <si>
    <t>Sorel-Tracy</t>
  </si>
  <si>
    <t>Saint-Ours</t>
  </si>
  <si>
    <t>Rive-Nord/Laval</t>
  </si>
  <si>
    <t>L'Assomption</t>
  </si>
  <si>
    <t>Montréal</t>
  </si>
  <si>
    <t>Blainville</t>
  </si>
  <si>
    <t>Montréal centre</t>
  </si>
  <si>
    <t>Longueuil</t>
  </si>
  <si>
    <t>Saint-Antoirne-Sur-Richelieu</t>
  </si>
  <si>
    <t>Contrecoeur</t>
  </si>
  <si>
    <t>Montréal Centre</t>
  </si>
  <si>
    <t>Ile-des Sœurs</t>
  </si>
  <si>
    <t>Montréal ouest</t>
  </si>
  <si>
    <t>Beloeil</t>
  </si>
  <si>
    <t>Rive-Sud</t>
  </si>
  <si>
    <t>Brome</t>
  </si>
  <si>
    <t>Estrie</t>
  </si>
  <si>
    <t>Mercier</t>
  </si>
  <si>
    <t>Chateauguay</t>
  </si>
  <si>
    <t>Joliette</t>
  </si>
  <si>
    <t>Candiac</t>
  </si>
  <si>
    <t>Calixa-Lavallée</t>
  </si>
  <si>
    <t>Saint-Roch sur Richelieu</t>
  </si>
  <si>
    <t>Ste-Victoire de Sorel</t>
  </si>
  <si>
    <t>Laval</t>
  </si>
  <si>
    <t>Yamaska</t>
  </si>
  <si>
    <t>Ste-Julie</t>
  </si>
  <si>
    <t>Montréal-Centre</t>
  </si>
  <si>
    <t>Rive-sud</t>
  </si>
  <si>
    <t>Boucherville</t>
  </si>
  <si>
    <t>Gestion-LPap</t>
  </si>
  <si>
    <t>1505Madéus</t>
  </si>
  <si>
    <t>4909Papillon</t>
  </si>
  <si>
    <t>2837Papillon</t>
  </si>
  <si>
    <t>0746Lemoine</t>
  </si>
  <si>
    <t>Repentigny</t>
  </si>
  <si>
    <t>Cancoco</t>
  </si>
  <si>
    <t>société minière inactive</t>
  </si>
  <si>
    <t>InvestLaval</t>
  </si>
  <si>
    <t>CLDC/(Madéus)</t>
  </si>
  <si>
    <t>impôts de société</t>
  </si>
  <si>
    <t>impôts personnel</t>
  </si>
  <si>
    <t>2023-11-31</t>
  </si>
  <si>
    <t>Groupe</t>
  </si>
  <si>
    <t>Cancoco Group</t>
  </si>
  <si>
    <t>Productions de Temps Antan inc.</t>
  </si>
  <si>
    <t>DTA+D81:E91</t>
  </si>
  <si>
    <t>Garderie Un Monde à Découvrir</t>
  </si>
  <si>
    <t>DTA-sodec</t>
  </si>
  <si>
    <t>honoraires soumissionnés</t>
  </si>
  <si>
    <t>Association pour l'assurance collective des organismes communautaires du Québec</t>
  </si>
  <si>
    <t>AACOCQ</t>
  </si>
  <si>
    <t>Association pour information et orientation</t>
  </si>
  <si>
    <t>Markakis &amp; Co. Inc</t>
  </si>
  <si>
    <t>Markakis</t>
  </si>
  <si>
    <t>Services juridiques (avocat)</t>
  </si>
  <si>
    <t>fable</t>
  </si>
  <si>
    <t>Angela Markakis Services Juridiques inc.</t>
  </si>
  <si>
    <t>AMSJ</t>
  </si>
  <si>
    <t>Cie de gestion</t>
  </si>
  <si>
    <t>Cancoco Group Ltée</t>
  </si>
  <si>
    <t>9440Qc</t>
  </si>
  <si>
    <t>St-Hubert</t>
  </si>
  <si>
    <t>Services installation cable et internet</t>
  </si>
  <si>
    <t>taux moyen</t>
  </si>
  <si>
    <t>Total Honoraires prévus de 2023</t>
  </si>
  <si>
    <t>Nombre de mandats (sauf T1, TP1, T2, C017 et consultations)</t>
  </si>
  <si>
    <t>Chartier</t>
  </si>
  <si>
    <t>9440-6949 Québec inc (Mohamed)</t>
  </si>
  <si>
    <t>Santé Mentale</t>
  </si>
  <si>
    <t>Association pour informer et venir en aide</t>
  </si>
  <si>
    <t>aide aux enfants handicapés</t>
  </si>
  <si>
    <t>Bosquets</t>
  </si>
  <si>
    <t>Otterburn Park</t>
  </si>
  <si>
    <t>Camp de vacance enfants handicapés</t>
  </si>
  <si>
    <t>224-03-31</t>
  </si>
  <si>
    <t>Faible</t>
  </si>
  <si>
    <t>MFJC</t>
  </si>
  <si>
    <t>Halte-Garderie et ressource familles</t>
  </si>
  <si>
    <t>MleP</t>
  </si>
  <si>
    <t>Recyclo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</si>
</sst>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0070C0"/>
      <name val="Arial"/>
      <family val="2"/>
    </font>
    <font>
      <sz val="10"/>
      <color theme="0" tint="-0.499984740745262"/>
      <name val="Arial"/>
      <family val="2"/>
    </font>
    <font>
      <sz val="10"/>
      <color rgb="FF0070C0"/>
      <name val="Arial"/>
      <family val="2"/>
    </font>
    <font>
      <sz val="10"/>
      <color rgb="FF7030A0"/>
      <name val="Arial"/>
      <family val="2"/>
    </font>
    <font>
      <sz val="10"/>
      <color theme="9" tint="-0.49998474074526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39" fontId="2" fillId="0" borderId="0" xfId="1" applyNumberFormat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39" fontId="3" fillId="2" borderId="0" xfId="1" applyNumberFormat="1" applyFont="1" applyFill="1" applyAlignment="1">
      <alignment horizontal="center"/>
    </xf>
    <xf numFmtId="14" fontId="3" fillId="2" borderId="0" xfId="1" applyNumberFormat="1" applyFont="1" applyFill="1" applyAlignment="1">
      <alignment horizontal="center"/>
    </xf>
    <xf numFmtId="39" fontId="3" fillId="2" borderId="0" xfId="2" applyNumberFormat="1" applyFont="1" applyFill="1" applyAlignment="1">
      <alignment horizontal="center"/>
    </xf>
    <xf numFmtId="39" fontId="4" fillId="0" borderId="0" xfId="2" applyNumberFormat="1" applyFont="1" applyFill="1" applyAlignment="1">
      <alignment horizontal="center"/>
    </xf>
    <xf numFmtId="39" fontId="2" fillId="0" borderId="0" xfId="1" applyNumberFormat="1" applyFont="1" applyAlignment="1">
      <alignment horizontal="center"/>
    </xf>
    <xf numFmtId="39" fontId="1" fillId="0" borderId="0" xfId="1" applyNumberFormat="1" applyAlignment="1">
      <alignment wrapText="1"/>
    </xf>
    <xf numFmtId="39" fontId="1" fillId="0" borderId="0" xfId="1" applyNumberFormat="1" applyAlignment="1">
      <alignment horizontal="center" wrapText="1"/>
    </xf>
    <xf numFmtId="14" fontId="1" fillId="0" borderId="0" xfId="1" applyNumberFormat="1" applyAlignment="1">
      <alignment horizontal="center" wrapText="1"/>
    </xf>
    <xf numFmtId="39" fontId="5" fillId="2" borderId="0" xfId="1" applyNumberFormat="1" applyFont="1" applyFill="1" applyAlignment="1">
      <alignment horizontal="center"/>
    </xf>
    <xf numFmtId="14" fontId="5" fillId="2" borderId="0" xfId="1" applyNumberFormat="1" applyFont="1" applyFill="1"/>
    <xf numFmtId="39" fontId="5" fillId="2" borderId="0" xfId="2" applyNumberFormat="1" applyFont="1" applyFill="1"/>
    <xf numFmtId="39" fontId="6" fillId="0" borderId="0" xfId="2" applyNumberFormat="1" applyFont="1" applyFill="1" applyAlignment="1">
      <alignment horizontal="center"/>
    </xf>
    <xf numFmtId="39" fontId="1" fillId="0" borderId="0" xfId="1" applyNumberFormat="1"/>
    <xf numFmtId="39" fontId="4" fillId="0" borderId="0" xfId="1" applyNumberFormat="1" applyFont="1" applyAlignment="1">
      <alignment wrapText="1"/>
    </xf>
    <xf numFmtId="164" fontId="5" fillId="2" borderId="0" xfId="2" applyFont="1" applyFill="1"/>
    <xf numFmtId="164" fontId="6" fillId="0" borderId="0" xfId="2" applyFont="1" applyFill="1" applyAlignment="1">
      <alignment horizontal="center"/>
    </xf>
    <xf numFmtId="164" fontId="1" fillId="0" borderId="0" xfId="2" applyFont="1"/>
    <xf numFmtId="164" fontId="0" fillId="0" borderId="0" xfId="2" applyFont="1"/>
    <xf numFmtId="39" fontId="7" fillId="0" borderId="0" xfId="1" applyNumberFormat="1" applyFont="1" applyAlignment="1">
      <alignment wrapText="1"/>
    </xf>
    <xf numFmtId="39" fontId="7" fillId="0" borderId="0" xfId="1" applyNumberFormat="1" applyFont="1" applyAlignment="1">
      <alignment horizontal="center" wrapText="1"/>
    </xf>
    <xf numFmtId="14" fontId="7" fillId="0" borderId="0" xfId="1" applyNumberFormat="1" applyFont="1" applyAlignment="1">
      <alignment horizontal="center" wrapText="1"/>
    </xf>
    <xf numFmtId="39" fontId="7" fillId="2" borderId="0" xfId="1" applyNumberFormat="1" applyFont="1" applyFill="1" applyAlignment="1">
      <alignment horizontal="center"/>
    </xf>
    <xf numFmtId="14" fontId="7" fillId="2" borderId="0" xfId="1" applyNumberFormat="1" applyFont="1" applyFill="1"/>
    <xf numFmtId="164" fontId="7" fillId="2" borderId="0" xfId="2" applyFont="1" applyFill="1"/>
    <xf numFmtId="164" fontId="7" fillId="0" borderId="0" xfId="2" applyFont="1"/>
    <xf numFmtId="39" fontId="7" fillId="0" borderId="0" xfId="1" applyNumberFormat="1" applyFont="1"/>
    <xf numFmtId="164" fontId="5" fillId="2" borderId="0" xfId="2" applyFont="1" applyFill="1" applyAlignment="1">
      <alignment horizontal="right" indent="1"/>
    </xf>
    <xf numFmtId="164" fontId="8" fillId="0" borderId="0" xfId="2" applyFont="1"/>
    <xf numFmtId="39" fontId="8" fillId="0" borderId="0" xfId="1" applyNumberFormat="1" applyFont="1"/>
    <xf numFmtId="164" fontId="1" fillId="2" borderId="1" xfId="2" applyFont="1" applyFill="1" applyBorder="1"/>
    <xf numFmtId="164" fontId="6" fillId="0" borderId="1" xfId="2" applyFont="1" applyFill="1" applyBorder="1" applyAlignment="1">
      <alignment horizontal="center"/>
    </xf>
    <xf numFmtId="164" fontId="1" fillId="0" borderId="1" xfId="2" applyFont="1" applyBorder="1"/>
    <xf numFmtId="9" fontId="6" fillId="2" borderId="0" xfId="3" applyFont="1" applyFill="1"/>
    <xf numFmtId="164" fontId="1" fillId="2" borderId="0" xfId="2" applyFont="1" applyFill="1"/>
    <xf numFmtId="164" fontId="6" fillId="0" borderId="0" xfId="2" applyFont="1"/>
    <xf numFmtId="39" fontId="5" fillId="0" borderId="0" xfId="1" applyNumberFormat="1" applyFont="1" applyAlignment="1">
      <alignment horizontal="center"/>
    </xf>
    <xf numFmtId="14" fontId="5" fillId="0" borderId="0" xfId="1" applyNumberFormat="1" applyFont="1"/>
    <xf numFmtId="164" fontId="5" fillId="0" borderId="0" xfId="2" applyFont="1" applyFill="1"/>
    <xf numFmtId="164" fontId="1" fillId="0" borderId="0" xfId="2" applyFont="1" applyFill="1"/>
    <xf numFmtId="164" fontId="0" fillId="0" borderId="0" xfId="2" applyFont="1" applyFill="1"/>
    <xf numFmtId="164" fontId="1" fillId="2" borderId="2" xfId="2" applyFont="1" applyFill="1" applyBorder="1"/>
    <xf numFmtId="164" fontId="6" fillId="0" borderId="2" xfId="2" applyFont="1" applyFill="1" applyBorder="1" applyAlignment="1">
      <alignment horizontal="center"/>
    </xf>
    <xf numFmtId="164" fontId="1" fillId="0" borderId="2" xfId="2" applyFont="1" applyBorder="1"/>
    <xf numFmtId="39" fontId="2" fillId="0" borderId="0" xfId="1" applyNumberFormat="1" applyFont="1" applyAlignment="1">
      <alignment wrapText="1"/>
    </xf>
    <xf numFmtId="164" fontId="5" fillId="0" borderId="1" xfId="2" applyFont="1" applyBorder="1"/>
    <xf numFmtId="164" fontId="1" fillId="0" borderId="1" xfId="2" applyBorder="1"/>
    <xf numFmtId="164" fontId="3" fillId="0" borderId="3" xfId="2" applyFont="1" applyBorder="1"/>
    <xf numFmtId="164" fontId="4" fillId="0" borderId="3" xfId="2" applyFont="1" applyFill="1" applyBorder="1" applyAlignment="1">
      <alignment horizontal="center"/>
    </xf>
    <xf numFmtId="39" fontId="5" fillId="0" borderId="0" xfId="2" applyNumberFormat="1" applyFont="1"/>
    <xf numFmtId="39" fontId="1" fillId="0" borderId="0" xfId="2" applyNumberFormat="1" applyFont="1"/>
    <xf numFmtId="9" fontId="6" fillId="0" borderId="0" xfId="3" applyFont="1" applyAlignment="1">
      <alignment horizontal="center" wrapText="1"/>
    </xf>
    <xf numFmtId="14" fontId="6" fillId="0" borderId="0" xfId="3" applyNumberFormat="1" applyFont="1" applyAlignment="1">
      <alignment horizontal="center" wrapText="1"/>
    </xf>
    <xf numFmtId="9" fontId="5" fillId="0" borderId="0" xfId="3" applyFont="1" applyAlignment="1">
      <alignment horizontal="center"/>
    </xf>
    <xf numFmtId="9" fontId="5" fillId="0" borderId="0" xfId="3" applyFont="1"/>
    <xf numFmtId="9" fontId="6" fillId="0" borderId="0" xfId="3" applyFont="1" applyFill="1" applyAlignment="1">
      <alignment horizontal="center"/>
    </xf>
    <xf numFmtId="9" fontId="6" fillId="0" borderId="0" xfId="3" applyFont="1"/>
    <xf numFmtId="39" fontId="6" fillId="0" borderId="0" xfId="1" applyNumberFormat="1" applyFont="1" applyAlignment="1">
      <alignment wrapText="1"/>
    </xf>
    <xf numFmtId="39" fontId="6" fillId="0" borderId="0" xfId="1" applyNumberFormat="1" applyFont="1" applyAlignment="1">
      <alignment horizontal="center" wrapText="1"/>
    </xf>
    <xf numFmtId="14" fontId="6" fillId="0" borderId="0" xfId="1" applyNumberFormat="1" applyFont="1" applyAlignment="1">
      <alignment horizontal="center" wrapText="1"/>
    </xf>
    <xf numFmtId="14" fontId="5" fillId="0" borderId="0" xfId="2" applyNumberFormat="1" applyFont="1"/>
    <xf numFmtId="39" fontId="6" fillId="0" borderId="0" xfId="1" applyNumberFormat="1" applyFont="1"/>
    <xf numFmtId="39" fontId="6" fillId="0" borderId="0" xfId="2" applyNumberFormat="1" applyFont="1"/>
    <xf numFmtId="39" fontId="4" fillId="0" borderId="0" xfId="1" applyNumberFormat="1" applyFont="1"/>
    <xf numFmtId="39" fontId="1" fillId="0" borderId="0" xfId="2" applyNumberFormat="1"/>
    <xf numFmtId="39" fontId="4" fillId="0" borderId="0" xfId="1" applyNumberFormat="1" applyFont="1" applyAlignment="1">
      <alignment horizontal="center" wrapText="1"/>
    </xf>
    <xf numFmtId="39" fontId="4" fillId="0" borderId="0" xfId="1" applyNumberFormat="1" applyFont="1" applyAlignment="1">
      <alignment horizontal="left"/>
    </xf>
    <xf numFmtId="39" fontId="2" fillId="0" borderId="0" xfId="1" applyNumberFormat="1" applyFont="1"/>
    <xf numFmtId="9" fontId="6" fillId="0" borderId="0" xfId="3" applyFont="1" applyAlignment="1"/>
    <xf numFmtId="164" fontId="6" fillId="2" borderId="0" xfId="2" applyFont="1" applyFill="1"/>
    <xf numFmtId="39" fontId="11" fillId="0" borderId="0" xfId="1" applyNumberFormat="1" applyFont="1" applyAlignment="1">
      <alignment horizontal="center" wrapText="1"/>
    </xf>
    <xf numFmtId="39" fontId="1" fillId="0" borderId="0" xfId="1" applyNumberFormat="1" applyAlignment="1">
      <alignment horizontal="center"/>
    </xf>
    <xf numFmtId="9" fontId="6" fillId="0" borderId="0" xfId="3" applyFont="1" applyFill="1" applyAlignment="1"/>
    <xf numFmtId="0" fontId="2" fillId="0" borderId="0" xfId="1" applyFont="1" applyAlignment="1">
      <alignment horizontal="center" wrapText="1"/>
    </xf>
    <xf numFmtId="0" fontId="1" fillId="0" borderId="0" xfId="1" applyAlignment="1">
      <alignment horizontal="center" wrapText="1"/>
    </xf>
    <xf numFmtId="0" fontId="7" fillId="0" borderId="0" xfId="1" applyFont="1" applyAlignment="1">
      <alignment horizontal="center" wrapText="1"/>
    </xf>
    <xf numFmtId="0" fontId="4" fillId="0" borderId="0" xfId="1" applyFont="1"/>
    <xf numFmtId="0" fontId="11" fillId="0" borderId="0" xfId="1" applyFont="1" applyAlignment="1">
      <alignment horizontal="center" wrapText="1"/>
    </xf>
    <xf numFmtId="0" fontId="1" fillId="0" borderId="0" xfId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center" wrapText="1"/>
    </xf>
    <xf numFmtId="39" fontId="3" fillId="2" borderId="0" xfId="2" applyNumberFormat="1" applyFont="1" applyFill="1" applyAlignment="1">
      <alignment horizontal="center" wrapText="1"/>
    </xf>
    <xf numFmtId="14" fontId="6" fillId="2" borderId="0" xfId="1" applyNumberFormat="1" applyFont="1" applyFill="1"/>
    <xf numFmtId="14" fontId="6" fillId="2" borderId="0" xfId="1" applyNumberFormat="1" applyFont="1" applyFill="1" applyAlignment="1">
      <alignment horizontal="right"/>
    </xf>
    <xf numFmtId="0" fontId="2" fillId="0" borderId="0" xfId="1" applyFont="1" applyAlignment="1">
      <alignment horizontal="center"/>
    </xf>
    <xf numFmtId="0" fontId="1" fillId="0" borderId="2" xfId="2" applyNumberFormat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1" fillId="0" borderId="1" xfId="1" applyBorder="1" applyAlignment="1">
      <alignment horizontal="center"/>
    </xf>
    <xf numFmtId="0" fontId="6" fillId="0" borderId="0" xfId="3" applyNumberFormat="1" applyFont="1" applyAlignment="1">
      <alignment horizontal="center"/>
    </xf>
    <xf numFmtId="0" fontId="6" fillId="0" borderId="0" xfId="2" applyNumberFormat="1" applyFont="1" applyAlignment="1">
      <alignment horizontal="center"/>
    </xf>
    <xf numFmtId="0" fontId="1" fillId="0" borderId="0" xfId="2" applyNumberFormat="1" applyAlignment="1">
      <alignment horizontal="center"/>
    </xf>
  </cellXfs>
  <cellStyles count="4">
    <cellStyle name="Milliers 2" xfId="2" xr:uid="{00000000-0005-0000-0000-000000000000}"/>
    <cellStyle name="Normal" xfId="0" builtinId="0"/>
    <cellStyle name="Normal 2" xfId="1" xr:uid="{00000000-0005-0000-0000-000002000000}"/>
    <cellStyle name="Pourcentag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V247"/>
  <sheetViews>
    <sheetView tabSelected="1" topLeftCell="C1" workbookViewId="0">
      <pane xSplit="1" ySplit="1" topLeftCell="H128" activePane="bottomRight" state="frozen"/>
      <selection activeCell="C1" sqref="C1"/>
      <selection pane="topRight" activeCell="D1" sqref="D1"/>
      <selection pane="bottomLeft" activeCell="C2" sqref="C2"/>
      <selection pane="bottomRight" activeCell="P134" sqref="P134"/>
    </sheetView>
  </sheetViews>
  <sheetFormatPr baseColWidth="10" defaultColWidth="9.109375" defaultRowHeight="13.2" x14ac:dyDescent="0.25"/>
  <cols>
    <col min="1" max="1" width="5" style="80" hidden="1" customWidth="1"/>
    <col min="2" max="2" width="50.88671875" style="8" hidden="1" customWidth="1"/>
    <col min="3" max="5" width="20.88671875" style="9" customWidth="1"/>
    <col min="6" max="6" width="37.109375" style="9" customWidth="1"/>
    <col min="7" max="7" width="15.6640625" style="9" customWidth="1"/>
    <col min="8" max="8" width="15.6640625" style="10" customWidth="1"/>
    <col min="9" max="9" width="15.6640625" style="9" customWidth="1"/>
    <col min="10" max="10" width="25.5546875" style="9" customWidth="1"/>
    <col min="11" max="11" width="9.33203125" style="9" customWidth="1"/>
    <col min="12" max="12" width="12.109375" style="9" customWidth="1"/>
    <col min="13" max="13" width="13.44140625" style="38" customWidth="1"/>
    <col min="14" max="14" width="13.88671875" style="39" bestFit="1" customWidth="1"/>
    <col min="15" max="15" width="16.33203125" style="51" bestFit="1" customWidth="1"/>
    <col min="16" max="16" width="11" style="14" customWidth="1"/>
    <col min="17" max="29" width="13.6640625" style="15" customWidth="1"/>
    <col min="30" max="259" width="9.109375" style="15"/>
    <col min="260" max="260" width="50.88671875" style="15" customWidth="1"/>
    <col min="261" max="261" width="17" style="15" customWidth="1"/>
    <col min="262" max="262" width="37.109375" style="15" customWidth="1"/>
    <col min="263" max="265" width="15.6640625" style="15" customWidth="1"/>
    <col min="266" max="266" width="25.5546875" style="15" customWidth="1"/>
    <col min="267" max="267" width="9.33203125" style="15" customWidth="1"/>
    <col min="268" max="268" width="12.109375" style="15" customWidth="1"/>
    <col min="269" max="269" width="13.44140625" style="15" customWidth="1"/>
    <col min="270" max="270" width="13.88671875" style="15" bestFit="1" customWidth="1"/>
    <col min="271" max="271" width="16.33203125" style="15" bestFit="1" customWidth="1"/>
    <col min="272" max="272" width="11" style="15" customWidth="1"/>
    <col min="273" max="285" width="13.6640625" style="15" customWidth="1"/>
    <col min="286" max="515" width="9.109375" style="15"/>
    <col min="516" max="516" width="50.88671875" style="15" customWidth="1"/>
    <col min="517" max="517" width="17" style="15" customWidth="1"/>
    <col min="518" max="518" width="37.109375" style="15" customWidth="1"/>
    <col min="519" max="521" width="15.6640625" style="15" customWidth="1"/>
    <col min="522" max="522" width="25.5546875" style="15" customWidth="1"/>
    <col min="523" max="523" width="9.33203125" style="15" customWidth="1"/>
    <col min="524" max="524" width="12.109375" style="15" customWidth="1"/>
    <col min="525" max="525" width="13.44140625" style="15" customWidth="1"/>
    <col min="526" max="526" width="13.88671875" style="15" bestFit="1" customWidth="1"/>
    <col min="527" max="527" width="16.33203125" style="15" bestFit="1" customWidth="1"/>
    <col min="528" max="528" width="11" style="15" customWidth="1"/>
    <col min="529" max="541" width="13.6640625" style="15" customWidth="1"/>
    <col min="542" max="771" width="9.109375" style="15"/>
    <col min="772" max="772" width="50.88671875" style="15" customWidth="1"/>
    <col min="773" max="773" width="17" style="15" customWidth="1"/>
    <col min="774" max="774" width="37.109375" style="15" customWidth="1"/>
    <col min="775" max="777" width="15.6640625" style="15" customWidth="1"/>
    <col min="778" max="778" width="25.5546875" style="15" customWidth="1"/>
    <col min="779" max="779" width="9.33203125" style="15" customWidth="1"/>
    <col min="780" max="780" width="12.109375" style="15" customWidth="1"/>
    <col min="781" max="781" width="13.44140625" style="15" customWidth="1"/>
    <col min="782" max="782" width="13.88671875" style="15" bestFit="1" customWidth="1"/>
    <col min="783" max="783" width="16.33203125" style="15" bestFit="1" customWidth="1"/>
    <col min="784" max="784" width="11" style="15" customWidth="1"/>
    <col min="785" max="797" width="13.6640625" style="15" customWidth="1"/>
    <col min="798" max="1027" width="9.109375" style="15"/>
    <col min="1028" max="1028" width="50.88671875" style="15" customWidth="1"/>
    <col min="1029" max="1029" width="17" style="15" customWidth="1"/>
    <col min="1030" max="1030" width="37.109375" style="15" customWidth="1"/>
    <col min="1031" max="1033" width="15.6640625" style="15" customWidth="1"/>
    <col min="1034" max="1034" width="25.5546875" style="15" customWidth="1"/>
    <col min="1035" max="1035" width="9.33203125" style="15" customWidth="1"/>
    <col min="1036" max="1036" width="12.109375" style="15" customWidth="1"/>
    <col min="1037" max="1037" width="13.44140625" style="15" customWidth="1"/>
    <col min="1038" max="1038" width="13.88671875" style="15" bestFit="1" customWidth="1"/>
    <col min="1039" max="1039" width="16.33203125" style="15" bestFit="1" customWidth="1"/>
    <col min="1040" max="1040" width="11" style="15" customWidth="1"/>
    <col min="1041" max="1053" width="13.6640625" style="15" customWidth="1"/>
    <col min="1054" max="1283" width="9.109375" style="15"/>
    <col min="1284" max="1284" width="50.88671875" style="15" customWidth="1"/>
    <col min="1285" max="1285" width="17" style="15" customWidth="1"/>
    <col min="1286" max="1286" width="37.109375" style="15" customWidth="1"/>
    <col min="1287" max="1289" width="15.6640625" style="15" customWidth="1"/>
    <col min="1290" max="1290" width="25.5546875" style="15" customWidth="1"/>
    <col min="1291" max="1291" width="9.33203125" style="15" customWidth="1"/>
    <col min="1292" max="1292" width="12.109375" style="15" customWidth="1"/>
    <col min="1293" max="1293" width="13.44140625" style="15" customWidth="1"/>
    <col min="1294" max="1294" width="13.88671875" style="15" bestFit="1" customWidth="1"/>
    <col min="1295" max="1295" width="16.33203125" style="15" bestFit="1" customWidth="1"/>
    <col min="1296" max="1296" width="11" style="15" customWidth="1"/>
    <col min="1297" max="1309" width="13.6640625" style="15" customWidth="1"/>
    <col min="1310" max="1539" width="9.109375" style="15"/>
    <col min="1540" max="1540" width="50.88671875" style="15" customWidth="1"/>
    <col min="1541" max="1541" width="17" style="15" customWidth="1"/>
    <col min="1542" max="1542" width="37.109375" style="15" customWidth="1"/>
    <col min="1543" max="1545" width="15.6640625" style="15" customWidth="1"/>
    <col min="1546" max="1546" width="25.5546875" style="15" customWidth="1"/>
    <col min="1547" max="1547" width="9.33203125" style="15" customWidth="1"/>
    <col min="1548" max="1548" width="12.109375" style="15" customWidth="1"/>
    <col min="1549" max="1549" width="13.44140625" style="15" customWidth="1"/>
    <col min="1550" max="1550" width="13.88671875" style="15" bestFit="1" customWidth="1"/>
    <col min="1551" max="1551" width="16.33203125" style="15" bestFit="1" customWidth="1"/>
    <col min="1552" max="1552" width="11" style="15" customWidth="1"/>
    <col min="1553" max="1565" width="13.6640625" style="15" customWidth="1"/>
    <col min="1566" max="1795" width="9.109375" style="15"/>
    <col min="1796" max="1796" width="50.88671875" style="15" customWidth="1"/>
    <col min="1797" max="1797" width="17" style="15" customWidth="1"/>
    <col min="1798" max="1798" width="37.109375" style="15" customWidth="1"/>
    <col min="1799" max="1801" width="15.6640625" style="15" customWidth="1"/>
    <col min="1802" max="1802" width="25.5546875" style="15" customWidth="1"/>
    <col min="1803" max="1803" width="9.33203125" style="15" customWidth="1"/>
    <col min="1804" max="1804" width="12.109375" style="15" customWidth="1"/>
    <col min="1805" max="1805" width="13.44140625" style="15" customWidth="1"/>
    <col min="1806" max="1806" width="13.88671875" style="15" bestFit="1" customWidth="1"/>
    <col min="1807" max="1807" width="16.33203125" style="15" bestFit="1" customWidth="1"/>
    <col min="1808" max="1808" width="11" style="15" customWidth="1"/>
    <col min="1809" max="1821" width="13.6640625" style="15" customWidth="1"/>
    <col min="1822" max="2051" width="9.109375" style="15"/>
    <col min="2052" max="2052" width="50.88671875" style="15" customWidth="1"/>
    <col min="2053" max="2053" width="17" style="15" customWidth="1"/>
    <col min="2054" max="2054" width="37.109375" style="15" customWidth="1"/>
    <col min="2055" max="2057" width="15.6640625" style="15" customWidth="1"/>
    <col min="2058" max="2058" width="25.5546875" style="15" customWidth="1"/>
    <col min="2059" max="2059" width="9.33203125" style="15" customWidth="1"/>
    <col min="2060" max="2060" width="12.109375" style="15" customWidth="1"/>
    <col min="2061" max="2061" width="13.44140625" style="15" customWidth="1"/>
    <col min="2062" max="2062" width="13.88671875" style="15" bestFit="1" customWidth="1"/>
    <col min="2063" max="2063" width="16.33203125" style="15" bestFit="1" customWidth="1"/>
    <col min="2064" max="2064" width="11" style="15" customWidth="1"/>
    <col min="2065" max="2077" width="13.6640625" style="15" customWidth="1"/>
    <col min="2078" max="2307" width="9.109375" style="15"/>
    <col min="2308" max="2308" width="50.88671875" style="15" customWidth="1"/>
    <col min="2309" max="2309" width="17" style="15" customWidth="1"/>
    <col min="2310" max="2310" width="37.109375" style="15" customWidth="1"/>
    <col min="2311" max="2313" width="15.6640625" style="15" customWidth="1"/>
    <col min="2314" max="2314" width="25.5546875" style="15" customWidth="1"/>
    <col min="2315" max="2315" width="9.33203125" style="15" customWidth="1"/>
    <col min="2316" max="2316" width="12.109375" style="15" customWidth="1"/>
    <col min="2317" max="2317" width="13.44140625" style="15" customWidth="1"/>
    <col min="2318" max="2318" width="13.88671875" style="15" bestFit="1" customWidth="1"/>
    <col min="2319" max="2319" width="16.33203125" style="15" bestFit="1" customWidth="1"/>
    <col min="2320" max="2320" width="11" style="15" customWidth="1"/>
    <col min="2321" max="2333" width="13.6640625" style="15" customWidth="1"/>
    <col min="2334" max="2563" width="9.109375" style="15"/>
    <col min="2564" max="2564" width="50.88671875" style="15" customWidth="1"/>
    <col min="2565" max="2565" width="17" style="15" customWidth="1"/>
    <col min="2566" max="2566" width="37.109375" style="15" customWidth="1"/>
    <col min="2567" max="2569" width="15.6640625" style="15" customWidth="1"/>
    <col min="2570" max="2570" width="25.5546875" style="15" customWidth="1"/>
    <col min="2571" max="2571" width="9.33203125" style="15" customWidth="1"/>
    <col min="2572" max="2572" width="12.109375" style="15" customWidth="1"/>
    <col min="2573" max="2573" width="13.44140625" style="15" customWidth="1"/>
    <col min="2574" max="2574" width="13.88671875" style="15" bestFit="1" customWidth="1"/>
    <col min="2575" max="2575" width="16.33203125" style="15" bestFit="1" customWidth="1"/>
    <col min="2576" max="2576" width="11" style="15" customWidth="1"/>
    <col min="2577" max="2589" width="13.6640625" style="15" customWidth="1"/>
    <col min="2590" max="2819" width="9.109375" style="15"/>
    <col min="2820" max="2820" width="50.88671875" style="15" customWidth="1"/>
    <col min="2821" max="2821" width="17" style="15" customWidth="1"/>
    <col min="2822" max="2822" width="37.109375" style="15" customWidth="1"/>
    <col min="2823" max="2825" width="15.6640625" style="15" customWidth="1"/>
    <col min="2826" max="2826" width="25.5546875" style="15" customWidth="1"/>
    <col min="2827" max="2827" width="9.33203125" style="15" customWidth="1"/>
    <col min="2828" max="2828" width="12.109375" style="15" customWidth="1"/>
    <col min="2829" max="2829" width="13.44140625" style="15" customWidth="1"/>
    <col min="2830" max="2830" width="13.88671875" style="15" bestFit="1" customWidth="1"/>
    <col min="2831" max="2831" width="16.33203125" style="15" bestFit="1" customWidth="1"/>
    <col min="2832" max="2832" width="11" style="15" customWidth="1"/>
    <col min="2833" max="2845" width="13.6640625" style="15" customWidth="1"/>
    <col min="2846" max="3075" width="9.109375" style="15"/>
    <col min="3076" max="3076" width="50.88671875" style="15" customWidth="1"/>
    <col min="3077" max="3077" width="17" style="15" customWidth="1"/>
    <col min="3078" max="3078" width="37.109375" style="15" customWidth="1"/>
    <col min="3079" max="3081" width="15.6640625" style="15" customWidth="1"/>
    <col min="3082" max="3082" width="25.5546875" style="15" customWidth="1"/>
    <col min="3083" max="3083" width="9.33203125" style="15" customWidth="1"/>
    <col min="3084" max="3084" width="12.109375" style="15" customWidth="1"/>
    <col min="3085" max="3085" width="13.44140625" style="15" customWidth="1"/>
    <col min="3086" max="3086" width="13.88671875" style="15" bestFit="1" customWidth="1"/>
    <col min="3087" max="3087" width="16.33203125" style="15" bestFit="1" customWidth="1"/>
    <col min="3088" max="3088" width="11" style="15" customWidth="1"/>
    <col min="3089" max="3101" width="13.6640625" style="15" customWidth="1"/>
    <col min="3102" max="3331" width="9.109375" style="15"/>
    <col min="3332" max="3332" width="50.88671875" style="15" customWidth="1"/>
    <col min="3333" max="3333" width="17" style="15" customWidth="1"/>
    <col min="3334" max="3334" width="37.109375" style="15" customWidth="1"/>
    <col min="3335" max="3337" width="15.6640625" style="15" customWidth="1"/>
    <col min="3338" max="3338" width="25.5546875" style="15" customWidth="1"/>
    <col min="3339" max="3339" width="9.33203125" style="15" customWidth="1"/>
    <col min="3340" max="3340" width="12.109375" style="15" customWidth="1"/>
    <col min="3341" max="3341" width="13.44140625" style="15" customWidth="1"/>
    <col min="3342" max="3342" width="13.88671875" style="15" bestFit="1" customWidth="1"/>
    <col min="3343" max="3343" width="16.33203125" style="15" bestFit="1" customWidth="1"/>
    <col min="3344" max="3344" width="11" style="15" customWidth="1"/>
    <col min="3345" max="3357" width="13.6640625" style="15" customWidth="1"/>
    <col min="3358" max="3587" width="9.109375" style="15"/>
    <col min="3588" max="3588" width="50.88671875" style="15" customWidth="1"/>
    <col min="3589" max="3589" width="17" style="15" customWidth="1"/>
    <col min="3590" max="3590" width="37.109375" style="15" customWidth="1"/>
    <col min="3591" max="3593" width="15.6640625" style="15" customWidth="1"/>
    <col min="3594" max="3594" width="25.5546875" style="15" customWidth="1"/>
    <col min="3595" max="3595" width="9.33203125" style="15" customWidth="1"/>
    <col min="3596" max="3596" width="12.109375" style="15" customWidth="1"/>
    <col min="3597" max="3597" width="13.44140625" style="15" customWidth="1"/>
    <col min="3598" max="3598" width="13.88671875" style="15" bestFit="1" customWidth="1"/>
    <col min="3599" max="3599" width="16.33203125" style="15" bestFit="1" customWidth="1"/>
    <col min="3600" max="3600" width="11" style="15" customWidth="1"/>
    <col min="3601" max="3613" width="13.6640625" style="15" customWidth="1"/>
    <col min="3614" max="3843" width="9.109375" style="15"/>
    <col min="3844" max="3844" width="50.88671875" style="15" customWidth="1"/>
    <col min="3845" max="3845" width="17" style="15" customWidth="1"/>
    <col min="3846" max="3846" width="37.109375" style="15" customWidth="1"/>
    <col min="3847" max="3849" width="15.6640625" style="15" customWidth="1"/>
    <col min="3850" max="3850" width="25.5546875" style="15" customWidth="1"/>
    <col min="3851" max="3851" width="9.33203125" style="15" customWidth="1"/>
    <col min="3852" max="3852" width="12.109375" style="15" customWidth="1"/>
    <col min="3853" max="3853" width="13.44140625" style="15" customWidth="1"/>
    <col min="3854" max="3854" width="13.88671875" style="15" bestFit="1" customWidth="1"/>
    <col min="3855" max="3855" width="16.33203125" style="15" bestFit="1" customWidth="1"/>
    <col min="3856" max="3856" width="11" style="15" customWidth="1"/>
    <col min="3857" max="3869" width="13.6640625" style="15" customWidth="1"/>
    <col min="3870" max="4099" width="9.109375" style="15"/>
    <col min="4100" max="4100" width="50.88671875" style="15" customWidth="1"/>
    <col min="4101" max="4101" width="17" style="15" customWidth="1"/>
    <col min="4102" max="4102" width="37.109375" style="15" customWidth="1"/>
    <col min="4103" max="4105" width="15.6640625" style="15" customWidth="1"/>
    <col min="4106" max="4106" width="25.5546875" style="15" customWidth="1"/>
    <col min="4107" max="4107" width="9.33203125" style="15" customWidth="1"/>
    <col min="4108" max="4108" width="12.109375" style="15" customWidth="1"/>
    <col min="4109" max="4109" width="13.44140625" style="15" customWidth="1"/>
    <col min="4110" max="4110" width="13.88671875" style="15" bestFit="1" customWidth="1"/>
    <col min="4111" max="4111" width="16.33203125" style="15" bestFit="1" customWidth="1"/>
    <col min="4112" max="4112" width="11" style="15" customWidth="1"/>
    <col min="4113" max="4125" width="13.6640625" style="15" customWidth="1"/>
    <col min="4126" max="4355" width="9.109375" style="15"/>
    <col min="4356" max="4356" width="50.88671875" style="15" customWidth="1"/>
    <col min="4357" max="4357" width="17" style="15" customWidth="1"/>
    <col min="4358" max="4358" width="37.109375" style="15" customWidth="1"/>
    <col min="4359" max="4361" width="15.6640625" style="15" customWidth="1"/>
    <col min="4362" max="4362" width="25.5546875" style="15" customWidth="1"/>
    <col min="4363" max="4363" width="9.33203125" style="15" customWidth="1"/>
    <col min="4364" max="4364" width="12.109375" style="15" customWidth="1"/>
    <col min="4365" max="4365" width="13.44140625" style="15" customWidth="1"/>
    <col min="4366" max="4366" width="13.88671875" style="15" bestFit="1" customWidth="1"/>
    <col min="4367" max="4367" width="16.33203125" style="15" bestFit="1" customWidth="1"/>
    <col min="4368" max="4368" width="11" style="15" customWidth="1"/>
    <col min="4369" max="4381" width="13.6640625" style="15" customWidth="1"/>
    <col min="4382" max="4611" width="9.109375" style="15"/>
    <col min="4612" max="4612" width="50.88671875" style="15" customWidth="1"/>
    <col min="4613" max="4613" width="17" style="15" customWidth="1"/>
    <col min="4614" max="4614" width="37.109375" style="15" customWidth="1"/>
    <col min="4615" max="4617" width="15.6640625" style="15" customWidth="1"/>
    <col min="4618" max="4618" width="25.5546875" style="15" customWidth="1"/>
    <col min="4619" max="4619" width="9.33203125" style="15" customWidth="1"/>
    <col min="4620" max="4620" width="12.109375" style="15" customWidth="1"/>
    <col min="4621" max="4621" width="13.44140625" style="15" customWidth="1"/>
    <col min="4622" max="4622" width="13.88671875" style="15" bestFit="1" customWidth="1"/>
    <col min="4623" max="4623" width="16.33203125" style="15" bestFit="1" customWidth="1"/>
    <col min="4624" max="4624" width="11" style="15" customWidth="1"/>
    <col min="4625" max="4637" width="13.6640625" style="15" customWidth="1"/>
    <col min="4638" max="4867" width="9.109375" style="15"/>
    <col min="4868" max="4868" width="50.88671875" style="15" customWidth="1"/>
    <col min="4869" max="4869" width="17" style="15" customWidth="1"/>
    <col min="4870" max="4870" width="37.109375" style="15" customWidth="1"/>
    <col min="4871" max="4873" width="15.6640625" style="15" customWidth="1"/>
    <col min="4874" max="4874" width="25.5546875" style="15" customWidth="1"/>
    <col min="4875" max="4875" width="9.33203125" style="15" customWidth="1"/>
    <col min="4876" max="4876" width="12.109375" style="15" customWidth="1"/>
    <col min="4877" max="4877" width="13.44140625" style="15" customWidth="1"/>
    <col min="4878" max="4878" width="13.88671875" style="15" bestFit="1" customWidth="1"/>
    <col min="4879" max="4879" width="16.33203125" style="15" bestFit="1" customWidth="1"/>
    <col min="4880" max="4880" width="11" style="15" customWidth="1"/>
    <col min="4881" max="4893" width="13.6640625" style="15" customWidth="1"/>
    <col min="4894" max="5123" width="9.109375" style="15"/>
    <col min="5124" max="5124" width="50.88671875" style="15" customWidth="1"/>
    <col min="5125" max="5125" width="17" style="15" customWidth="1"/>
    <col min="5126" max="5126" width="37.109375" style="15" customWidth="1"/>
    <col min="5127" max="5129" width="15.6640625" style="15" customWidth="1"/>
    <col min="5130" max="5130" width="25.5546875" style="15" customWidth="1"/>
    <col min="5131" max="5131" width="9.33203125" style="15" customWidth="1"/>
    <col min="5132" max="5132" width="12.109375" style="15" customWidth="1"/>
    <col min="5133" max="5133" width="13.44140625" style="15" customWidth="1"/>
    <col min="5134" max="5134" width="13.88671875" style="15" bestFit="1" customWidth="1"/>
    <col min="5135" max="5135" width="16.33203125" style="15" bestFit="1" customWidth="1"/>
    <col min="5136" max="5136" width="11" style="15" customWidth="1"/>
    <col min="5137" max="5149" width="13.6640625" style="15" customWidth="1"/>
    <col min="5150" max="5379" width="9.109375" style="15"/>
    <col min="5380" max="5380" width="50.88671875" style="15" customWidth="1"/>
    <col min="5381" max="5381" width="17" style="15" customWidth="1"/>
    <col min="5382" max="5382" width="37.109375" style="15" customWidth="1"/>
    <col min="5383" max="5385" width="15.6640625" style="15" customWidth="1"/>
    <col min="5386" max="5386" width="25.5546875" style="15" customWidth="1"/>
    <col min="5387" max="5387" width="9.33203125" style="15" customWidth="1"/>
    <col min="5388" max="5388" width="12.109375" style="15" customWidth="1"/>
    <col min="5389" max="5389" width="13.44140625" style="15" customWidth="1"/>
    <col min="5390" max="5390" width="13.88671875" style="15" bestFit="1" customWidth="1"/>
    <col min="5391" max="5391" width="16.33203125" style="15" bestFit="1" customWidth="1"/>
    <col min="5392" max="5392" width="11" style="15" customWidth="1"/>
    <col min="5393" max="5405" width="13.6640625" style="15" customWidth="1"/>
    <col min="5406" max="5635" width="9.109375" style="15"/>
    <col min="5636" max="5636" width="50.88671875" style="15" customWidth="1"/>
    <col min="5637" max="5637" width="17" style="15" customWidth="1"/>
    <col min="5638" max="5638" width="37.109375" style="15" customWidth="1"/>
    <col min="5639" max="5641" width="15.6640625" style="15" customWidth="1"/>
    <col min="5642" max="5642" width="25.5546875" style="15" customWidth="1"/>
    <col min="5643" max="5643" width="9.33203125" style="15" customWidth="1"/>
    <col min="5644" max="5644" width="12.109375" style="15" customWidth="1"/>
    <col min="5645" max="5645" width="13.44140625" style="15" customWidth="1"/>
    <col min="5646" max="5646" width="13.88671875" style="15" bestFit="1" customWidth="1"/>
    <col min="5647" max="5647" width="16.33203125" style="15" bestFit="1" customWidth="1"/>
    <col min="5648" max="5648" width="11" style="15" customWidth="1"/>
    <col min="5649" max="5661" width="13.6640625" style="15" customWidth="1"/>
    <col min="5662" max="5891" width="9.109375" style="15"/>
    <col min="5892" max="5892" width="50.88671875" style="15" customWidth="1"/>
    <col min="5893" max="5893" width="17" style="15" customWidth="1"/>
    <col min="5894" max="5894" width="37.109375" style="15" customWidth="1"/>
    <col min="5895" max="5897" width="15.6640625" style="15" customWidth="1"/>
    <col min="5898" max="5898" width="25.5546875" style="15" customWidth="1"/>
    <col min="5899" max="5899" width="9.33203125" style="15" customWidth="1"/>
    <col min="5900" max="5900" width="12.109375" style="15" customWidth="1"/>
    <col min="5901" max="5901" width="13.44140625" style="15" customWidth="1"/>
    <col min="5902" max="5902" width="13.88671875" style="15" bestFit="1" customWidth="1"/>
    <col min="5903" max="5903" width="16.33203125" style="15" bestFit="1" customWidth="1"/>
    <col min="5904" max="5904" width="11" style="15" customWidth="1"/>
    <col min="5905" max="5917" width="13.6640625" style="15" customWidth="1"/>
    <col min="5918" max="6147" width="9.109375" style="15"/>
    <col min="6148" max="6148" width="50.88671875" style="15" customWidth="1"/>
    <col min="6149" max="6149" width="17" style="15" customWidth="1"/>
    <col min="6150" max="6150" width="37.109375" style="15" customWidth="1"/>
    <col min="6151" max="6153" width="15.6640625" style="15" customWidth="1"/>
    <col min="6154" max="6154" width="25.5546875" style="15" customWidth="1"/>
    <col min="6155" max="6155" width="9.33203125" style="15" customWidth="1"/>
    <col min="6156" max="6156" width="12.109375" style="15" customWidth="1"/>
    <col min="6157" max="6157" width="13.44140625" style="15" customWidth="1"/>
    <col min="6158" max="6158" width="13.88671875" style="15" bestFit="1" customWidth="1"/>
    <col min="6159" max="6159" width="16.33203125" style="15" bestFit="1" customWidth="1"/>
    <col min="6160" max="6160" width="11" style="15" customWidth="1"/>
    <col min="6161" max="6173" width="13.6640625" style="15" customWidth="1"/>
    <col min="6174" max="6403" width="9.109375" style="15"/>
    <col min="6404" max="6404" width="50.88671875" style="15" customWidth="1"/>
    <col min="6405" max="6405" width="17" style="15" customWidth="1"/>
    <col min="6406" max="6406" width="37.109375" style="15" customWidth="1"/>
    <col min="6407" max="6409" width="15.6640625" style="15" customWidth="1"/>
    <col min="6410" max="6410" width="25.5546875" style="15" customWidth="1"/>
    <col min="6411" max="6411" width="9.33203125" style="15" customWidth="1"/>
    <col min="6412" max="6412" width="12.109375" style="15" customWidth="1"/>
    <col min="6413" max="6413" width="13.44140625" style="15" customWidth="1"/>
    <col min="6414" max="6414" width="13.88671875" style="15" bestFit="1" customWidth="1"/>
    <col min="6415" max="6415" width="16.33203125" style="15" bestFit="1" customWidth="1"/>
    <col min="6416" max="6416" width="11" style="15" customWidth="1"/>
    <col min="6417" max="6429" width="13.6640625" style="15" customWidth="1"/>
    <col min="6430" max="6659" width="9.109375" style="15"/>
    <col min="6660" max="6660" width="50.88671875" style="15" customWidth="1"/>
    <col min="6661" max="6661" width="17" style="15" customWidth="1"/>
    <col min="6662" max="6662" width="37.109375" style="15" customWidth="1"/>
    <col min="6663" max="6665" width="15.6640625" style="15" customWidth="1"/>
    <col min="6666" max="6666" width="25.5546875" style="15" customWidth="1"/>
    <col min="6667" max="6667" width="9.33203125" style="15" customWidth="1"/>
    <col min="6668" max="6668" width="12.109375" style="15" customWidth="1"/>
    <col min="6669" max="6669" width="13.44140625" style="15" customWidth="1"/>
    <col min="6670" max="6670" width="13.88671875" style="15" bestFit="1" customWidth="1"/>
    <col min="6671" max="6671" width="16.33203125" style="15" bestFit="1" customWidth="1"/>
    <col min="6672" max="6672" width="11" style="15" customWidth="1"/>
    <col min="6673" max="6685" width="13.6640625" style="15" customWidth="1"/>
    <col min="6686" max="6915" width="9.109375" style="15"/>
    <col min="6916" max="6916" width="50.88671875" style="15" customWidth="1"/>
    <col min="6917" max="6917" width="17" style="15" customWidth="1"/>
    <col min="6918" max="6918" width="37.109375" style="15" customWidth="1"/>
    <col min="6919" max="6921" width="15.6640625" style="15" customWidth="1"/>
    <col min="6922" max="6922" width="25.5546875" style="15" customWidth="1"/>
    <col min="6923" max="6923" width="9.33203125" style="15" customWidth="1"/>
    <col min="6924" max="6924" width="12.109375" style="15" customWidth="1"/>
    <col min="6925" max="6925" width="13.44140625" style="15" customWidth="1"/>
    <col min="6926" max="6926" width="13.88671875" style="15" bestFit="1" customWidth="1"/>
    <col min="6927" max="6927" width="16.33203125" style="15" bestFit="1" customWidth="1"/>
    <col min="6928" max="6928" width="11" style="15" customWidth="1"/>
    <col min="6929" max="6941" width="13.6640625" style="15" customWidth="1"/>
    <col min="6942" max="7171" width="9.109375" style="15"/>
    <col min="7172" max="7172" width="50.88671875" style="15" customWidth="1"/>
    <col min="7173" max="7173" width="17" style="15" customWidth="1"/>
    <col min="7174" max="7174" width="37.109375" style="15" customWidth="1"/>
    <col min="7175" max="7177" width="15.6640625" style="15" customWidth="1"/>
    <col min="7178" max="7178" width="25.5546875" style="15" customWidth="1"/>
    <col min="7179" max="7179" width="9.33203125" style="15" customWidth="1"/>
    <col min="7180" max="7180" width="12.109375" style="15" customWidth="1"/>
    <col min="7181" max="7181" width="13.44140625" style="15" customWidth="1"/>
    <col min="7182" max="7182" width="13.88671875" style="15" bestFit="1" customWidth="1"/>
    <col min="7183" max="7183" width="16.33203125" style="15" bestFit="1" customWidth="1"/>
    <col min="7184" max="7184" width="11" style="15" customWidth="1"/>
    <col min="7185" max="7197" width="13.6640625" style="15" customWidth="1"/>
    <col min="7198" max="7427" width="9.109375" style="15"/>
    <col min="7428" max="7428" width="50.88671875" style="15" customWidth="1"/>
    <col min="7429" max="7429" width="17" style="15" customWidth="1"/>
    <col min="7430" max="7430" width="37.109375" style="15" customWidth="1"/>
    <col min="7431" max="7433" width="15.6640625" style="15" customWidth="1"/>
    <col min="7434" max="7434" width="25.5546875" style="15" customWidth="1"/>
    <col min="7435" max="7435" width="9.33203125" style="15" customWidth="1"/>
    <col min="7436" max="7436" width="12.109375" style="15" customWidth="1"/>
    <col min="7437" max="7437" width="13.44140625" style="15" customWidth="1"/>
    <col min="7438" max="7438" width="13.88671875" style="15" bestFit="1" customWidth="1"/>
    <col min="7439" max="7439" width="16.33203125" style="15" bestFit="1" customWidth="1"/>
    <col min="7440" max="7440" width="11" style="15" customWidth="1"/>
    <col min="7441" max="7453" width="13.6640625" style="15" customWidth="1"/>
    <col min="7454" max="7683" width="9.109375" style="15"/>
    <col min="7684" max="7684" width="50.88671875" style="15" customWidth="1"/>
    <col min="7685" max="7685" width="17" style="15" customWidth="1"/>
    <col min="7686" max="7686" width="37.109375" style="15" customWidth="1"/>
    <col min="7687" max="7689" width="15.6640625" style="15" customWidth="1"/>
    <col min="7690" max="7690" width="25.5546875" style="15" customWidth="1"/>
    <col min="7691" max="7691" width="9.33203125" style="15" customWidth="1"/>
    <col min="7692" max="7692" width="12.109375" style="15" customWidth="1"/>
    <col min="7693" max="7693" width="13.44140625" style="15" customWidth="1"/>
    <col min="7694" max="7694" width="13.88671875" style="15" bestFit="1" customWidth="1"/>
    <col min="7695" max="7695" width="16.33203125" style="15" bestFit="1" customWidth="1"/>
    <col min="7696" max="7696" width="11" style="15" customWidth="1"/>
    <col min="7697" max="7709" width="13.6640625" style="15" customWidth="1"/>
    <col min="7710" max="7939" width="9.109375" style="15"/>
    <col min="7940" max="7940" width="50.88671875" style="15" customWidth="1"/>
    <col min="7941" max="7941" width="17" style="15" customWidth="1"/>
    <col min="7942" max="7942" width="37.109375" style="15" customWidth="1"/>
    <col min="7943" max="7945" width="15.6640625" style="15" customWidth="1"/>
    <col min="7946" max="7946" width="25.5546875" style="15" customWidth="1"/>
    <col min="7947" max="7947" width="9.33203125" style="15" customWidth="1"/>
    <col min="7948" max="7948" width="12.109375" style="15" customWidth="1"/>
    <col min="7949" max="7949" width="13.44140625" style="15" customWidth="1"/>
    <col min="7950" max="7950" width="13.88671875" style="15" bestFit="1" customWidth="1"/>
    <col min="7951" max="7951" width="16.33203125" style="15" bestFit="1" customWidth="1"/>
    <col min="7952" max="7952" width="11" style="15" customWidth="1"/>
    <col min="7953" max="7965" width="13.6640625" style="15" customWidth="1"/>
    <col min="7966" max="8195" width="9.109375" style="15"/>
    <col min="8196" max="8196" width="50.88671875" style="15" customWidth="1"/>
    <col min="8197" max="8197" width="17" style="15" customWidth="1"/>
    <col min="8198" max="8198" width="37.109375" style="15" customWidth="1"/>
    <col min="8199" max="8201" width="15.6640625" style="15" customWidth="1"/>
    <col min="8202" max="8202" width="25.5546875" style="15" customWidth="1"/>
    <col min="8203" max="8203" width="9.33203125" style="15" customWidth="1"/>
    <col min="8204" max="8204" width="12.109375" style="15" customWidth="1"/>
    <col min="8205" max="8205" width="13.44140625" style="15" customWidth="1"/>
    <col min="8206" max="8206" width="13.88671875" style="15" bestFit="1" customWidth="1"/>
    <col min="8207" max="8207" width="16.33203125" style="15" bestFit="1" customWidth="1"/>
    <col min="8208" max="8208" width="11" style="15" customWidth="1"/>
    <col min="8209" max="8221" width="13.6640625" style="15" customWidth="1"/>
    <col min="8222" max="8451" width="9.109375" style="15"/>
    <col min="8452" max="8452" width="50.88671875" style="15" customWidth="1"/>
    <col min="8453" max="8453" width="17" style="15" customWidth="1"/>
    <col min="8454" max="8454" width="37.109375" style="15" customWidth="1"/>
    <col min="8455" max="8457" width="15.6640625" style="15" customWidth="1"/>
    <col min="8458" max="8458" width="25.5546875" style="15" customWidth="1"/>
    <col min="8459" max="8459" width="9.33203125" style="15" customWidth="1"/>
    <col min="8460" max="8460" width="12.109375" style="15" customWidth="1"/>
    <col min="8461" max="8461" width="13.44140625" style="15" customWidth="1"/>
    <col min="8462" max="8462" width="13.88671875" style="15" bestFit="1" customWidth="1"/>
    <col min="8463" max="8463" width="16.33203125" style="15" bestFit="1" customWidth="1"/>
    <col min="8464" max="8464" width="11" style="15" customWidth="1"/>
    <col min="8465" max="8477" width="13.6640625" style="15" customWidth="1"/>
    <col min="8478" max="8707" width="9.109375" style="15"/>
    <col min="8708" max="8708" width="50.88671875" style="15" customWidth="1"/>
    <col min="8709" max="8709" width="17" style="15" customWidth="1"/>
    <col min="8710" max="8710" width="37.109375" style="15" customWidth="1"/>
    <col min="8711" max="8713" width="15.6640625" style="15" customWidth="1"/>
    <col min="8714" max="8714" width="25.5546875" style="15" customWidth="1"/>
    <col min="8715" max="8715" width="9.33203125" style="15" customWidth="1"/>
    <col min="8716" max="8716" width="12.109375" style="15" customWidth="1"/>
    <col min="8717" max="8717" width="13.44140625" style="15" customWidth="1"/>
    <col min="8718" max="8718" width="13.88671875" style="15" bestFit="1" customWidth="1"/>
    <col min="8719" max="8719" width="16.33203125" style="15" bestFit="1" customWidth="1"/>
    <col min="8720" max="8720" width="11" style="15" customWidth="1"/>
    <col min="8721" max="8733" width="13.6640625" style="15" customWidth="1"/>
    <col min="8734" max="8963" width="9.109375" style="15"/>
    <col min="8964" max="8964" width="50.88671875" style="15" customWidth="1"/>
    <col min="8965" max="8965" width="17" style="15" customWidth="1"/>
    <col min="8966" max="8966" width="37.109375" style="15" customWidth="1"/>
    <col min="8967" max="8969" width="15.6640625" style="15" customWidth="1"/>
    <col min="8970" max="8970" width="25.5546875" style="15" customWidth="1"/>
    <col min="8971" max="8971" width="9.33203125" style="15" customWidth="1"/>
    <col min="8972" max="8972" width="12.109375" style="15" customWidth="1"/>
    <col min="8973" max="8973" width="13.44140625" style="15" customWidth="1"/>
    <col min="8974" max="8974" width="13.88671875" style="15" bestFit="1" customWidth="1"/>
    <col min="8975" max="8975" width="16.33203125" style="15" bestFit="1" customWidth="1"/>
    <col min="8976" max="8976" width="11" style="15" customWidth="1"/>
    <col min="8977" max="8989" width="13.6640625" style="15" customWidth="1"/>
    <col min="8990" max="9219" width="9.109375" style="15"/>
    <col min="9220" max="9220" width="50.88671875" style="15" customWidth="1"/>
    <col min="9221" max="9221" width="17" style="15" customWidth="1"/>
    <col min="9222" max="9222" width="37.109375" style="15" customWidth="1"/>
    <col min="9223" max="9225" width="15.6640625" style="15" customWidth="1"/>
    <col min="9226" max="9226" width="25.5546875" style="15" customWidth="1"/>
    <col min="9227" max="9227" width="9.33203125" style="15" customWidth="1"/>
    <col min="9228" max="9228" width="12.109375" style="15" customWidth="1"/>
    <col min="9229" max="9229" width="13.44140625" style="15" customWidth="1"/>
    <col min="9230" max="9230" width="13.88671875" style="15" bestFit="1" customWidth="1"/>
    <col min="9231" max="9231" width="16.33203125" style="15" bestFit="1" customWidth="1"/>
    <col min="9232" max="9232" width="11" style="15" customWidth="1"/>
    <col min="9233" max="9245" width="13.6640625" style="15" customWidth="1"/>
    <col min="9246" max="9475" width="9.109375" style="15"/>
    <col min="9476" max="9476" width="50.88671875" style="15" customWidth="1"/>
    <col min="9477" max="9477" width="17" style="15" customWidth="1"/>
    <col min="9478" max="9478" width="37.109375" style="15" customWidth="1"/>
    <col min="9479" max="9481" width="15.6640625" style="15" customWidth="1"/>
    <col min="9482" max="9482" width="25.5546875" style="15" customWidth="1"/>
    <col min="9483" max="9483" width="9.33203125" style="15" customWidth="1"/>
    <col min="9484" max="9484" width="12.109375" style="15" customWidth="1"/>
    <col min="9485" max="9485" width="13.44140625" style="15" customWidth="1"/>
    <col min="9486" max="9486" width="13.88671875" style="15" bestFit="1" customWidth="1"/>
    <col min="9487" max="9487" width="16.33203125" style="15" bestFit="1" customWidth="1"/>
    <col min="9488" max="9488" width="11" style="15" customWidth="1"/>
    <col min="9489" max="9501" width="13.6640625" style="15" customWidth="1"/>
    <col min="9502" max="9731" width="9.109375" style="15"/>
    <col min="9732" max="9732" width="50.88671875" style="15" customWidth="1"/>
    <col min="9733" max="9733" width="17" style="15" customWidth="1"/>
    <col min="9734" max="9734" width="37.109375" style="15" customWidth="1"/>
    <col min="9735" max="9737" width="15.6640625" style="15" customWidth="1"/>
    <col min="9738" max="9738" width="25.5546875" style="15" customWidth="1"/>
    <col min="9739" max="9739" width="9.33203125" style="15" customWidth="1"/>
    <col min="9740" max="9740" width="12.109375" style="15" customWidth="1"/>
    <col min="9741" max="9741" width="13.44140625" style="15" customWidth="1"/>
    <col min="9742" max="9742" width="13.88671875" style="15" bestFit="1" customWidth="1"/>
    <col min="9743" max="9743" width="16.33203125" style="15" bestFit="1" customWidth="1"/>
    <col min="9744" max="9744" width="11" style="15" customWidth="1"/>
    <col min="9745" max="9757" width="13.6640625" style="15" customWidth="1"/>
    <col min="9758" max="9987" width="9.109375" style="15"/>
    <col min="9988" max="9988" width="50.88671875" style="15" customWidth="1"/>
    <col min="9989" max="9989" width="17" style="15" customWidth="1"/>
    <col min="9990" max="9990" width="37.109375" style="15" customWidth="1"/>
    <col min="9991" max="9993" width="15.6640625" style="15" customWidth="1"/>
    <col min="9994" max="9994" width="25.5546875" style="15" customWidth="1"/>
    <col min="9995" max="9995" width="9.33203125" style="15" customWidth="1"/>
    <col min="9996" max="9996" width="12.109375" style="15" customWidth="1"/>
    <col min="9997" max="9997" width="13.44140625" style="15" customWidth="1"/>
    <col min="9998" max="9998" width="13.88671875" style="15" bestFit="1" customWidth="1"/>
    <col min="9999" max="9999" width="16.33203125" style="15" bestFit="1" customWidth="1"/>
    <col min="10000" max="10000" width="11" style="15" customWidth="1"/>
    <col min="10001" max="10013" width="13.6640625" style="15" customWidth="1"/>
    <col min="10014" max="10243" width="9.109375" style="15"/>
    <col min="10244" max="10244" width="50.88671875" style="15" customWidth="1"/>
    <col min="10245" max="10245" width="17" style="15" customWidth="1"/>
    <col min="10246" max="10246" width="37.109375" style="15" customWidth="1"/>
    <col min="10247" max="10249" width="15.6640625" style="15" customWidth="1"/>
    <col min="10250" max="10250" width="25.5546875" style="15" customWidth="1"/>
    <col min="10251" max="10251" width="9.33203125" style="15" customWidth="1"/>
    <col min="10252" max="10252" width="12.109375" style="15" customWidth="1"/>
    <col min="10253" max="10253" width="13.44140625" style="15" customWidth="1"/>
    <col min="10254" max="10254" width="13.88671875" style="15" bestFit="1" customWidth="1"/>
    <col min="10255" max="10255" width="16.33203125" style="15" bestFit="1" customWidth="1"/>
    <col min="10256" max="10256" width="11" style="15" customWidth="1"/>
    <col min="10257" max="10269" width="13.6640625" style="15" customWidth="1"/>
    <col min="10270" max="10499" width="9.109375" style="15"/>
    <col min="10500" max="10500" width="50.88671875" style="15" customWidth="1"/>
    <col min="10501" max="10501" width="17" style="15" customWidth="1"/>
    <col min="10502" max="10502" width="37.109375" style="15" customWidth="1"/>
    <col min="10503" max="10505" width="15.6640625" style="15" customWidth="1"/>
    <col min="10506" max="10506" width="25.5546875" style="15" customWidth="1"/>
    <col min="10507" max="10507" width="9.33203125" style="15" customWidth="1"/>
    <col min="10508" max="10508" width="12.109375" style="15" customWidth="1"/>
    <col min="10509" max="10509" width="13.44140625" style="15" customWidth="1"/>
    <col min="10510" max="10510" width="13.88671875" style="15" bestFit="1" customWidth="1"/>
    <col min="10511" max="10511" width="16.33203125" style="15" bestFit="1" customWidth="1"/>
    <col min="10512" max="10512" width="11" style="15" customWidth="1"/>
    <col min="10513" max="10525" width="13.6640625" style="15" customWidth="1"/>
    <col min="10526" max="10755" width="9.109375" style="15"/>
    <col min="10756" max="10756" width="50.88671875" style="15" customWidth="1"/>
    <col min="10757" max="10757" width="17" style="15" customWidth="1"/>
    <col min="10758" max="10758" width="37.109375" style="15" customWidth="1"/>
    <col min="10759" max="10761" width="15.6640625" style="15" customWidth="1"/>
    <col min="10762" max="10762" width="25.5546875" style="15" customWidth="1"/>
    <col min="10763" max="10763" width="9.33203125" style="15" customWidth="1"/>
    <col min="10764" max="10764" width="12.109375" style="15" customWidth="1"/>
    <col min="10765" max="10765" width="13.44140625" style="15" customWidth="1"/>
    <col min="10766" max="10766" width="13.88671875" style="15" bestFit="1" customWidth="1"/>
    <col min="10767" max="10767" width="16.33203125" style="15" bestFit="1" customWidth="1"/>
    <col min="10768" max="10768" width="11" style="15" customWidth="1"/>
    <col min="10769" max="10781" width="13.6640625" style="15" customWidth="1"/>
    <col min="10782" max="11011" width="9.109375" style="15"/>
    <col min="11012" max="11012" width="50.88671875" style="15" customWidth="1"/>
    <col min="11013" max="11013" width="17" style="15" customWidth="1"/>
    <col min="11014" max="11014" width="37.109375" style="15" customWidth="1"/>
    <col min="11015" max="11017" width="15.6640625" style="15" customWidth="1"/>
    <col min="11018" max="11018" width="25.5546875" style="15" customWidth="1"/>
    <col min="11019" max="11019" width="9.33203125" style="15" customWidth="1"/>
    <col min="11020" max="11020" width="12.109375" style="15" customWidth="1"/>
    <col min="11021" max="11021" width="13.44140625" style="15" customWidth="1"/>
    <col min="11022" max="11022" width="13.88671875" style="15" bestFit="1" customWidth="1"/>
    <col min="11023" max="11023" width="16.33203125" style="15" bestFit="1" customWidth="1"/>
    <col min="11024" max="11024" width="11" style="15" customWidth="1"/>
    <col min="11025" max="11037" width="13.6640625" style="15" customWidth="1"/>
    <col min="11038" max="11267" width="9.109375" style="15"/>
    <col min="11268" max="11268" width="50.88671875" style="15" customWidth="1"/>
    <col min="11269" max="11269" width="17" style="15" customWidth="1"/>
    <col min="11270" max="11270" width="37.109375" style="15" customWidth="1"/>
    <col min="11271" max="11273" width="15.6640625" style="15" customWidth="1"/>
    <col min="11274" max="11274" width="25.5546875" style="15" customWidth="1"/>
    <col min="11275" max="11275" width="9.33203125" style="15" customWidth="1"/>
    <col min="11276" max="11276" width="12.109375" style="15" customWidth="1"/>
    <col min="11277" max="11277" width="13.44140625" style="15" customWidth="1"/>
    <col min="11278" max="11278" width="13.88671875" style="15" bestFit="1" customWidth="1"/>
    <col min="11279" max="11279" width="16.33203125" style="15" bestFit="1" customWidth="1"/>
    <col min="11280" max="11280" width="11" style="15" customWidth="1"/>
    <col min="11281" max="11293" width="13.6640625" style="15" customWidth="1"/>
    <col min="11294" max="11523" width="9.109375" style="15"/>
    <col min="11524" max="11524" width="50.88671875" style="15" customWidth="1"/>
    <col min="11525" max="11525" width="17" style="15" customWidth="1"/>
    <col min="11526" max="11526" width="37.109375" style="15" customWidth="1"/>
    <col min="11527" max="11529" width="15.6640625" style="15" customWidth="1"/>
    <col min="11530" max="11530" width="25.5546875" style="15" customWidth="1"/>
    <col min="11531" max="11531" width="9.33203125" style="15" customWidth="1"/>
    <col min="11532" max="11532" width="12.109375" style="15" customWidth="1"/>
    <col min="11533" max="11533" width="13.44140625" style="15" customWidth="1"/>
    <col min="11534" max="11534" width="13.88671875" style="15" bestFit="1" customWidth="1"/>
    <col min="11535" max="11535" width="16.33203125" style="15" bestFit="1" customWidth="1"/>
    <col min="11536" max="11536" width="11" style="15" customWidth="1"/>
    <col min="11537" max="11549" width="13.6640625" style="15" customWidth="1"/>
    <col min="11550" max="11779" width="9.109375" style="15"/>
    <col min="11780" max="11780" width="50.88671875" style="15" customWidth="1"/>
    <col min="11781" max="11781" width="17" style="15" customWidth="1"/>
    <col min="11782" max="11782" width="37.109375" style="15" customWidth="1"/>
    <col min="11783" max="11785" width="15.6640625" style="15" customWidth="1"/>
    <col min="11786" max="11786" width="25.5546875" style="15" customWidth="1"/>
    <col min="11787" max="11787" width="9.33203125" style="15" customWidth="1"/>
    <col min="11788" max="11788" width="12.109375" style="15" customWidth="1"/>
    <col min="11789" max="11789" width="13.44140625" style="15" customWidth="1"/>
    <col min="11790" max="11790" width="13.88671875" style="15" bestFit="1" customWidth="1"/>
    <col min="11791" max="11791" width="16.33203125" style="15" bestFit="1" customWidth="1"/>
    <col min="11792" max="11792" width="11" style="15" customWidth="1"/>
    <col min="11793" max="11805" width="13.6640625" style="15" customWidth="1"/>
    <col min="11806" max="12035" width="9.109375" style="15"/>
    <col min="12036" max="12036" width="50.88671875" style="15" customWidth="1"/>
    <col min="12037" max="12037" width="17" style="15" customWidth="1"/>
    <col min="12038" max="12038" width="37.109375" style="15" customWidth="1"/>
    <col min="12039" max="12041" width="15.6640625" style="15" customWidth="1"/>
    <col min="12042" max="12042" width="25.5546875" style="15" customWidth="1"/>
    <col min="12043" max="12043" width="9.33203125" style="15" customWidth="1"/>
    <col min="12044" max="12044" width="12.109375" style="15" customWidth="1"/>
    <col min="12045" max="12045" width="13.44140625" style="15" customWidth="1"/>
    <col min="12046" max="12046" width="13.88671875" style="15" bestFit="1" customWidth="1"/>
    <col min="12047" max="12047" width="16.33203125" style="15" bestFit="1" customWidth="1"/>
    <col min="12048" max="12048" width="11" style="15" customWidth="1"/>
    <col min="12049" max="12061" width="13.6640625" style="15" customWidth="1"/>
    <col min="12062" max="12291" width="9.109375" style="15"/>
    <col min="12292" max="12292" width="50.88671875" style="15" customWidth="1"/>
    <col min="12293" max="12293" width="17" style="15" customWidth="1"/>
    <col min="12294" max="12294" width="37.109375" style="15" customWidth="1"/>
    <col min="12295" max="12297" width="15.6640625" style="15" customWidth="1"/>
    <col min="12298" max="12298" width="25.5546875" style="15" customWidth="1"/>
    <col min="12299" max="12299" width="9.33203125" style="15" customWidth="1"/>
    <col min="12300" max="12300" width="12.109375" style="15" customWidth="1"/>
    <col min="12301" max="12301" width="13.44140625" style="15" customWidth="1"/>
    <col min="12302" max="12302" width="13.88671875" style="15" bestFit="1" customWidth="1"/>
    <col min="12303" max="12303" width="16.33203125" style="15" bestFit="1" customWidth="1"/>
    <col min="12304" max="12304" width="11" style="15" customWidth="1"/>
    <col min="12305" max="12317" width="13.6640625" style="15" customWidth="1"/>
    <col min="12318" max="12547" width="9.109375" style="15"/>
    <col min="12548" max="12548" width="50.88671875" style="15" customWidth="1"/>
    <col min="12549" max="12549" width="17" style="15" customWidth="1"/>
    <col min="12550" max="12550" width="37.109375" style="15" customWidth="1"/>
    <col min="12551" max="12553" width="15.6640625" style="15" customWidth="1"/>
    <col min="12554" max="12554" width="25.5546875" style="15" customWidth="1"/>
    <col min="12555" max="12555" width="9.33203125" style="15" customWidth="1"/>
    <col min="12556" max="12556" width="12.109375" style="15" customWidth="1"/>
    <col min="12557" max="12557" width="13.44140625" style="15" customWidth="1"/>
    <col min="12558" max="12558" width="13.88671875" style="15" bestFit="1" customWidth="1"/>
    <col min="12559" max="12559" width="16.33203125" style="15" bestFit="1" customWidth="1"/>
    <col min="12560" max="12560" width="11" style="15" customWidth="1"/>
    <col min="12561" max="12573" width="13.6640625" style="15" customWidth="1"/>
    <col min="12574" max="12803" width="9.109375" style="15"/>
    <col min="12804" max="12804" width="50.88671875" style="15" customWidth="1"/>
    <col min="12805" max="12805" width="17" style="15" customWidth="1"/>
    <col min="12806" max="12806" width="37.109375" style="15" customWidth="1"/>
    <col min="12807" max="12809" width="15.6640625" style="15" customWidth="1"/>
    <col min="12810" max="12810" width="25.5546875" style="15" customWidth="1"/>
    <col min="12811" max="12811" width="9.33203125" style="15" customWidth="1"/>
    <col min="12812" max="12812" width="12.109375" style="15" customWidth="1"/>
    <col min="12813" max="12813" width="13.44140625" style="15" customWidth="1"/>
    <col min="12814" max="12814" width="13.88671875" style="15" bestFit="1" customWidth="1"/>
    <col min="12815" max="12815" width="16.33203125" style="15" bestFit="1" customWidth="1"/>
    <col min="12816" max="12816" width="11" style="15" customWidth="1"/>
    <col min="12817" max="12829" width="13.6640625" style="15" customWidth="1"/>
    <col min="12830" max="13059" width="9.109375" style="15"/>
    <col min="13060" max="13060" width="50.88671875" style="15" customWidth="1"/>
    <col min="13061" max="13061" width="17" style="15" customWidth="1"/>
    <col min="13062" max="13062" width="37.109375" style="15" customWidth="1"/>
    <col min="13063" max="13065" width="15.6640625" style="15" customWidth="1"/>
    <col min="13066" max="13066" width="25.5546875" style="15" customWidth="1"/>
    <col min="13067" max="13067" width="9.33203125" style="15" customWidth="1"/>
    <col min="13068" max="13068" width="12.109375" style="15" customWidth="1"/>
    <col min="13069" max="13069" width="13.44140625" style="15" customWidth="1"/>
    <col min="13070" max="13070" width="13.88671875" style="15" bestFit="1" customWidth="1"/>
    <col min="13071" max="13071" width="16.33203125" style="15" bestFit="1" customWidth="1"/>
    <col min="13072" max="13072" width="11" style="15" customWidth="1"/>
    <col min="13073" max="13085" width="13.6640625" style="15" customWidth="1"/>
    <col min="13086" max="13315" width="9.109375" style="15"/>
    <col min="13316" max="13316" width="50.88671875" style="15" customWidth="1"/>
    <col min="13317" max="13317" width="17" style="15" customWidth="1"/>
    <col min="13318" max="13318" width="37.109375" style="15" customWidth="1"/>
    <col min="13319" max="13321" width="15.6640625" style="15" customWidth="1"/>
    <col min="13322" max="13322" width="25.5546875" style="15" customWidth="1"/>
    <col min="13323" max="13323" width="9.33203125" style="15" customWidth="1"/>
    <col min="13324" max="13324" width="12.109375" style="15" customWidth="1"/>
    <col min="13325" max="13325" width="13.44140625" style="15" customWidth="1"/>
    <col min="13326" max="13326" width="13.88671875" style="15" bestFit="1" customWidth="1"/>
    <col min="13327" max="13327" width="16.33203125" style="15" bestFit="1" customWidth="1"/>
    <col min="13328" max="13328" width="11" style="15" customWidth="1"/>
    <col min="13329" max="13341" width="13.6640625" style="15" customWidth="1"/>
    <col min="13342" max="13571" width="9.109375" style="15"/>
    <col min="13572" max="13572" width="50.88671875" style="15" customWidth="1"/>
    <col min="13573" max="13573" width="17" style="15" customWidth="1"/>
    <col min="13574" max="13574" width="37.109375" style="15" customWidth="1"/>
    <col min="13575" max="13577" width="15.6640625" style="15" customWidth="1"/>
    <col min="13578" max="13578" width="25.5546875" style="15" customWidth="1"/>
    <col min="13579" max="13579" width="9.33203125" style="15" customWidth="1"/>
    <col min="13580" max="13580" width="12.109375" style="15" customWidth="1"/>
    <col min="13581" max="13581" width="13.44140625" style="15" customWidth="1"/>
    <col min="13582" max="13582" width="13.88671875" style="15" bestFit="1" customWidth="1"/>
    <col min="13583" max="13583" width="16.33203125" style="15" bestFit="1" customWidth="1"/>
    <col min="13584" max="13584" width="11" style="15" customWidth="1"/>
    <col min="13585" max="13597" width="13.6640625" style="15" customWidth="1"/>
    <col min="13598" max="13827" width="9.109375" style="15"/>
    <col min="13828" max="13828" width="50.88671875" style="15" customWidth="1"/>
    <col min="13829" max="13829" width="17" style="15" customWidth="1"/>
    <col min="13830" max="13830" width="37.109375" style="15" customWidth="1"/>
    <col min="13831" max="13833" width="15.6640625" style="15" customWidth="1"/>
    <col min="13834" max="13834" width="25.5546875" style="15" customWidth="1"/>
    <col min="13835" max="13835" width="9.33203125" style="15" customWidth="1"/>
    <col min="13836" max="13836" width="12.109375" style="15" customWidth="1"/>
    <col min="13837" max="13837" width="13.44140625" style="15" customWidth="1"/>
    <col min="13838" max="13838" width="13.88671875" style="15" bestFit="1" customWidth="1"/>
    <col min="13839" max="13839" width="16.33203125" style="15" bestFit="1" customWidth="1"/>
    <col min="13840" max="13840" width="11" style="15" customWidth="1"/>
    <col min="13841" max="13853" width="13.6640625" style="15" customWidth="1"/>
    <col min="13854" max="14083" width="9.109375" style="15"/>
    <col min="14084" max="14084" width="50.88671875" style="15" customWidth="1"/>
    <col min="14085" max="14085" width="17" style="15" customWidth="1"/>
    <col min="14086" max="14086" width="37.109375" style="15" customWidth="1"/>
    <col min="14087" max="14089" width="15.6640625" style="15" customWidth="1"/>
    <col min="14090" max="14090" width="25.5546875" style="15" customWidth="1"/>
    <col min="14091" max="14091" width="9.33203125" style="15" customWidth="1"/>
    <col min="14092" max="14092" width="12.109375" style="15" customWidth="1"/>
    <col min="14093" max="14093" width="13.44140625" style="15" customWidth="1"/>
    <col min="14094" max="14094" width="13.88671875" style="15" bestFit="1" customWidth="1"/>
    <col min="14095" max="14095" width="16.33203125" style="15" bestFit="1" customWidth="1"/>
    <col min="14096" max="14096" width="11" style="15" customWidth="1"/>
    <col min="14097" max="14109" width="13.6640625" style="15" customWidth="1"/>
    <col min="14110" max="14339" width="9.109375" style="15"/>
    <col min="14340" max="14340" width="50.88671875" style="15" customWidth="1"/>
    <col min="14341" max="14341" width="17" style="15" customWidth="1"/>
    <col min="14342" max="14342" width="37.109375" style="15" customWidth="1"/>
    <col min="14343" max="14345" width="15.6640625" style="15" customWidth="1"/>
    <col min="14346" max="14346" width="25.5546875" style="15" customWidth="1"/>
    <col min="14347" max="14347" width="9.33203125" style="15" customWidth="1"/>
    <col min="14348" max="14348" width="12.109375" style="15" customWidth="1"/>
    <col min="14349" max="14349" width="13.44140625" style="15" customWidth="1"/>
    <col min="14350" max="14350" width="13.88671875" style="15" bestFit="1" customWidth="1"/>
    <col min="14351" max="14351" width="16.33203125" style="15" bestFit="1" customWidth="1"/>
    <col min="14352" max="14352" width="11" style="15" customWidth="1"/>
    <col min="14353" max="14365" width="13.6640625" style="15" customWidth="1"/>
    <col min="14366" max="14595" width="9.109375" style="15"/>
    <col min="14596" max="14596" width="50.88671875" style="15" customWidth="1"/>
    <col min="14597" max="14597" width="17" style="15" customWidth="1"/>
    <col min="14598" max="14598" width="37.109375" style="15" customWidth="1"/>
    <col min="14599" max="14601" width="15.6640625" style="15" customWidth="1"/>
    <col min="14602" max="14602" width="25.5546875" style="15" customWidth="1"/>
    <col min="14603" max="14603" width="9.33203125" style="15" customWidth="1"/>
    <col min="14604" max="14604" width="12.109375" style="15" customWidth="1"/>
    <col min="14605" max="14605" width="13.44140625" style="15" customWidth="1"/>
    <col min="14606" max="14606" width="13.88671875" style="15" bestFit="1" customWidth="1"/>
    <col min="14607" max="14607" width="16.33203125" style="15" bestFit="1" customWidth="1"/>
    <col min="14608" max="14608" width="11" style="15" customWidth="1"/>
    <col min="14609" max="14621" width="13.6640625" style="15" customWidth="1"/>
    <col min="14622" max="14851" width="9.109375" style="15"/>
    <col min="14852" max="14852" width="50.88671875" style="15" customWidth="1"/>
    <col min="14853" max="14853" width="17" style="15" customWidth="1"/>
    <col min="14854" max="14854" width="37.109375" style="15" customWidth="1"/>
    <col min="14855" max="14857" width="15.6640625" style="15" customWidth="1"/>
    <col min="14858" max="14858" width="25.5546875" style="15" customWidth="1"/>
    <col min="14859" max="14859" width="9.33203125" style="15" customWidth="1"/>
    <col min="14860" max="14860" width="12.109375" style="15" customWidth="1"/>
    <col min="14861" max="14861" width="13.44140625" style="15" customWidth="1"/>
    <col min="14862" max="14862" width="13.88671875" style="15" bestFit="1" customWidth="1"/>
    <col min="14863" max="14863" width="16.33203125" style="15" bestFit="1" customWidth="1"/>
    <col min="14864" max="14864" width="11" style="15" customWidth="1"/>
    <col min="14865" max="14877" width="13.6640625" style="15" customWidth="1"/>
    <col min="14878" max="15107" width="9.109375" style="15"/>
    <col min="15108" max="15108" width="50.88671875" style="15" customWidth="1"/>
    <col min="15109" max="15109" width="17" style="15" customWidth="1"/>
    <col min="15110" max="15110" width="37.109375" style="15" customWidth="1"/>
    <col min="15111" max="15113" width="15.6640625" style="15" customWidth="1"/>
    <col min="15114" max="15114" width="25.5546875" style="15" customWidth="1"/>
    <col min="15115" max="15115" width="9.33203125" style="15" customWidth="1"/>
    <col min="15116" max="15116" width="12.109375" style="15" customWidth="1"/>
    <col min="15117" max="15117" width="13.44140625" style="15" customWidth="1"/>
    <col min="15118" max="15118" width="13.88671875" style="15" bestFit="1" customWidth="1"/>
    <col min="15119" max="15119" width="16.33203125" style="15" bestFit="1" customWidth="1"/>
    <col min="15120" max="15120" width="11" style="15" customWidth="1"/>
    <col min="15121" max="15133" width="13.6640625" style="15" customWidth="1"/>
    <col min="15134" max="15363" width="9.109375" style="15"/>
    <col min="15364" max="15364" width="50.88671875" style="15" customWidth="1"/>
    <col min="15365" max="15365" width="17" style="15" customWidth="1"/>
    <col min="15366" max="15366" width="37.109375" style="15" customWidth="1"/>
    <col min="15367" max="15369" width="15.6640625" style="15" customWidth="1"/>
    <col min="15370" max="15370" width="25.5546875" style="15" customWidth="1"/>
    <col min="15371" max="15371" width="9.33203125" style="15" customWidth="1"/>
    <col min="15372" max="15372" width="12.109375" style="15" customWidth="1"/>
    <col min="15373" max="15373" width="13.44140625" style="15" customWidth="1"/>
    <col min="15374" max="15374" width="13.88671875" style="15" bestFit="1" customWidth="1"/>
    <col min="15375" max="15375" width="16.33203125" style="15" bestFit="1" customWidth="1"/>
    <col min="15376" max="15376" width="11" style="15" customWidth="1"/>
    <col min="15377" max="15389" width="13.6640625" style="15" customWidth="1"/>
    <col min="15390" max="15619" width="9.109375" style="15"/>
    <col min="15620" max="15620" width="50.88671875" style="15" customWidth="1"/>
    <col min="15621" max="15621" width="17" style="15" customWidth="1"/>
    <col min="15622" max="15622" width="37.109375" style="15" customWidth="1"/>
    <col min="15623" max="15625" width="15.6640625" style="15" customWidth="1"/>
    <col min="15626" max="15626" width="25.5546875" style="15" customWidth="1"/>
    <col min="15627" max="15627" width="9.33203125" style="15" customWidth="1"/>
    <col min="15628" max="15628" width="12.109375" style="15" customWidth="1"/>
    <col min="15629" max="15629" width="13.44140625" style="15" customWidth="1"/>
    <col min="15630" max="15630" width="13.88671875" style="15" bestFit="1" customWidth="1"/>
    <col min="15631" max="15631" width="16.33203125" style="15" bestFit="1" customWidth="1"/>
    <col min="15632" max="15632" width="11" style="15" customWidth="1"/>
    <col min="15633" max="15645" width="13.6640625" style="15" customWidth="1"/>
    <col min="15646" max="15875" width="9.109375" style="15"/>
    <col min="15876" max="15876" width="50.88671875" style="15" customWidth="1"/>
    <col min="15877" max="15877" width="17" style="15" customWidth="1"/>
    <col min="15878" max="15878" width="37.109375" style="15" customWidth="1"/>
    <col min="15879" max="15881" width="15.6640625" style="15" customWidth="1"/>
    <col min="15882" max="15882" width="25.5546875" style="15" customWidth="1"/>
    <col min="15883" max="15883" width="9.33203125" style="15" customWidth="1"/>
    <col min="15884" max="15884" width="12.109375" style="15" customWidth="1"/>
    <col min="15885" max="15885" width="13.44140625" style="15" customWidth="1"/>
    <col min="15886" max="15886" width="13.88671875" style="15" bestFit="1" customWidth="1"/>
    <col min="15887" max="15887" width="16.33203125" style="15" bestFit="1" customWidth="1"/>
    <col min="15888" max="15888" width="11" style="15" customWidth="1"/>
    <col min="15889" max="15901" width="13.6640625" style="15" customWidth="1"/>
    <col min="15902" max="16131" width="9.109375" style="15"/>
    <col min="16132" max="16132" width="50.88671875" style="15" customWidth="1"/>
    <col min="16133" max="16133" width="17" style="15" customWidth="1"/>
    <col min="16134" max="16134" width="37.109375" style="15" customWidth="1"/>
    <col min="16135" max="16137" width="15.6640625" style="15" customWidth="1"/>
    <col min="16138" max="16138" width="25.5546875" style="15" customWidth="1"/>
    <col min="16139" max="16139" width="9.33203125" style="15" customWidth="1"/>
    <col min="16140" max="16140" width="12.109375" style="15" customWidth="1"/>
    <col min="16141" max="16141" width="13.44140625" style="15" customWidth="1"/>
    <col min="16142" max="16142" width="13.88671875" style="15" bestFit="1" customWidth="1"/>
    <col min="16143" max="16143" width="16.33203125" style="15" bestFit="1" customWidth="1"/>
    <col min="16144" max="16144" width="11" style="15" customWidth="1"/>
    <col min="16145" max="16157" width="13.6640625" style="15" customWidth="1"/>
    <col min="16158" max="16384" width="9.109375" style="15"/>
  </cols>
  <sheetData>
    <row r="1" spans="1:22" s="7" customFormat="1" ht="66" x14ac:dyDescent="0.25">
      <c r="A1" s="86"/>
      <c r="B1" s="1" t="s">
        <v>0</v>
      </c>
      <c r="C1" s="1" t="s">
        <v>1</v>
      </c>
      <c r="D1" s="1" t="s">
        <v>279</v>
      </c>
      <c r="E1" s="1" t="s">
        <v>280</v>
      </c>
      <c r="F1" s="1" t="s">
        <v>2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3" t="s">
        <v>9</v>
      </c>
      <c r="N1" s="4" t="s">
        <v>10</v>
      </c>
      <c r="O1" s="83" t="s">
        <v>332</v>
      </c>
      <c r="P1" s="6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1" t="s">
        <v>17</v>
      </c>
    </row>
    <row r="2" spans="1:22" x14ac:dyDescent="0.25">
      <c r="M2" s="11"/>
      <c r="N2" s="12"/>
      <c r="O2" s="13"/>
    </row>
    <row r="3" spans="1:22" ht="14.4" x14ac:dyDescent="0.3">
      <c r="B3" s="16" t="s">
        <v>18</v>
      </c>
      <c r="C3" s="16" t="s">
        <v>18</v>
      </c>
      <c r="D3" s="16"/>
      <c r="E3" s="16"/>
      <c r="M3" s="11"/>
      <c r="N3" s="12"/>
      <c r="O3" s="17"/>
      <c r="P3" s="18"/>
      <c r="Q3" s="19"/>
      <c r="R3" s="20"/>
      <c r="S3" s="20"/>
      <c r="T3" s="20"/>
      <c r="U3" s="20"/>
      <c r="V3" s="20"/>
    </row>
    <row r="4" spans="1:22" x14ac:dyDescent="0.25">
      <c r="A4" s="80">
        <v>1</v>
      </c>
      <c r="B4" s="8" t="s">
        <v>19</v>
      </c>
      <c r="C4" s="9" t="s">
        <v>20</v>
      </c>
      <c r="D4" s="9" t="s">
        <v>281</v>
      </c>
      <c r="E4" s="9" t="s">
        <v>282</v>
      </c>
      <c r="F4" s="9" t="s">
        <v>21</v>
      </c>
      <c r="G4" s="9" t="s">
        <v>22</v>
      </c>
      <c r="H4" s="10">
        <v>45199</v>
      </c>
      <c r="I4" s="9" t="s">
        <v>23</v>
      </c>
      <c r="J4" s="9" t="s">
        <v>24</v>
      </c>
      <c r="K4" s="9" t="s">
        <v>25</v>
      </c>
      <c r="L4" s="9" t="s">
        <v>26</v>
      </c>
      <c r="M4" s="11"/>
      <c r="N4" s="12"/>
      <c r="O4" s="17">
        <v>10000</v>
      </c>
      <c r="P4" s="18">
        <v>115</v>
      </c>
      <c r="Q4" s="19">
        <f>+O4</f>
        <v>10000</v>
      </c>
      <c r="R4" s="19"/>
      <c r="S4" s="19"/>
      <c r="T4" s="19"/>
      <c r="U4" s="19"/>
      <c r="V4" s="19"/>
    </row>
    <row r="5" spans="1:22" ht="14.4" x14ac:dyDescent="0.3">
      <c r="A5" s="80">
        <v>1</v>
      </c>
      <c r="B5" s="8" t="s">
        <v>27</v>
      </c>
      <c r="C5" s="9" t="s">
        <v>363</v>
      </c>
      <c r="D5" s="9" t="s">
        <v>283</v>
      </c>
      <c r="E5" s="9" t="s">
        <v>283</v>
      </c>
      <c r="F5" s="9" t="s">
        <v>29</v>
      </c>
      <c r="G5" s="9" t="s">
        <v>22</v>
      </c>
      <c r="H5" s="10">
        <v>45291</v>
      </c>
      <c r="I5" s="9" t="s">
        <v>23</v>
      </c>
      <c r="J5" s="9" t="s">
        <v>24</v>
      </c>
      <c r="K5" s="9" t="s">
        <v>25</v>
      </c>
      <c r="L5" s="9" t="s">
        <v>26</v>
      </c>
      <c r="M5" s="11"/>
      <c r="N5" s="12"/>
      <c r="O5" s="17">
        <v>8000</v>
      </c>
      <c r="P5" s="18">
        <v>65</v>
      </c>
      <c r="Q5" s="19">
        <f t="shared" ref="Q5:Q31" si="0">+O5</f>
        <v>8000</v>
      </c>
      <c r="R5" s="20"/>
      <c r="S5" s="20"/>
      <c r="T5" s="20"/>
      <c r="U5" s="20"/>
      <c r="V5" s="20"/>
    </row>
    <row r="6" spans="1:22" ht="14.4" x14ac:dyDescent="0.3">
      <c r="A6" s="80">
        <v>1</v>
      </c>
      <c r="B6" s="8" t="s">
        <v>30</v>
      </c>
      <c r="C6" s="9" t="s">
        <v>31</v>
      </c>
      <c r="D6" s="9" t="s">
        <v>283</v>
      </c>
      <c r="E6" s="9" t="s">
        <v>283</v>
      </c>
      <c r="F6" s="9" t="s">
        <v>32</v>
      </c>
      <c r="G6" s="9" t="s">
        <v>22</v>
      </c>
      <c r="H6" s="10">
        <v>45291</v>
      </c>
      <c r="I6" s="9" t="s">
        <v>23</v>
      </c>
      <c r="J6" s="9" t="s">
        <v>24</v>
      </c>
      <c r="K6" s="9" t="s">
        <v>25</v>
      </c>
      <c r="L6" s="9" t="s">
        <v>26</v>
      </c>
      <c r="M6" s="11"/>
      <c r="N6" s="12"/>
      <c r="O6" s="17">
        <v>4000</v>
      </c>
      <c r="P6" s="18">
        <v>22</v>
      </c>
      <c r="Q6" s="19">
        <f t="shared" si="0"/>
        <v>4000</v>
      </c>
      <c r="R6" s="20"/>
      <c r="S6" s="20"/>
      <c r="T6" s="20"/>
      <c r="U6" s="20"/>
      <c r="V6" s="20"/>
    </row>
    <row r="7" spans="1:22" ht="14.4" x14ac:dyDescent="0.3">
      <c r="A7" s="80">
        <v>1</v>
      </c>
      <c r="B7" s="8" t="s">
        <v>33</v>
      </c>
      <c r="C7" s="9" t="s">
        <v>34</v>
      </c>
      <c r="D7" s="9" t="s">
        <v>283</v>
      </c>
      <c r="E7" s="9" t="s">
        <v>283</v>
      </c>
      <c r="F7" s="9" t="s">
        <v>35</v>
      </c>
      <c r="G7" s="9" t="s">
        <v>22</v>
      </c>
      <c r="H7" s="10">
        <v>45230</v>
      </c>
      <c r="I7" s="9" t="s">
        <v>23</v>
      </c>
      <c r="J7" s="9" t="s">
        <v>24</v>
      </c>
      <c r="K7" s="9" t="s">
        <v>25</v>
      </c>
      <c r="L7" s="9" t="s">
        <v>26</v>
      </c>
      <c r="M7" s="11"/>
      <c r="N7" s="12"/>
      <c r="O7" s="17">
        <v>6500</v>
      </c>
      <c r="P7" s="18">
        <v>40</v>
      </c>
      <c r="Q7" s="19">
        <f t="shared" si="0"/>
        <v>6500</v>
      </c>
      <c r="R7" s="20"/>
      <c r="S7" s="20"/>
      <c r="T7" s="20"/>
      <c r="U7" s="20"/>
      <c r="V7" s="20"/>
    </row>
    <row r="8" spans="1:22" ht="14.4" x14ac:dyDescent="0.3">
      <c r="A8" s="80">
        <v>1</v>
      </c>
      <c r="B8" s="8" t="s">
        <v>36</v>
      </c>
      <c r="C8" s="9" t="s">
        <v>37</v>
      </c>
      <c r="D8" s="9" t="s">
        <v>284</v>
      </c>
      <c r="E8" s="9" t="s">
        <v>283</v>
      </c>
      <c r="F8" s="9" t="s">
        <v>38</v>
      </c>
      <c r="G8" s="9" t="s">
        <v>22</v>
      </c>
      <c r="H8" s="10">
        <v>45291</v>
      </c>
      <c r="I8" s="9" t="s">
        <v>23</v>
      </c>
      <c r="J8" s="9" t="s">
        <v>24</v>
      </c>
      <c r="K8" s="9" t="s">
        <v>25</v>
      </c>
      <c r="L8" s="9" t="s">
        <v>26</v>
      </c>
      <c r="M8" s="11"/>
      <c r="N8" s="12"/>
      <c r="O8" s="17">
        <v>6000</v>
      </c>
      <c r="P8" s="18">
        <v>40</v>
      </c>
      <c r="Q8" s="19">
        <f t="shared" si="0"/>
        <v>6000</v>
      </c>
      <c r="R8" s="20"/>
      <c r="S8" s="20"/>
      <c r="T8" s="20"/>
      <c r="U8" s="20"/>
      <c r="V8" s="20"/>
    </row>
    <row r="9" spans="1:22" ht="14.4" x14ac:dyDescent="0.3">
      <c r="A9" s="80">
        <v>1</v>
      </c>
      <c r="B9" s="8" t="s">
        <v>39</v>
      </c>
      <c r="C9" s="9" t="s">
        <v>40</v>
      </c>
      <c r="D9" s="9" t="s">
        <v>286</v>
      </c>
      <c r="E9" s="9" t="s">
        <v>285</v>
      </c>
      <c r="F9" s="9" t="s">
        <v>41</v>
      </c>
      <c r="G9" s="9" t="s">
        <v>42</v>
      </c>
      <c r="H9" s="10">
        <v>45382</v>
      </c>
      <c r="I9" s="9" t="s">
        <v>23</v>
      </c>
      <c r="J9" s="9" t="s">
        <v>24</v>
      </c>
      <c r="K9" s="9" t="s">
        <v>25</v>
      </c>
      <c r="L9" s="9" t="s">
        <v>26</v>
      </c>
      <c r="M9" s="11"/>
      <c r="N9" s="12"/>
      <c r="O9" s="17">
        <v>9500</v>
      </c>
      <c r="P9" s="18">
        <v>86.05</v>
      </c>
      <c r="Q9" s="19">
        <f t="shared" si="0"/>
        <v>9500</v>
      </c>
      <c r="R9" s="20"/>
      <c r="S9" s="20"/>
      <c r="T9" s="20"/>
      <c r="U9" s="20"/>
      <c r="V9" s="20"/>
    </row>
    <row r="10" spans="1:22" ht="14.4" x14ac:dyDescent="0.3">
      <c r="A10" s="80">
        <v>1</v>
      </c>
      <c r="B10" s="8" t="s">
        <v>43</v>
      </c>
      <c r="C10" s="9" t="s">
        <v>44</v>
      </c>
      <c r="D10" s="9" t="s">
        <v>287</v>
      </c>
      <c r="E10" s="9" t="s">
        <v>289</v>
      </c>
      <c r="F10" s="9" t="s">
        <v>41</v>
      </c>
      <c r="G10" s="9" t="s">
        <v>22</v>
      </c>
      <c r="H10" s="10">
        <v>45382</v>
      </c>
      <c r="I10" s="9" t="s">
        <v>23</v>
      </c>
      <c r="J10" s="9" t="s">
        <v>24</v>
      </c>
      <c r="K10" s="9" t="s">
        <v>25</v>
      </c>
      <c r="L10" s="9" t="s">
        <v>26</v>
      </c>
      <c r="M10" s="11"/>
      <c r="N10" s="12"/>
      <c r="O10" s="17">
        <v>6200</v>
      </c>
      <c r="P10" s="18">
        <v>68.900000000000006</v>
      </c>
      <c r="Q10" s="19">
        <f t="shared" si="0"/>
        <v>6200</v>
      </c>
      <c r="R10" s="20"/>
      <c r="S10" s="20"/>
      <c r="T10" s="20"/>
      <c r="U10" s="20"/>
      <c r="V10" s="20"/>
    </row>
    <row r="11" spans="1:22" s="28" customFormat="1" x14ac:dyDescent="0.25">
      <c r="A11" s="88">
        <v>1</v>
      </c>
      <c r="B11" s="21" t="s">
        <v>45</v>
      </c>
      <c r="C11" s="22" t="s">
        <v>278</v>
      </c>
      <c r="D11" s="22" t="s">
        <v>288</v>
      </c>
      <c r="E11" s="22" t="s">
        <v>285</v>
      </c>
      <c r="F11" s="22" t="str">
        <f>+F10</f>
        <v>Garderie subventionnée</v>
      </c>
      <c r="G11" s="22" t="s">
        <v>42</v>
      </c>
      <c r="H11" s="23">
        <v>45382</v>
      </c>
      <c r="I11" s="22" t="s">
        <v>23</v>
      </c>
      <c r="J11" s="22" t="s">
        <v>24</v>
      </c>
      <c r="K11" s="22" t="s">
        <v>25</v>
      </c>
      <c r="L11" s="22" t="s">
        <v>25</v>
      </c>
      <c r="M11" s="24"/>
      <c r="N11" s="25"/>
      <c r="O11" s="26">
        <v>10000</v>
      </c>
      <c r="P11" s="18">
        <v>65</v>
      </c>
      <c r="Q11" s="27">
        <f t="shared" si="0"/>
        <v>10000</v>
      </c>
      <c r="R11" s="27"/>
      <c r="S11" s="27"/>
      <c r="T11" s="27"/>
      <c r="U11" s="27"/>
      <c r="V11" s="27"/>
    </row>
    <row r="12" spans="1:22" ht="14.4" x14ac:dyDescent="0.3">
      <c r="A12" s="80">
        <v>1</v>
      </c>
      <c r="B12" s="8" t="s">
        <v>46</v>
      </c>
      <c r="C12" s="9" t="s">
        <v>47</v>
      </c>
      <c r="D12" s="9" t="s">
        <v>287</v>
      </c>
      <c r="E12" s="9" t="s">
        <v>289</v>
      </c>
      <c r="F12" s="9" t="s">
        <v>48</v>
      </c>
      <c r="G12" s="9" t="s">
        <v>22</v>
      </c>
      <c r="H12" s="10">
        <v>45382</v>
      </c>
      <c r="I12" s="9" t="s">
        <v>23</v>
      </c>
      <c r="J12" s="9" t="s">
        <v>24</v>
      </c>
      <c r="K12" s="9" t="s">
        <v>25</v>
      </c>
      <c r="L12" s="9" t="s">
        <v>26</v>
      </c>
      <c r="M12" s="11"/>
      <c r="N12" s="12"/>
      <c r="O12" s="29">
        <v>7500</v>
      </c>
      <c r="P12" s="18">
        <v>72</v>
      </c>
      <c r="Q12" s="19">
        <f t="shared" si="0"/>
        <v>7500</v>
      </c>
      <c r="R12" s="20"/>
      <c r="S12" s="20"/>
      <c r="T12" s="20"/>
      <c r="U12" s="20"/>
      <c r="V12" s="20"/>
    </row>
    <row r="13" spans="1:22" ht="14.4" x14ac:dyDescent="0.3">
      <c r="A13" s="80">
        <v>1</v>
      </c>
      <c r="B13" s="8" t="s">
        <v>49</v>
      </c>
      <c r="C13" s="9" t="s">
        <v>50</v>
      </c>
      <c r="D13" s="9" t="s">
        <v>287</v>
      </c>
      <c r="E13" s="9" t="s">
        <v>289</v>
      </c>
      <c r="F13" s="9" t="s">
        <v>41</v>
      </c>
      <c r="G13" s="9" t="s">
        <v>22</v>
      </c>
      <c r="H13" s="10">
        <v>45382</v>
      </c>
      <c r="I13" s="9" t="s">
        <v>23</v>
      </c>
      <c r="J13" s="9" t="s">
        <v>24</v>
      </c>
      <c r="K13" s="9" t="s">
        <v>25</v>
      </c>
      <c r="L13" s="9" t="s">
        <v>26</v>
      </c>
      <c r="M13" s="11"/>
      <c r="N13" s="12"/>
      <c r="O13" s="29">
        <v>7500</v>
      </c>
      <c r="P13" s="18">
        <v>43.4</v>
      </c>
      <c r="Q13" s="19">
        <f t="shared" si="0"/>
        <v>7500</v>
      </c>
      <c r="R13" s="20"/>
      <c r="S13" s="20"/>
      <c r="T13" s="20"/>
      <c r="U13" s="20"/>
      <c r="V13" s="20"/>
    </row>
    <row r="14" spans="1:22" ht="14.4" x14ac:dyDescent="0.3">
      <c r="A14" s="80">
        <v>1</v>
      </c>
      <c r="B14" s="8" t="s">
        <v>51</v>
      </c>
      <c r="C14" s="9" t="s">
        <v>52</v>
      </c>
      <c r="D14" s="9" t="s">
        <v>287</v>
      </c>
      <c r="E14" s="9" t="s">
        <v>289</v>
      </c>
      <c r="F14" s="9" t="s">
        <v>53</v>
      </c>
      <c r="G14" s="9" t="s">
        <v>22</v>
      </c>
      <c r="H14" s="10">
        <v>45382</v>
      </c>
      <c r="I14" s="9" t="s">
        <v>23</v>
      </c>
      <c r="J14" s="9" t="s">
        <v>24</v>
      </c>
      <c r="K14" s="9" t="s">
        <v>25</v>
      </c>
      <c r="L14" s="9" t="s">
        <v>26</v>
      </c>
      <c r="M14" s="11"/>
      <c r="N14" s="12"/>
      <c r="O14" s="29">
        <f>40600-O13</f>
        <v>33100</v>
      </c>
      <c r="P14" s="18">
        <v>252</v>
      </c>
      <c r="Q14" s="19">
        <f t="shared" si="0"/>
        <v>33100</v>
      </c>
      <c r="R14" s="20"/>
      <c r="S14" s="20"/>
      <c r="T14" s="20"/>
      <c r="U14" s="20"/>
      <c r="V14" s="20"/>
    </row>
    <row r="15" spans="1:22" ht="14.4" x14ac:dyDescent="0.3">
      <c r="A15" s="80">
        <v>1</v>
      </c>
      <c r="B15" s="8" t="s">
        <v>54</v>
      </c>
      <c r="C15" s="9" t="s">
        <v>55</v>
      </c>
      <c r="D15" s="9" t="s">
        <v>283</v>
      </c>
      <c r="E15" s="9" t="s">
        <v>283</v>
      </c>
      <c r="F15" s="9" t="s">
        <v>56</v>
      </c>
      <c r="G15" s="9" t="s">
        <v>22</v>
      </c>
      <c r="H15" s="10">
        <v>45473</v>
      </c>
      <c r="I15" s="9" t="s">
        <v>23</v>
      </c>
      <c r="J15" s="9" t="s">
        <v>24</v>
      </c>
      <c r="K15" s="9" t="s">
        <v>25</v>
      </c>
      <c r="L15" s="9" t="s">
        <v>26</v>
      </c>
      <c r="M15" s="11"/>
      <c r="N15" s="12"/>
      <c r="O15" s="17">
        <v>4900</v>
      </c>
      <c r="P15" s="18">
        <v>29.85</v>
      </c>
      <c r="Q15" s="19">
        <f t="shared" si="0"/>
        <v>4900</v>
      </c>
      <c r="R15" s="20"/>
      <c r="S15" s="20"/>
      <c r="T15" s="20"/>
      <c r="U15" s="20"/>
      <c r="V15" s="20"/>
    </row>
    <row r="16" spans="1:22" ht="14.4" x14ac:dyDescent="0.3">
      <c r="A16" s="80">
        <v>1</v>
      </c>
      <c r="B16" s="8" t="s">
        <v>57</v>
      </c>
      <c r="C16" s="9" t="s">
        <v>58</v>
      </c>
      <c r="D16" s="9" t="s">
        <v>283</v>
      </c>
      <c r="E16" s="9" t="s">
        <v>283</v>
      </c>
      <c r="F16" s="9" t="s">
        <v>56</v>
      </c>
      <c r="G16" s="9" t="s">
        <v>22</v>
      </c>
      <c r="H16" s="10">
        <v>45473</v>
      </c>
      <c r="I16" s="9" t="s">
        <v>23</v>
      </c>
      <c r="J16" s="9" t="s">
        <v>24</v>
      </c>
      <c r="K16" s="9" t="s">
        <v>25</v>
      </c>
      <c r="L16" s="9" t="s">
        <v>26</v>
      </c>
      <c r="M16" s="11"/>
      <c r="N16" s="12"/>
      <c r="O16" s="17">
        <v>4600</v>
      </c>
      <c r="P16" s="18">
        <v>25.65</v>
      </c>
      <c r="Q16" s="19">
        <f t="shared" si="0"/>
        <v>4600</v>
      </c>
      <c r="R16" s="20"/>
      <c r="S16" s="20"/>
      <c r="T16" s="20"/>
      <c r="U16" s="20"/>
      <c r="V16" s="20"/>
    </row>
    <row r="17" spans="1:22" s="28" customFormat="1" x14ac:dyDescent="0.25">
      <c r="A17" s="80">
        <v>1</v>
      </c>
      <c r="B17" s="21" t="s">
        <v>59</v>
      </c>
      <c r="C17" s="22" t="s">
        <v>60</v>
      </c>
      <c r="D17" s="22" t="s">
        <v>283</v>
      </c>
      <c r="E17" s="22" t="s">
        <v>283</v>
      </c>
      <c r="F17" s="22" t="s">
        <v>56</v>
      </c>
      <c r="G17" s="22" t="s">
        <v>22</v>
      </c>
      <c r="H17" s="23">
        <v>45291</v>
      </c>
      <c r="I17" s="22" t="s">
        <v>23</v>
      </c>
      <c r="J17" s="22" t="s">
        <v>24</v>
      </c>
      <c r="K17" s="22" t="s">
        <v>25</v>
      </c>
      <c r="L17" s="22" t="s">
        <v>25</v>
      </c>
      <c r="M17" s="24"/>
      <c r="N17" s="25"/>
      <c r="O17" s="26">
        <v>3000</v>
      </c>
      <c r="P17" s="18">
        <v>10</v>
      </c>
      <c r="Q17" s="27">
        <f>+O17</f>
        <v>3000</v>
      </c>
      <c r="R17" s="27"/>
      <c r="S17" s="27"/>
      <c r="T17" s="27"/>
      <c r="U17" s="27"/>
      <c r="V17" s="27"/>
    </row>
    <row r="18" spans="1:22" s="28" customFormat="1" x14ac:dyDescent="0.25">
      <c r="A18" s="80">
        <v>1</v>
      </c>
      <c r="B18" s="21" t="s">
        <v>61</v>
      </c>
      <c r="C18" s="22" t="s">
        <v>60</v>
      </c>
      <c r="D18" s="22" t="s">
        <v>283</v>
      </c>
      <c r="E18" s="22" t="s">
        <v>283</v>
      </c>
      <c r="F18" s="22" t="str">
        <f>+F16</f>
        <v>Logements sociaux</v>
      </c>
      <c r="G18" s="22" t="s">
        <v>22</v>
      </c>
      <c r="H18" s="23">
        <v>45382</v>
      </c>
      <c r="I18" s="22" t="s">
        <v>23</v>
      </c>
      <c r="J18" s="22" t="s">
        <v>24</v>
      </c>
      <c r="K18" s="22" t="s">
        <v>25</v>
      </c>
      <c r="L18" s="22" t="s">
        <v>25</v>
      </c>
      <c r="M18" s="24"/>
      <c r="N18" s="25"/>
      <c r="O18" s="26">
        <v>5000</v>
      </c>
      <c r="P18" s="18">
        <v>30</v>
      </c>
      <c r="Q18" s="27">
        <f t="shared" si="0"/>
        <v>5000</v>
      </c>
      <c r="R18" s="27"/>
      <c r="S18" s="27"/>
      <c r="T18" s="27"/>
      <c r="U18" s="27"/>
      <c r="V18" s="27"/>
    </row>
    <row r="19" spans="1:22" ht="27" x14ac:dyDescent="0.3">
      <c r="A19" s="80">
        <v>1</v>
      </c>
      <c r="B19" s="8" t="s">
        <v>64</v>
      </c>
      <c r="C19" s="9" t="s">
        <v>65</v>
      </c>
      <c r="D19" s="9" t="s">
        <v>283</v>
      </c>
      <c r="E19" s="9" t="s">
        <v>283</v>
      </c>
      <c r="F19" s="9" t="s">
        <v>66</v>
      </c>
      <c r="G19" s="9" t="s">
        <v>22</v>
      </c>
      <c r="H19" s="10">
        <v>45382</v>
      </c>
      <c r="I19" s="9" t="s">
        <v>23</v>
      </c>
      <c r="J19" s="9" t="s">
        <v>24</v>
      </c>
      <c r="K19" s="9" t="s">
        <v>25</v>
      </c>
      <c r="L19" s="9" t="s">
        <v>26</v>
      </c>
      <c r="M19" s="11"/>
      <c r="N19" s="12"/>
      <c r="O19" s="17">
        <v>6500</v>
      </c>
      <c r="P19" s="18">
        <v>23.4</v>
      </c>
      <c r="Q19" s="19">
        <f t="shared" si="0"/>
        <v>6500</v>
      </c>
      <c r="R19" s="20"/>
      <c r="S19" s="20"/>
      <c r="T19" s="20"/>
      <c r="U19" s="20"/>
      <c r="V19" s="20"/>
    </row>
    <row r="20" spans="1:22" ht="27" x14ac:dyDescent="0.3">
      <c r="A20" s="80">
        <v>1</v>
      </c>
      <c r="B20" s="8" t="s">
        <v>67</v>
      </c>
      <c r="C20" s="9" t="s">
        <v>68</v>
      </c>
      <c r="D20" s="9" t="s">
        <v>283</v>
      </c>
      <c r="E20" s="9" t="s">
        <v>283</v>
      </c>
      <c r="F20" s="9" t="s">
        <v>69</v>
      </c>
      <c r="G20" s="9" t="s">
        <v>22</v>
      </c>
      <c r="H20" s="10">
        <v>45382</v>
      </c>
      <c r="I20" s="9" t="s">
        <v>23</v>
      </c>
      <c r="J20" s="9" t="s">
        <v>24</v>
      </c>
      <c r="K20" s="9" t="s">
        <v>25</v>
      </c>
      <c r="L20" s="9" t="s">
        <v>26</v>
      </c>
      <c r="M20" s="11"/>
      <c r="N20" s="12"/>
      <c r="O20" s="17">
        <v>6700</v>
      </c>
      <c r="P20" s="18">
        <v>51.85</v>
      </c>
      <c r="Q20" s="19">
        <f t="shared" si="0"/>
        <v>6700</v>
      </c>
      <c r="R20" s="20"/>
      <c r="S20" s="20"/>
      <c r="T20" s="20"/>
      <c r="U20" s="20"/>
      <c r="V20" s="20"/>
    </row>
    <row r="21" spans="1:22" ht="27" x14ac:dyDescent="0.3">
      <c r="A21" s="80">
        <v>1</v>
      </c>
      <c r="B21" s="8" t="s">
        <v>70</v>
      </c>
      <c r="C21" s="9" t="s">
        <v>71</v>
      </c>
      <c r="D21" s="9" t="s">
        <v>290</v>
      </c>
      <c r="E21" s="9" t="s">
        <v>282</v>
      </c>
      <c r="F21" s="9" t="s">
        <v>72</v>
      </c>
      <c r="G21" s="9" t="s">
        <v>22</v>
      </c>
      <c r="H21" s="10">
        <v>45138</v>
      </c>
      <c r="I21" s="9" t="s">
        <v>23</v>
      </c>
      <c r="J21" s="9" t="s">
        <v>24</v>
      </c>
      <c r="K21" s="9" t="s">
        <v>25</v>
      </c>
      <c r="L21" s="9" t="s">
        <v>25</v>
      </c>
      <c r="M21" s="11"/>
      <c r="N21" s="12"/>
      <c r="O21" s="17">
        <v>8000</v>
      </c>
      <c r="P21" s="18">
        <v>90</v>
      </c>
      <c r="Q21" s="19">
        <f t="shared" si="0"/>
        <v>8000</v>
      </c>
      <c r="R21" s="20"/>
      <c r="S21" s="20"/>
      <c r="T21" s="20"/>
      <c r="U21" s="20"/>
      <c r="V21" s="20"/>
    </row>
    <row r="22" spans="1:22" s="31" customFormat="1" ht="26.4" x14ac:dyDescent="0.25">
      <c r="A22" s="80">
        <v>1</v>
      </c>
      <c r="B22" s="8" t="s">
        <v>73</v>
      </c>
      <c r="C22" s="9" t="s">
        <v>74</v>
      </c>
      <c r="D22" s="9" t="s">
        <v>290</v>
      </c>
      <c r="E22" s="9" t="s">
        <v>282</v>
      </c>
      <c r="F22" s="9" t="s">
        <v>75</v>
      </c>
      <c r="G22" s="9" t="s">
        <v>22</v>
      </c>
      <c r="H22" s="10">
        <v>45169</v>
      </c>
      <c r="I22" s="9" t="s">
        <v>23</v>
      </c>
      <c r="J22" s="9" t="s">
        <v>24</v>
      </c>
      <c r="K22" s="9" t="s">
        <v>25</v>
      </c>
      <c r="L22" s="9" t="s">
        <v>26</v>
      </c>
      <c r="M22" s="11"/>
      <c r="N22" s="12"/>
      <c r="O22" s="17">
        <v>12000</v>
      </c>
      <c r="P22" s="18">
        <v>130</v>
      </c>
      <c r="Q22" s="19">
        <f t="shared" si="0"/>
        <v>12000</v>
      </c>
      <c r="R22" s="30"/>
      <c r="S22" s="30"/>
      <c r="T22" s="30"/>
      <c r="U22" s="30"/>
      <c r="V22" s="30"/>
    </row>
    <row r="23" spans="1:22" s="31" customFormat="1" ht="26.4" x14ac:dyDescent="0.25">
      <c r="A23" s="80">
        <v>1</v>
      </c>
      <c r="B23" s="8" t="s">
        <v>76</v>
      </c>
      <c r="C23" s="9" t="s">
        <v>77</v>
      </c>
      <c r="D23" s="9" t="s">
        <v>290</v>
      </c>
      <c r="E23" s="9" t="s">
        <v>282</v>
      </c>
      <c r="F23" s="9" t="s">
        <v>78</v>
      </c>
      <c r="G23" s="9" t="s">
        <v>22</v>
      </c>
      <c r="H23" s="10">
        <v>45016</v>
      </c>
      <c r="I23" s="9" t="s">
        <v>23</v>
      </c>
      <c r="J23" s="9" t="s">
        <v>24</v>
      </c>
      <c r="K23" s="9" t="s">
        <v>25</v>
      </c>
      <c r="L23" s="9" t="s">
        <v>25</v>
      </c>
      <c r="M23" s="11"/>
      <c r="N23" s="12"/>
      <c r="O23" s="17">
        <v>4000</v>
      </c>
      <c r="P23" s="18">
        <v>15</v>
      </c>
      <c r="Q23" s="19">
        <f t="shared" si="0"/>
        <v>4000</v>
      </c>
      <c r="R23" s="30"/>
      <c r="S23" s="30"/>
      <c r="T23" s="30"/>
      <c r="U23" s="30"/>
      <c r="V23" s="30"/>
    </row>
    <row r="24" spans="1:22" ht="27" x14ac:dyDescent="0.3">
      <c r="A24" s="80">
        <v>1</v>
      </c>
      <c r="B24" s="8" t="s">
        <v>79</v>
      </c>
      <c r="C24" s="9" t="s">
        <v>80</v>
      </c>
      <c r="D24" s="9" t="s">
        <v>283</v>
      </c>
      <c r="E24" s="9" t="s">
        <v>283</v>
      </c>
      <c r="F24" s="9" t="s">
        <v>81</v>
      </c>
      <c r="G24" s="9" t="s">
        <v>22</v>
      </c>
      <c r="H24" s="10">
        <v>45382</v>
      </c>
      <c r="I24" s="9" t="s">
        <v>23</v>
      </c>
      <c r="J24" s="9" t="s">
        <v>24</v>
      </c>
      <c r="K24" s="9" t="s">
        <v>25</v>
      </c>
      <c r="L24" s="9" t="s">
        <v>25</v>
      </c>
      <c r="M24" s="11"/>
      <c r="N24" s="12"/>
      <c r="O24" s="17">
        <v>6600</v>
      </c>
      <c r="P24" s="18">
        <v>95</v>
      </c>
      <c r="Q24" s="19">
        <f t="shared" si="0"/>
        <v>6600</v>
      </c>
      <c r="R24" s="20"/>
      <c r="S24" s="20"/>
      <c r="T24" s="20"/>
      <c r="U24" s="20"/>
      <c r="V24" s="20"/>
    </row>
    <row r="25" spans="1:22" ht="14.4" x14ac:dyDescent="0.3">
      <c r="A25" s="80">
        <v>1</v>
      </c>
      <c r="B25" s="8" t="s">
        <v>82</v>
      </c>
      <c r="C25" s="9" t="s">
        <v>83</v>
      </c>
      <c r="D25" s="9" t="s">
        <v>283</v>
      </c>
      <c r="E25" s="9" t="s">
        <v>283</v>
      </c>
      <c r="F25" s="9" t="s">
        <v>84</v>
      </c>
      <c r="G25" s="9" t="s">
        <v>22</v>
      </c>
      <c r="H25" s="10">
        <v>45107</v>
      </c>
      <c r="I25" s="9" t="s">
        <v>23</v>
      </c>
      <c r="J25" s="9" t="s">
        <v>24</v>
      </c>
      <c r="K25" s="9" t="s">
        <v>25</v>
      </c>
      <c r="L25" s="9" t="s">
        <v>26</v>
      </c>
      <c r="M25" s="11"/>
      <c r="N25" s="12"/>
      <c r="O25" s="17">
        <v>6500</v>
      </c>
      <c r="P25" s="18">
        <v>35</v>
      </c>
      <c r="Q25" s="19">
        <f t="shared" si="0"/>
        <v>6500</v>
      </c>
      <c r="R25" s="20"/>
      <c r="S25" s="20"/>
      <c r="T25" s="20"/>
      <c r="U25" s="20"/>
      <c r="V25" s="20"/>
    </row>
    <row r="26" spans="1:22" ht="14.4" x14ac:dyDescent="0.3">
      <c r="A26" s="80">
        <v>1</v>
      </c>
      <c r="B26" s="8" t="s">
        <v>85</v>
      </c>
      <c r="C26" s="9" t="s">
        <v>86</v>
      </c>
      <c r="D26" s="9" t="s">
        <v>283</v>
      </c>
      <c r="E26" s="9" t="s">
        <v>283</v>
      </c>
      <c r="F26" s="9" t="s">
        <v>87</v>
      </c>
      <c r="G26" s="9" t="s">
        <v>22</v>
      </c>
      <c r="H26" s="10">
        <v>45473</v>
      </c>
      <c r="I26" s="9" t="s">
        <v>23</v>
      </c>
      <c r="J26" s="9" t="s">
        <v>24</v>
      </c>
      <c r="K26" s="9" t="s">
        <v>25</v>
      </c>
      <c r="L26" s="9" t="s">
        <v>26</v>
      </c>
      <c r="M26" s="11"/>
      <c r="N26" s="12"/>
      <c r="O26" s="17">
        <v>6500</v>
      </c>
      <c r="P26" s="18">
        <v>45</v>
      </c>
      <c r="Q26" s="19">
        <f t="shared" si="0"/>
        <v>6500</v>
      </c>
      <c r="R26" s="20"/>
      <c r="S26" s="20"/>
      <c r="T26" s="20"/>
      <c r="U26" s="20"/>
      <c r="V26" s="20"/>
    </row>
    <row r="27" spans="1:22" ht="27" x14ac:dyDescent="0.3">
      <c r="A27" s="80">
        <v>1</v>
      </c>
      <c r="B27" s="8" t="s">
        <v>88</v>
      </c>
      <c r="C27" s="9" t="s">
        <v>362</v>
      </c>
      <c r="D27" s="9" t="s">
        <v>283</v>
      </c>
      <c r="E27" s="9" t="s">
        <v>283</v>
      </c>
      <c r="F27" s="9" t="s">
        <v>90</v>
      </c>
      <c r="G27" s="9" t="s">
        <v>22</v>
      </c>
      <c r="H27" s="10">
        <v>45382</v>
      </c>
      <c r="I27" s="9" t="s">
        <v>23</v>
      </c>
      <c r="J27" s="9" t="s">
        <v>24</v>
      </c>
      <c r="K27" s="9" t="s">
        <v>25</v>
      </c>
      <c r="L27" s="9" t="s">
        <v>26</v>
      </c>
      <c r="M27" s="11"/>
      <c r="N27" s="12"/>
      <c r="O27" s="17">
        <v>7000</v>
      </c>
      <c r="P27" s="18">
        <v>37.25</v>
      </c>
      <c r="Q27" s="19">
        <f t="shared" si="0"/>
        <v>7000</v>
      </c>
      <c r="R27" s="20"/>
      <c r="S27" s="20"/>
      <c r="T27" s="20"/>
      <c r="U27" s="20"/>
      <c r="V27" s="20"/>
    </row>
    <row r="28" spans="1:22" ht="27" x14ac:dyDescent="0.3">
      <c r="A28" s="80">
        <v>1</v>
      </c>
      <c r="B28" s="8" t="s">
        <v>333</v>
      </c>
      <c r="C28" s="9" t="s">
        <v>334</v>
      </c>
      <c r="D28" s="9" t="s">
        <v>312</v>
      </c>
      <c r="E28" s="9" t="s">
        <v>282</v>
      </c>
      <c r="F28" s="9" t="s">
        <v>335</v>
      </c>
      <c r="G28" s="9" t="s">
        <v>22</v>
      </c>
      <c r="H28" s="10">
        <v>45473</v>
      </c>
      <c r="I28" s="9" t="s">
        <v>23</v>
      </c>
      <c r="J28" s="9" t="s">
        <v>24</v>
      </c>
      <c r="K28" s="9" t="s">
        <v>25</v>
      </c>
      <c r="L28" s="9" t="s">
        <v>25</v>
      </c>
      <c r="M28" s="11"/>
      <c r="N28" s="12"/>
      <c r="O28" s="17">
        <v>6500</v>
      </c>
      <c r="P28" s="18">
        <v>35</v>
      </c>
      <c r="Q28" s="19">
        <f t="shared" si="0"/>
        <v>6500</v>
      </c>
      <c r="R28" s="20"/>
      <c r="S28" s="20"/>
      <c r="T28" s="20"/>
      <c r="U28" s="20"/>
      <c r="V28" s="20"/>
    </row>
    <row r="29" spans="1:22" ht="14.4" x14ac:dyDescent="0.3">
      <c r="C29" s="9" t="s">
        <v>352</v>
      </c>
      <c r="D29" s="9" t="s">
        <v>283</v>
      </c>
      <c r="E29" s="9" t="s">
        <v>282</v>
      </c>
      <c r="F29" s="9" t="s">
        <v>353</v>
      </c>
      <c r="G29" s="9" t="s">
        <v>22</v>
      </c>
      <c r="H29" s="10">
        <v>45382</v>
      </c>
      <c r="I29" s="9" t="s">
        <v>23</v>
      </c>
      <c r="J29" s="9" t="s">
        <v>24</v>
      </c>
      <c r="K29" s="9" t="s">
        <v>25</v>
      </c>
      <c r="L29" s="9" t="s">
        <v>26</v>
      </c>
      <c r="M29" s="11"/>
      <c r="N29" s="12"/>
      <c r="O29" s="17">
        <v>7000</v>
      </c>
      <c r="P29" s="18">
        <v>35</v>
      </c>
      <c r="Q29" s="19">
        <f t="shared" si="0"/>
        <v>7000</v>
      </c>
      <c r="R29" s="20"/>
      <c r="S29" s="20"/>
      <c r="T29" s="20"/>
      <c r="U29" s="20"/>
      <c r="V29" s="20"/>
    </row>
    <row r="30" spans="1:22" ht="14.4" x14ac:dyDescent="0.3">
      <c r="C30" s="9" t="s">
        <v>143</v>
      </c>
      <c r="D30" s="9" t="s">
        <v>283</v>
      </c>
      <c r="E30" s="9" t="s">
        <v>282</v>
      </c>
      <c r="F30" s="9" t="s">
        <v>144</v>
      </c>
      <c r="G30" s="9" t="s">
        <v>22</v>
      </c>
      <c r="H30" s="10">
        <v>45382</v>
      </c>
      <c r="I30" s="9" t="s">
        <v>23</v>
      </c>
      <c r="J30" s="9" t="s">
        <v>24</v>
      </c>
      <c r="K30" s="9" t="s">
        <v>25</v>
      </c>
      <c r="L30" s="9" t="s">
        <v>26</v>
      </c>
      <c r="M30" s="11"/>
      <c r="N30" s="12"/>
      <c r="O30" s="17">
        <v>6000</v>
      </c>
      <c r="P30" s="18">
        <v>40</v>
      </c>
      <c r="Q30" s="19">
        <f t="shared" si="0"/>
        <v>6000</v>
      </c>
      <c r="R30" s="20"/>
      <c r="S30" s="20"/>
      <c r="T30" s="20"/>
      <c r="U30" s="20"/>
      <c r="V30" s="20"/>
    </row>
    <row r="31" spans="1:22" ht="14.4" x14ac:dyDescent="0.3">
      <c r="C31" s="9" t="s">
        <v>360</v>
      </c>
      <c r="D31" s="9" t="s">
        <v>292</v>
      </c>
      <c r="E31" s="9" t="s">
        <v>282</v>
      </c>
      <c r="F31" s="9" t="s">
        <v>361</v>
      </c>
      <c r="G31" s="9" t="s">
        <v>22</v>
      </c>
      <c r="H31" s="10">
        <v>45382</v>
      </c>
      <c r="I31" s="9" t="s">
        <v>23</v>
      </c>
      <c r="J31" s="9" t="s">
        <v>24</v>
      </c>
      <c r="K31" s="9" t="s">
        <v>25</v>
      </c>
      <c r="L31" s="9" t="s">
        <v>26</v>
      </c>
      <c r="M31" s="11"/>
      <c r="N31" s="12"/>
      <c r="O31" s="17">
        <v>7000</v>
      </c>
      <c r="P31" s="18">
        <v>50</v>
      </c>
      <c r="Q31" s="19">
        <f t="shared" si="0"/>
        <v>7000</v>
      </c>
      <c r="R31" s="20"/>
      <c r="S31" s="20"/>
      <c r="T31" s="20"/>
      <c r="U31" s="20"/>
      <c r="V31" s="20"/>
    </row>
    <row r="32" spans="1:22" x14ac:dyDescent="0.25">
      <c r="A32" s="89"/>
      <c r="M32" s="11"/>
      <c r="N32" s="12"/>
      <c r="O32" s="32"/>
      <c r="P32" s="33"/>
      <c r="Q32" s="34"/>
      <c r="R32" s="34"/>
      <c r="S32" s="34"/>
      <c r="T32" s="34"/>
      <c r="U32" s="34"/>
      <c r="V32" s="34"/>
    </row>
    <row r="33" spans="1:22" x14ac:dyDescent="0.25">
      <c r="A33" s="80">
        <f>SUM(A4:A32)</f>
        <v>25</v>
      </c>
      <c r="M33" s="11"/>
      <c r="N33" s="35">
        <f>+O33/$O$134</f>
        <v>0.63421720692033401</v>
      </c>
      <c r="O33" s="36">
        <f>SUM(O4:O32)</f>
        <v>216100</v>
      </c>
      <c r="P33" s="37">
        <f>SUM(P4:P32)</f>
        <v>1647.35</v>
      </c>
      <c r="Q33" s="19">
        <f>SUM(Q4:Q32)</f>
        <v>216100</v>
      </c>
      <c r="R33" s="19">
        <f>SUM(R4:R32)</f>
        <v>0</v>
      </c>
      <c r="S33" s="19">
        <f>SUM(S4:S32)</f>
        <v>0</v>
      </c>
      <c r="T33" s="19">
        <f>SUM(T4:T32)</f>
        <v>0</v>
      </c>
      <c r="U33" s="19">
        <f>SUM(U4:U32)</f>
        <v>0</v>
      </c>
      <c r="V33" s="19">
        <f>SUM(V4:V32)</f>
        <v>0</v>
      </c>
    </row>
    <row r="34" spans="1:22" ht="14.4" x14ac:dyDescent="0.3">
      <c r="M34" s="11"/>
      <c r="N34" s="85" t="s">
        <v>347</v>
      </c>
      <c r="O34" s="17"/>
      <c r="P34" s="18">
        <f>+O33/P33</f>
        <v>131.18038061128479</v>
      </c>
      <c r="Q34" s="19"/>
      <c r="R34" s="20"/>
      <c r="S34" s="20"/>
      <c r="T34" s="20"/>
      <c r="U34" s="20"/>
      <c r="V34" s="20"/>
    </row>
    <row r="35" spans="1:22" ht="14.4" x14ac:dyDescent="0.3">
      <c r="B35" s="16" t="s">
        <v>91</v>
      </c>
      <c r="C35" s="65" t="s">
        <v>91</v>
      </c>
      <c r="D35" s="65"/>
      <c r="E35" s="65"/>
      <c r="M35" s="11"/>
      <c r="N35" s="12"/>
      <c r="O35" s="17"/>
      <c r="P35" s="18"/>
      <c r="Q35" s="19"/>
      <c r="R35" s="20"/>
      <c r="S35" s="20"/>
      <c r="T35" s="20"/>
      <c r="U35" s="20"/>
      <c r="V35" s="20"/>
    </row>
    <row r="36" spans="1:22" ht="27" x14ac:dyDescent="0.3">
      <c r="A36" s="80">
        <v>1</v>
      </c>
      <c r="B36" s="8" t="s">
        <v>92</v>
      </c>
      <c r="C36" s="9" t="s">
        <v>93</v>
      </c>
      <c r="D36" s="9" t="s">
        <v>291</v>
      </c>
      <c r="E36" s="9" t="s">
        <v>292</v>
      </c>
      <c r="F36" s="9" t="s">
        <v>94</v>
      </c>
      <c r="G36" s="9" t="s">
        <v>22</v>
      </c>
      <c r="H36" s="10">
        <v>45291</v>
      </c>
      <c r="I36" s="9" t="s">
        <v>23</v>
      </c>
      <c r="J36" s="9" t="s">
        <v>24</v>
      </c>
      <c r="K36" s="9" t="s">
        <v>25</v>
      </c>
      <c r="L36" s="9" t="s">
        <v>26</v>
      </c>
      <c r="M36" s="11"/>
      <c r="N36" s="12"/>
      <c r="O36" s="17">
        <v>2300</v>
      </c>
      <c r="P36" s="18">
        <v>15.2</v>
      </c>
      <c r="Q36" s="19"/>
      <c r="R36" s="20">
        <f t="shared" ref="R36:R52" si="1">+O36</f>
        <v>2300</v>
      </c>
      <c r="S36" s="20"/>
      <c r="T36" s="20"/>
      <c r="U36" s="20"/>
      <c r="V36" s="20"/>
    </row>
    <row r="37" spans="1:22" ht="14.4" x14ac:dyDescent="0.3">
      <c r="A37" s="80">
        <v>1</v>
      </c>
      <c r="B37" s="8" t="s">
        <v>95</v>
      </c>
      <c r="C37" s="9" t="s">
        <v>96</v>
      </c>
      <c r="D37" s="9" t="s">
        <v>283</v>
      </c>
      <c r="E37" s="9" t="s">
        <v>283</v>
      </c>
      <c r="F37" s="9" t="s">
        <v>97</v>
      </c>
      <c r="G37" s="9" t="s">
        <v>22</v>
      </c>
      <c r="H37" s="10">
        <v>45107</v>
      </c>
      <c r="I37" s="9" t="s">
        <v>23</v>
      </c>
      <c r="J37" s="9" t="s">
        <v>24</v>
      </c>
      <c r="K37" s="9" t="s">
        <v>25</v>
      </c>
      <c r="L37" s="9" t="s">
        <v>26</v>
      </c>
      <c r="M37" s="11"/>
      <c r="N37" s="12"/>
      <c r="O37" s="17">
        <v>2900</v>
      </c>
      <c r="P37" s="18">
        <v>21</v>
      </c>
      <c r="Q37" s="19"/>
      <c r="R37" s="20">
        <f t="shared" si="1"/>
        <v>2900</v>
      </c>
      <c r="S37" s="20"/>
      <c r="T37" s="20"/>
      <c r="U37" s="20"/>
      <c r="V37" s="20"/>
    </row>
    <row r="38" spans="1:22" ht="14.4" x14ac:dyDescent="0.3">
      <c r="A38" s="80">
        <v>1</v>
      </c>
      <c r="B38" s="8" t="s">
        <v>98</v>
      </c>
      <c r="C38" s="9" t="s">
        <v>98</v>
      </c>
      <c r="D38" s="9" t="s">
        <v>283</v>
      </c>
      <c r="E38" s="9" t="s">
        <v>283</v>
      </c>
      <c r="F38" s="9" t="s">
        <v>99</v>
      </c>
      <c r="G38" s="9" t="s">
        <v>22</v>
      </c>
      <c r="H38" s="10">
        <v>45291</v>
      </c>
      <c r="I38" s="9" t="s">
        <v>23</v>
      </c>
      <c r="J38" s="9" t="s">
        <v>24</v>
      </c>
      <c r="K38" s="9" t="s">
        <v>25</v>
      </c>
      <c r="L38" s="9" t="s">
        <v>26</v>
      </c>
      <c r="M38" s="11"/>
      <c r="N38" s="12"/>
      <c r="O38" s="17">
        <v>3200</v>
      </c>
      <c r="P38" s="18">
        <v>23</v>
      </c>
      <c r="Q38" s="19"/>
      <c r="R38" s="20">
        <f t="shared" si="1"/>
        <v>3200</v>
      </c>
      <c r="S38" s="20"/>
      <c r="T38" s="20"/>
      <c r="U38" s="20"/>
      <c r="V38" s="20"/>
    </row>
    <row r="39" spans="1:22" ht="14.4" x14ac:dyDescent="0.3">
      <c r="A39" s="80">
        <v>1</v>
      </c>
      <c r="B39" s="8" t="s">
        <v>100</v>
      </c>
      <c r="C39" s="9" t="s">
        <v>101</v>
      </c>
      <c r="D39" s="9" t="s">
        <v>287</v>
      </c>
      <c r="E39" s="9" t="s">
        <v>293</v>
      </c>
      <c r="F39" s="9" t="s">
        <v>102</v>
      </c>
      <c r="G39" s="9" t="s">
        <v>22</v>
      </c>
      <c r="H39" s="10">
        <v>45291</v>
      </c>
      <c r="I39" s="9" t="s">
        <v>23</v>
      </c>
      <c r="J39" s="9" t="s">
        <v>24</v>
      </c>
      <c r="K39" s="9" t="s">
        <v>25</v>
      </c>
      <c r="L39" s="9" t="s">
        <v>26</v>
      </c>
      <c r="M39" s="11"/>
      <c r="N39" s="12"/>
      <c r="O39" s="17">
        <v>3200</v>
      </c>
      <c r="P39" s="18">
        <v>22.55</v>
      </c>
      <c r="Q39" s="19"/>
      <c r="R39" s="20">
        <f t="shared" si="1"/>
        <v>3200</v>
      </c>
      <c r="S39" s="20"/>
      <c r="T39" s="20"/>
      <c r="U39" s="20"/>
      <c r="V39" s="20"/>
    </row>
    <row r="40" spans="1:22" ht="26.4" x14ac:dyDescent="0.25">
      <c r="A40" s="80">
        <v>1</v>
      </c>
      <c r="B40" s="8" t="s">
        <v>103</v>
      </c>
      <c r="C40" s="9" t="s">
        <v>104</v>
      </c>
      <c r="D40" s="9" t="s">
        <v>291</v>
      </c>
      <c r="E40" s="9" t="s">
        <v>292</v>
      </c>
      <c r="F40" s="9" t="s">
        <v>105</v>
      </c>
      <c r="G40" s="9" t="s">
        <v>42</v>
      </c>
      <c r="H40" s="10">
        <v>45016</v>
      </c>
      <c r="I40" s="9" t="s">
        <v>23</v>
      </c>
      <c r="J40" s="9" t="s">
        <v>24</v>
      </c>
      <c r="K40" s="9" t="s">
        <v>25</v>
      </c>
      <c r="L40" s="9" t="s">
        <v>26</v>
      </c>
      <c r="M40" s="11"/>
      <c r="N40" s="12"/>
      <c r="O40" s="17">
        <v>5000</v>
      </c>
      <c r="P40" s="18">
        <v>45</v>
      </c>
      <c r="Q40" s="19"/>
      <c r="R40" s="19">
        <f t="shared" si="1"/>
        <v>5000</v>
      </c>
      <c r="S40" s="19"/>
      <c r="T40" s="19"/>
      <c r="U40" s="19"/>
      <c r="V40" s="19"/>
    </row>
    <row r="41" spans="1:22" ht="27" x14ac:dyDescent="0.3">
      <c r="A41" s="80">
        <v>1</v>
      </c>
      <c r="B41" s="8" t="s">
        <v>109</v>
      </c>
      <c r="C41" s="9" t="s">
        <v>110</v>
      </c>
      <c r="D41" s="9" t="s">
        <v>283</v>
      </c>
      <c r="E41" s="9" t="s">
        <v>283</v>
      </c>
      <c r="F41" s="9" t="s">
        <v>111</v>
      </c>
      <c r="G41" s="9" t="s">
        <v>22</v>
      </c>
      <c r="H41" s="10">
        <v>45382</v>
      </c>
      <c r="I41" s="9" t="s">
        <v>23</v>
      </c>
      <c r="J41" s="9" t="s">
        <v>24</v>
      </c>
      <c r="K41" s="9" t="s">
        <v>25</v>
      </c>
      <c r="L41" s="9" t="s">
        <v>26</v>
      </c>
      <c r="M41" s="11"/>
      <c r="N41" s="12"/>
      <c r="O41" s="17">
        <v>2800</v>
      </c>
      <c r="P41" s="18">
        <v>21</v>
      </c>
      <c r="Q41" s="19"/>
      <c r="R41" s="20">
        <f t="shared" si="1"/>
        <v>2800</v>
      </c>
      <c r="S41" s="20"/>
      <c r="T41" s="20"/>
      <c r="U41" s="20"/>
      <c r="V41" s="20"/>
    </row>
    <row r="42" spans="1:22" ht="27" x14ac:dyDescent="0.3">
      <c r="A42" s="80">
        <v>1</v>
      </c>
      <c r="B42" s="8" t="s">
        <v>112</v>
      </c>
      <c r="C42" s="9" t="s">
        <v>113</v>
      </c>
      <c r="D42" s="9" t="s">
        <v>296</v>
      </c>
      <c r="E42" s="9" t="s">
        <v>297</v>
      </c>
      <c r="F42" s="9" t="s">
        <v>114</v>
      </c>
      <c r="G42" s="9" t="s">
        <v>22</v>
      </c>
      <c r="H42" s="10">
        <v>45382</v>
      </c>
      <c r="I42" s="9" t="s">
        <v>23</v>
      </c>
      <c r="J42" s="9" t="s">
        <v>24</v>
      </c>
      <c r="K42" s="9" t="s">
        <v>25</v>
      </c>
      <c r="L42" s="9" t="s">
        <v>25</v>
      </c>
      <c r="M42" s="11"/>
      <c r="N42" s="12"/>
      <c r="O42" s="17">
        <v>3500</v>
      </c>
      <c r="P42" s="18">
        <v>27</v>
      </c>
      <c r="Q42" s="19"/>
      <c r="R42" s="20">
        <f t="shared" si="1"/>
        <v>3500</v>
      </c>
      <c r="S42" s="20"/>
      <c r="T42" s="20"/>
      <c r="U42" s="20"/>
      <c r="V42" s="20"/>
    </row>
    <row r="43" spans="1:22" ht="27" x14ac:dyDescent="0.3">
      <c r="A43" s="80">
        <v>1</v>
      </c>
      <c r="B43" s="8" t="s">
        <v>115</v>
      </c>
      <c r="C43" s="9" t="s">
        <v>116</v>
      </c>
      <c r="D43" s="9" t="s">
        <v>283</v>
      </c>
      <c r="E43" s="9" t="s">
        <v>283</v>
      </c>
      <c r="F43" s="9" t="s">
        <v>117</v>
      </c>
      <c r="G43" s="9" t="s">
        <v>22</v>
      </c>
      <c r="H43" s="10">
        <v>45107</v>
      </c>
      <c r="I43" s="9" t="s">
        <v>23</v>
      </c>
      <c r="J43" s="9" t="s">
        <v>24</v>
      </c>
      <c r="K43" s="9" t="s">
        <v>25</v>
      </c>
      <c r="L43" s="9" t="s">
        <v>26</v>
      </c>
      <c r="M43" s="11"/>
      <c r="N43" s="12"/>
      <c r="O43" s="17">
        <v>2800</v>
      </c>
      <c r="P43" s="18">
        <v>18</v>
      </c>
      <c r="Q43" s="19"/>
      <c r="R43" s="20">
        <f t="shared" si="1"/>
        <v>2800</v>
      </c>
      <c r="S43" s="20"/>
      <c r="T43" s="20"/>
      <c r="U43" s="20"/>
      <c r="V43" s="20"/>
    </row>
    <row r="44" spans="1:22" ht="40.200000000000003" x14ac:dyDescent="0.3">
      <c r="A44" s="80">
        <v>1</v>
      </c>
      <c r="B44" s="8" t="s">
        <v>118</v>
      </c>
      <c r="C44" s="9" t="s">
        <v>119</v>
      </c>
      <c r="D44" s="9" t="s">
        <v>287</v>
      </c>
      <c r="E44" s="9" t="s">
        <v>293</v>
      </c>
      <c r="F44" s="9" t="s">
        <v>120</v>
      </c>
      <c r="G44" s="9" t="s">
        <v>22</v>
      </c>
      <c r="H44" s="10">
        <v>45138</v>
      </c>
      <c r="I44" s="9" t="s">
        <v>23</v>
      </c>
      <c r="J44" s="9" t="s">
        <v>24</v>
      </c>
      <c r="K44" s="9" t="s">
        <v>25</v>
      </c>
      <c r="L44" s="9" t="s">
        <v>25</v>
      </c>
      <c r="M44" s="11"/>
      <c r="N44" s="12"/>
      <c r="O44" s="17">
        <v>2900</v>
      </c>
      <c r="P44" s="18">
        <v>30</v>
      </c>
      <c r="Q44" s="19"/>
      <c r="R44" s="20">
        <f t="shared" si="1"/>
        <v>2900</v>
      </c>
      <c r="S44" s="20"/>
      <c r="T44" s="20"/>
      <c r="U44" s="20"/>
      <c r="V44" s="20"/>
    </row>
    <row r="45" spans="1:22" ht="14.4" x14ac:dyDescent="0.3">
      <c r="A45" s="80">
        <v>1</v>
      </c>
      <c r="B45" s="8" t="s">
        <v>121</v>
      </c>
      <c r="C45" s="60" t="s">
        <v>122</v>
      </c>
      <c r="D45" s="9" t="s">
        <v>287</v>
      </c>
      <c r="E45" s="9" t="s">
        <v>293</v>
      </c>
      <c r="F45" s="9" t="s">
        <v>123</v>
      </c>
      <c r="G45" s="9" t="s">
        <v>22</v>
      </c>
      <c r="H45" s="10">
        <v>44985</v>
      </c>
      <c r="I45" s="9" t="s">
        <v>23</v>
      </c>
      <c r="J45" s="9" t="s">
        <v>24</v>
      </c>
      <c r="K45" s="9" t="s">
        <v>25</v>
      </c>
      <c r="L45" s="9" t="s">
        <v>26</v>
      </c>
      <c r="M45" s="11"/>
      <c r="N45" s="12"/>
      <c r="O45" s="17">
        <v>2300</v>
      </c>
      <c r="P45" s="18">
        <v>20</v>
      </c>
      <c r="Q45" s="19"/>
      <c r="R45" s="20">
        <f t="shared" si="1"/>
        <v>2300</v>
      </c>
      <c r="S45" s="20"/>
      <c r="T45" s="20"/>
      <c r="U45" s="20"/>
      <c r="V45" s="20"/>
    </row>
    <row r="46" spans="1:22" ht="14.4" x14ac:dyDescent="0.3">
      <c r="A46" s="80">
        <v>1</v>
      </c>
      <c r="B46" s="8" t="s">
        <v>124</v>
      </c>
      <c r="C46" s="9" t="s">
        <v>125</v>
      </c>
      <c r="D46" s="9" t="s">
        <v>290</v>
      </c>
      <c r="E46" s="9" t="s">
        <v>297</v>
      </c>
      <c r="F46" s="9" t="s">
        <v>126</v>
      </c>
      <c r="G46" s="9" t="s">
        <v>22</v>
      </c>
      <c r="H46" s="10">
        <v>45291</v>
      </c>
      <c r="I46" s="9" t="s">
        <v>23</v>
      </c>
      <c r="J46" s="9" t="s">
        <v>24</v>
      </c>
      <c r="K46" s="9" t="s">
        <v>25</v>
      </c>
      <c r="L46" s="9" t="s">
        <v>25</v>
      </c>
      <c r="M46" s="11"/>
      <c r="N46" s="12"/>
      <c r="O46" s="17">
        <v>3300</v>
      </c>
      <c r="P46" s="18">
        <v>25</v>
      </c>
      <c r="Q46" s="19"/>
      <c r="R46" s="20">
        <f t="shared" si="1"/>
        <v>3300</v>
      </c>
      <c r="S46" s="20"/>
      <c r="T46" s="20"/>
      <c r="U46" s="20"/>
      <c r="V46" s="20"/>
    </row>
    <row r="47" spans="1:22" ht="14.4" x14ac:dyDescent="0.3">
      <c r="A47" s="80">
        <v>1</v>
      </c>
      <c r="B47" s="8" t="s">
        <v>127</v>
      </c>
      <c r="C47" s="9" t="s">
        <v>127</v>
      </c>
      <c r="D47" s="9" t="s">
        <v>298</v>
      </c>
      <c r="E47" s="9" t="s">
        <v>299</v>
      </c>
      <c r="F47" s="9" t="s">
        <v>128</v>
      </c>
      <c r="G47" s="9" t="s">
        <v>22</v>
      </c>
      <c r="H47" s="10">
        <v>45016</v>
      </c>
      <c r="I47" s="9" t="s">
        <v>23</v>
      </c>
      <c r="J47" s="9" t="s">
        <v>24</v>
      </c>
      <c r="K47" s="9" t="s">
        <v>25</v>
      </c>
      <c r="L47" s="9" t="s">
        <v>26</v>
      </c>
      <c r="M47" s="11"/>
      <c r="N47" s="12"/>
      <c r="O47" s="17">
        <v>2600</v>
      </c>
      <c r="P47" s="18">
        <v>30</v>
      </c>
      <c r="Q47" s="19"/>
      <c r="R47" s="20">
        <f t="shared" si="1"/>
        <v>2600</v>
      </c>
      <c r="S47" s="20"/>
      <c r="T47" s="20"/>
      <c r="U47" s="20"/>
      <c r="V47" s="20"/>
    </row>
    <row r="48" spans="1:22" ht="14.4" x14ac:dyDescent="0.3">
      <c r="A48" s="80">
        <v>1</v>
      </c>
      <c r="B48" s="8" t="s">
        <v>129</v>
      </c>
      <c r="C48" s="9" t="s">
        <v>130</v>
      </c>
      <c r="D48" s="9" t="s">
        <v>283</v>
      </c>
      <c r="E48" s="9" t="s">
        <v>283</v>
      </c>
      <c r="F48" s="9" t="s">
        <v>128</v>
      </c>
      <c r="G48" s="9" t="s">
        <v>22</v>
      </c>
      <c r="H48" s="10">
        <v>45382</v>
      </c>
      <c r="I48" s="9" t="s">
        <v>23</v>
      </c>
      <c r="J48" s="9" t="s">
        <v>24</v>
      </c>
      <c r="K48" s="9" t="s">
        <v>25</v>
      </c>
      <c r="L48" s="9" t="s">
        <v>25</v>
      </c>
      <c r="M48" s="11"/>
      <c r="N48" s="12"/>
      <c r="O48" s="17">
        <v>3000</v>
      </c>
      <c r="P48" s="18">
        <v>30</v>
      </c>
      <c r="Q48" s="19"/>
      <c r="R48" s="20">
        <f t="shared" si="1"/>
        <v>3000</v>
      </c>
      <c r="S48" s="20"/>
      <c r="T48" s="20"/>
      <c r="U48" s="20"/>
      <c r="V48" s="20"/>
    </row>
    <row r="49" spans="1:22" ht="14.4" x14ac:dyDescent="0.3">
      <c r="A49" s="80">
        <v>1</v>
      </c>
      <c r="B49" s="8" t="s">
        <v>131</v>
      </c>
      <c r="C49" s="9" t="s">
        <v>132</v>
      </c>
      <c r="D49" s="9" t="s">
        <v>300</v>
      </c>
      <c r="E49" s="9" t="s">
        <v>301</v>
      </c>
      <c r="F49" s="9" t="s">
        <v>133</v>
      </c>
      <c r="G49" s="9" t="s">
        <v>42</v>
      </c>
      <c r="H49" s="10">
        <v>45077</v>
      </c>
      <c r="I49" s="9" t="s">
        <v>23</v>
      </c>
      <c r="J49" s="9" t="s">
        <v>24</v>
      </c>
      <c r="K49" s="9" t="s">
        <v>25</v>
      </c>
      <c r="L49" s="9" t="s">
        <v>26</v>
      </c>
      <c r="M49" s="11"/>
      <c r="N49" s="12"/>
      <c r="O49" s="17">
        <v>5500</v>
      </c>
      <c r="P49" s="18">
        <v>35</v>
      </c>
      <c r="Q49" s="19"/>
      <c r="R49" s="20">
        <f t="shared" si="1"/>
        <v>5500</v>
      </c>
      <c r="S49" s="20"/>
      <c r="T49" s="20"/>
      <c r="U49" s="20"/>
      <c r="V49" s="20"/>
    </row>
    <row r="50" spans="1:22" ht="14.4" x14ac:dyDescent="0.3">
      <c r="A50" s="80">
        <v>1</v>
      </c>
      <c r="B50" s="8" t="s">
        <v>134</v>
      </c>
      <c r="C50" s="9" t="s">
        <v>135</v>
      </c>
      <c r="D50" s="9" t="s">
        <v>283</v>
      </c>
      <c r="E50" s="9" t="s">
        <v>283</v>
      </c>
      <c r="F50" s="9" t="s">
        <v>136</v>
      </c>
      <c r="G50" s="9" t="s">
        <v>22</v>
      </c>
      <c r="H50" s="10">
        <v>45107</v>
      </c>
      <c r="I50" s="9" t="s">
        <v>23</v>
      </c>
      <c r="J50" s="9" t="s">
        <v>24</v>
      </c>
      <c r="K50" s="9" t="s">
        <v>25</v>
      </c>
      <c r="L50" s="9" t="s">
        <v>25</v>
      </c>
      <c r="M50" s="11"/>
      <c r="N50" s="12"/>
      <c r="O50" s="17">
        <v>2800</v>
      </c>
      <c r="P50" s="18">
        <v>30</v>
      </c>
      <c r="Q50" s="19"/>
      <c r="R50" s="20">
        <f t="shared" si="1"/>
        <v>2800</v>
      </c>
      <c r="S50" s="20"/>
      <c r="T50" s="20"/>
      <c r="U50" s="20"/>
      <c r="V50" s="20"/>
    </row>
    <row r="51" spans="1:22" ht="14.4" x14ac:dyDescent="0.3">
      <c r="A51" s="80">
        <v>1</v>
      </c>
      <c r="B51" s="8" t="s">
        <v>137</v>
      </c>
      <c r="C51" s="9" t="s">
        <v>138</v>
      </c>
      <c r="D51" s="9" t="s">
        <v>302</v>
      </c>
      <c r="E51" s="9" t="s">
        <v>302</v>
      </c>
      <c r="F51" s="9" t="s">
        <v>139</v>
      </c>
      <c r="G51" s="9" t="s">
        <v>42</v>
      </c>
      <c r="H51" s="10">
        <v>45291</v>
      </c>
      <c r="I51" s="9" t="s">
        <v>23</v>
      </c>
      <c r="J51" s="9" t="s">
        <v>24</v>
      </c>
      <c r="K51" s="9" t="s">
        <v>25</v>
      </c>
      <c r="L51" s="9" t="s">
        <v>26</v>
      </c>
      <c r="M51" s="11"/>
      <c r="N51" s="12"/>
      <c r="O51" s="29">
        <v>3200</v>
      </c>
      <c r="P51" s="18">
        <v>30</v>
      </c>
      <c r="Q51" s="19"/>
      <c r="R51" s="20">
        <f t="shared" si="1"/>
        <v>3200</v>
      </c>
      <c r="S51" s="20"/>
      <c r="T51" s="20"/>
      <c r="U51" s="20"/>
      <c r="V51" s="20"/>
    </row>
    <row r="52" spans="1:22" ht="27" x14ac:dyDescent="0.3">
      <c r="A52" s="80">
        <v>1</v>
      </c>
      <c r="B52" s="8" t="s">
        <v>140</v>
      </c>
      <c r="C52" s="9" t="s">
        <v>141</v>
      </c>
      <c r="D52" s="9" t="s">
        <v>291</v>
      </c>
      <c r="E52" s="9" t="s">
        <v>292</v>
      </c>
      <c r="F52" s="9" t="s">
        <v>139</v>
      </c>
      <c r="G52" s="9" t="s">
        <v>42</v>
      </c>
      <c r="H52" s="10">
        <v>45291</v>
      </c>
      <c r="I52" s="9" t="s">
        <v>23</v>
      </c>
      <c r="J52" s="9" t="s">
        <v>24</v>
      </c>
      <c r="K52" s="9" t="s">
        <v>25</v>
      </c>
      <c r="L52" s="9" t="s">
        <v>26</v>
      </c>
      <c r="M52" s="11"/>
      <c r="N52" s="12"/>
      <c r="O52" s="17">
        <v>1100</v>
      </c>
      <c r="P52" s="18">
        <v>2.5</v>
      </c>
      <c r="Q52" s="19"/>
      <c r="R52" s="20">
        <f t="shared" si="1"/>
        <v>1100</v>
      </c>
      <c r="S52" s="20"/>
      <c r="T52" s="20"/>
      <c r="U52" s="20"/>
      <c r="V52" s="20"/>
    </row>
    <row r="53" spans="1:22" x14ac:dyDescent="0.25">
      <c r="A53" s="89"/>
      <c r="B53" s="16"/>
      <c r="C53" s="67"/>
      <c r="D53" s="67"/>
      <c r="E53" s="67"/>
      <c r="M53" s="11"/>
      <c r="N53" s="12"/>
      <c r="O53" s="32"/>
      <c r="P53" s="33"/>
      <c r="Q53" s="34"/>
      <c r="R53" s="34"/>
      <c r="S53" s="34"/>
      <c r="T53" s="34"/>
      <c r="U53" s="34"/>
      <c r="V53" s="34"/>
    </row>
    <row r="54" spans="1:22" x14ac:dyDescent="0.25">
      <c r="A54" s="80">
        <f>SUM(A36:A53)</f>
        <v>17</v>
      </c>
      <c r="B54" s="16"/>
      <c r="C54" s="67"/>
      <c r="D54" s="67"/>
      <c r="E54" s="67"/>
      <c r="M54" s="11"/>
      <c r="N54" s="35">
        <f>+O54/$O$134</f>
        <v>0.15378519964195048</v>
      </c>
      <c r="O54" s="36">
        <f>SUM(O36:O53)</f>
        <v>52400</v>
      </c>
      <c r="P54" s="71">
        <f>SUM(P36:P53)</f>
        <v>425.25</v>
      </c>
      <c r="Q54" s="36">
        <f>SUM(Q36:Q53)</f>
        <v>0</v>
      </c>
      <c r="R54" s="36">
        <f>SUM(R36:R53)</f>
        <v>52400</v>
      </c>
      <c r="S54" s="36">
        <f>SUM(S36:S53)</f>
        <v>0</v>
      </c>
      <c r="T54" s="36">
        <f>SUM(T36:T53)</f>
        <v>0</v>
      </c>
      <c r="U54" s="36">
        <f>SUM(U36:U53)</f>
        <v>0</v>
      </c>
      <c r="V54" s="36">
        <f>SUM(V36:V53)</f>
        <v>0</v>
      </c>
    </row>
    <row r="55" spans="1:22" ht="14.4" x14ac:dyDescent="0.3">
      <c r="B55" s="16"/>
      <c r="C55" s="67"/>
      <c r="D55" s="67"/>
      <c r="E55" s="67"/>
      <c r="M55" s="11"/>
      <c r="N55" s="84" t="s">
        <v>347</v>
      </c>
      <c r="O55" s="17"/>
      <c r="P55" s="18">
        <f>+O54/P54</f>
        <v>123.22163433274544</v>
      </c>
      <c r="Q55" s="19"/>
      <c r="R55" s="20"/>
      <c r="S55" s="20"/>
      <c r="T55" s="20"/>
      <c r="U55" s="20"/>
      <c r="V55" s="20"/>
    </row>
    <row r="56" spans="1:22" ht="14.4" x14ac:dyDescent="0.3">
      <c r="B56" s="16"/>
      <c r="C56" s="67"/>
      <c r="D56" s="67"/>
      <c r="E56" s="67"/>
      <c r="M56" s="11"/>
      <c r="N56" s="12"/>
      <c r="O56" s="17"/>
      <c r="P56" s="18"/>
      <c r="Q56" s="19"/>
      <c r="R56" s="20"/>
      <c r="S56" s="20"/>
      <c r="T56" s="20"/>
      <c r="U56" s="20"/>
      <c r="V56" s="20"/>
    </row>
    <row r="57" spans="1:22" ht="14.4" x14ac:dyDescent="0.3">
      <c r="B57" s="16" t="s">
        <v>145</v>
      </c>
      <c r="C57" s="68" t="s">
        <v>145</v>
      </c>
      <c r="D57" s="68"/>
      <c r="E57" s="68"/>
      <c r="M57" s="11"/>
      <c r="N57" s="12"/>
      <c r="O57" s="17"/>
      <c r="P57" s="18"/>
      <c r="Q57" s="19"/>
      <c r="R57" s="20"/>
      <c r="S57" s="20"/>
      <c r="T57" s="20"/>
      <c r="U57" s="20"/>
      <c r="V57" s="20"/>
    </row>
    <row r="58" spans="1:22" ht="14.4" x14ac:dyDescent="0.3">
      <c r="A58" s="80">
        <v>1</v>
      </c>
      <c r="B58" s="8" t="s">
        <v>146</v>
      </c>
      <c r="C58" s="9" t="s">
        <v>147</v>
      </c>
      <c r="D58" s="9" t="s">
        <v>303</v>
      </c>
      <c r="E58" s="9" t="s">
        <v>297</v>
      </c>
      <c r="F58" s="9" t="s">
        <v>148</v>
      </c>
      <c r="G58" s="9" t="s">
        <v>42</v>
      </c>
      <c r="H58" s="10">
        <v>45107</v>
      </c>
      <c r="I58" s="9" t="s">
        <v>23</v>
      </c>
      <c r="J58" s="9" t="s">
        <v>24</v>
      </c>
      <c r="K58" s="9" t="s">
        <v>25</v>
      </c>
      <c r="L58" s="9" t="s">
        <v>26</v>
      </c>
      <c r="M58" s="11"/>
      <c r="N58" s="12"/>
      <c r="O58" s="17">
        <v>1000</v>
      </c>
      <c r="P58" s="18">
        <v>6</v>
      </c>
      <c r="Q58" s="19"/>
      <c r="R58" s="20"/>
      <c r="S58" s="20">
        <f t="shared" ref="S58:S89" si="2">+O58</f>
        <v>1000</v>
      </c>
      <c r="T58" s="20"/>
      <c r="U58" s="20"/>
      <c r="V58" s="20"/>
    </row>
    <row r="59" spans="1:22" ht="14.4" x14ac:dyDescent="0.3">
      <c r="A59" s="80">
        <v>1</v>
      </c>
      <c r="B59" s="8" t="s">
        <v>149</v>
      </c>
      <c r="C59" s="9" t="s">
        <v>150</v>
      </c>
      <c r="D59" s="9" t="s">
        <v>302</v>
      </c>
      <c r="E59" s="9" t="s">
        <v>302</v>
      </c>
      <c r="F59" s="9" t="s">
        <v>151</v>
      </c>
      <c r="G59" s="9" t="s">
        <v>42</v>
      </c>
      <c r="H59" s="10">
        <v>45199</v>
      </c>
      <c r="I59" s="9" t="s">
        <v>23</v>
      </c>
      <c r="J59" s="9" t="s">
        <v>24</v>
      </c>
      <c r="K59" s="9" t="s">
        <v>25</v>
      </c>
      <c r="L59" s="9" t="s">
        <v>26</v>
      </c>
      <c r="M59" s="11"/>
      <c r="N59" s="12"/>
      <c r="O59" s="17">
        <v>2000</v>
      </c>
      <c r="P59" s="18">
        <v>18</v>
      </c>
      <c r="Q59" s="19"/>
      <c r="R59" s="20"/>
      <c r="S59" s="20">
        <f t="shared" si="2"/>
        <v>2000</v>
      </c>
      <c r="T59" s="20"/>
      <c r="U59" s="20"/>
      <c r="V59" s="20"/>
    </row>
    <row r="60" spans="1:22" ht="14.4" x14ac:dyDescent="0.3">
      <c r="A60" s="80">
        <v>1</v>
      </c>
      <c r="B60" s="8" t="s">
        <v>152</v>
      </c>
      <c r="C60" s="9" t="s">
        <v>153</v>
      </c>
      <c r="D60" s="9" t="s">
        <v>304</v>
      </c>
      <c r="E60" s="9" t="s">
        <v>292</v>
      </c>
      <c r="F60" s="9" t="s">
        <v>154</v>
      </c>
      <c r="G60" s="9" t="s">
        <v>42</v>
      </c>
      <c r="H60" s="10">
        <v>45169</v>
      </c>
      <c r="I60" s="9" t="s">
        <v>23</v>
      </c>
      <c r="J60" s="9" t="s">
        <v>24</v>
      </c>
      <c r="K60" s="9" t="s">
        <v>25</v>
      </c>
      <c r="L60" s="9" t="s">
        <v>26</v>
      </c>
      <c r="M60" s="11"/>
      <c r="N60" s="12"/>
      <c r="O60" s="17">
        <v>2400</v>
      </c>
      <c r="P60" s="18">
        <v>14</v>
      </c>
      <c r="Q60" s="19"/>
      <c r="R60" s="20"/>
      <c r="S60" s="20">
        <f t="shared" si="2"/>
        <v>2400</v>
      </c>
      <c r="T60" s="20"/>
      <c r="U60" s="20"/>
      <c r="V60" s="20"/>
    </row>
    <row r="61" spans="1:22" ht="27" x14ac:dyDescent="0.3">
      <c r="A61" s="80">
        <v>1</v>
      </c>
      <c r="B61" s="8" t="s">
        <v>155</v>
      </c>
      <c r="C61" s="9" t="s">
        <v>156</v>
      </c>
      <c r="D61" s="9" t="s">
        <v>305</v>
      </c>
      <c r="E61" s="9" t="s">
        <v>292</v>
      </c>
      <c r="F61" s="9" t="s">
        <v>157</v>
      </c>
      <c r="G61" s="9" t="s">
        <v>42</v>
      </c>
      <c r="H61" s="10">
        <v>45291</v>
      </c>
      <c r="I61" s="9" t="s">
        <v>23</v>
      </c>
      <c r="J61" s="9" t="s">
        <v>24</v>
      </c>
      <c r="K61" s="9" t="s">
        <v>25</v>
      </c>
      <c r="L61" s="9" t="s">
        <v>26</v>
      </c>
      <c r="M61" s="11"/>
      <c r="N61" s="12"/>
      <c r="O61" s="17">
        <v>800</v>
      </c>
      <c r="P61" s="18">
        <v>4</v>
      </c>
      <c r="Q61" s="19"/>
      <c r="R61" s="20"/>
      <c r="S61" s="20">
        <f t="shared" si="2"/>
        <v>800</v>
      </c>
      <c r="T61" s="20"/>
      <c r="U61" s="20"/>
      <c r="V61" s="20"/>
    </row>
    <row r="62" spans="1:22" ht="14.4" x14ac:dyDescent="0.3">
      <c r="A62" s="80">
        <v>1</v>
      </c>
      <c r="B62" s="8" t="s">
        <v>158</v>
      </c>
      <c r="C62" s="9" t="s">
        <v>159</v>
      </c>
      <c r="D62" s="9" t="s">
        <v>306</v>
      </c>
      <c r="E62" s="9" t="s">
        <v>283</v>
      </c>
      <c r="F62" s="9" t="s">
        <v>160</v>
      </c>
      <c r="G62" s="9" t="s">
        <v>42</v>
      </c>
      <c r="H62" s="10">
        <v>45291</v>
      </c>
      <c r="I62" s="9" t="s">
        <v>23</v>
      </c>
      <c r="J62" s="9" t="s">
        <v>24</v>
      </c>
      <c r="K62" s="9" t="s">
        <v>25</v>
      </c>
      <c r="L62" s="9" t="s">
        <v>26</v>
      </c>
      <c r="M62" s="11"/>
      <c r="N62" s="12"/>
      <c r="O62" s="17">
        <v>1800</v>
      </c>
      <c r="P62" s="18">
        <v>7</v>
      </c>
      <c r="Q62" s="19"/>
      <c r="R62" s="20"/>
      <c r="S62" s="20">
        <f t="shared" si="2"/>
        <v>1800</v>
      </c>
      <c r="T62" s="20"/>
      <c r="U62" s="20"/>
      <c r="V62" s="20"/>
    </row>
    <row r="63" spans="1:22" ht="14.4" x14ac:dyDescent="0.3">
      <c r="A63" s="80">
        <v>1</v>
      </c>
      <c r="B63" s="8" t="s">
        <v>161</v>
      </c>
      <c r="C63" s="9" t="s">
        <v>162</v>
      </c>
      <c r="D63" s="9" t="s">
        <v>292</v>
      </c>
      <c r="E63" s="9" t="s">
        <v>292</v>
      </c>
      <c r="F63" s="9" t="s">
        <v>163</v>
      </c>
      <c r="G63" s="9" t="s">
        <v>42</v>
      </c>
      <c r="H63" s="10">
        <v>45230</v>
      </c>
      <c r="I63" s="9" t="s">
        <v>23</v>
      </c>
      <c r="J63" s="9" t="s">
        <v>24</v>
      </c>
      <c r="K63" s="9" t="s">
        <v>25</v>
      </c>
      <c r="L63" s="9" t="s">
        <v>26</v>
      </c>
      <c r="M63" s="11"/>
      <c r="N63" s="12"/>
      <c r="O63" s="29">
        <v>2000</v>
      </c>
      <c r="P63" s="18">
        <v>8</v>
      </c>
      <c r="Q63" s="19"/>
      <c r="R63" s="20"/>
      <c r="S63" s="20">
        <f t="shared" si="2"/>
        <v>2000</v>
      </c>
      <c r="T63" s="20"/>
      <c r="U63" s="20"/>
      <c r="V63" s="20"/>
    </row>
    <row r="64" spans="1:22" ht="14.4" x14ac:dyDescent="0.3">
      <c r="A64" s="80">
        <v>1</v>
      </c>
      <c r="B64" s="8" t="s">
        <v>164</v>
      </c>
      <c r="C64" s="9" t="s">
        <v>165</v>
      </c>
      <c r="D64" s="9" t="s">
        <v>304</v>
      </c>
      <c r="E64" s="9" t="s">
        <v>292</v>
      </c>
      <c r="F64" s="9" t="s">
        <v>166</v>
      </c>
      <c r="G64" s="9" t="s">
        <v>42</v>
      </c>
      <c r="H64" s="10">
        <v>45291</v>
      </c>
      <c r="I64" s="9" t="s">
        <v>23</v>
      </c>
      <c r="J64" s="9" t="s">
        <v>24</v>
      </c>
      <c r="K64" s="9" t="s">
        <v>25</v>
      </c>
      <c r="L64" s="9" t="s">
        <v>26</v>
      </c>
      <c r="M64" s="11"/>
      <c r="N64" s="12"/>
      <c r="O64" s="29">
        <v>1800</v>
      </c>
      <c r="P64" s="18">
        <v>19</v>
      </c>
      <c r="Q64" s="19"/>
      <c r="R64" s="20"/>
      <c r="S64" s="20">
        <f t="shared" si="2"/>
        <v>1800</v>
      </c>
      <c r="T64" s="20"/>
      <c r="U64" s="20"/>
      <c r="V64" s="20"/>
    </row>
    <row r="65" spans="1:22" ht="27" x14ac:dyDescent="0.3">
      <c r="A65" s="80">
        <v>1</v>
      </c>
      <c r="B65" s="8" t="s">
        <v>167</v>
      </c>
      <c r="C65" s="9" t="s">
        <v>168</v>
      </c>
      <c r="D65" s="9" t="s">
        <v>307</v>
      </c>
      <c r="E65" s="9" t="s">
        <v>285</v>
      </c>
      <c r="F65" s="9" t="s">
        <v>169</v>
      </c>
      <c r="G65" s="9" t="s">
        <v>42</v>
      </c>
      <c r="H65" s="10">
        <v>45046</v>
      </c>
      <c r="I65" s="9" t="s">
        <v>23</v>
      </c>
      <c r="J65" s="9" t="s">
        <v>24</v>
      </c>
      <c r="K65" s="9" t="s">
        <v>25</v>
      </c>
      <c r="L65" s="9" t="s">
        <v>26</v>
      </c>
      <c r="M65" s="11"/>
      <c r="N65" s="12"/>
      <c r="O65" s="17">
        <v>1800</v>
      </c>
      <c r="P65" s="18">
        <f>27-19</f>
        <v>8</v>
      </c>
      <c r="Q65" s="19"/>
      <c r="R65" s="20"/>
      <c r="S65" s="20">
        <f t="shared" si="2"/>
        <v>1800</v>
      </c>
      <c r="T65" s="20"/>
      <c r="U65" s="20"/>
      <c r="V65" s="20"/>
    </row>
    <row r="66" spans="1:22" ht="14.4" x14ac:dyDescent="0.3">
      <c r="A66" s="80">
        <v>1</v>
      </c>
      <c r="B66" s="8" t="s">
        <v>170</v>
      </c>
      <c r="C66" s="9" t="s">
        <v>171</v>
      </c>
      <c r="D66" s="9" t="s">
        <v>307</v>
      </c>
      <c r="E66" s="9" t="s">
        <v>285</v>
      </c>
      <c r="F66" s="9" t="s">
        <v>139</v>
      </c>
      <c r="G66" s="9" t="s">
        <v>42</v>
      </c>
      <c r="H66" s="10">
        <v>45016</v>
      </c>
      <c r="I66" s="9" t="s">
        <v>23</v>
      </c>
      <c r="J66" s="9" t="s">
        <v>24</v>
      </c>
      <c r="K66" s="9" t="s">
        <v>25</v>
      </c>
      <c r="L66" s="9" t="s">
        <v>26</v>
      </c>
      <c r="M66" s="11"/>
      <c r="N66" s="12"/>
      <c r="O66" s="17">
        <v>1000</v>
      </c>
      <c r="P66" s="18">
        <v>3</v>
      </c>
      <c r="Q66" s="19"/>
      <c r="R66" s="20"/>
      <c r="S66" s="20">
        <f>+O66</f>
        <v>1000</v>
      </c>
      <c r="T66" s="20"/>
      <c r="U66" s="20"/>
      <c r="V66" s="20"/>
    </row>
    <row r="67" spans="1:22" x14ac:dyDescent="0.25">
      <c r="A67" s="80">
        <v>1</v>
      </c>
      <c r="B67" s="8" t="s">
        <v>172</v>
      </c>
      <c r="C67" s="9" t="s">
        <v>350</v>
      </c>
      <c r="D67" s="9" t="s">
        <v>302</v>
      </c>
      <c r="E67" s="9" t="s">
        <v>285</v>
      </c>
      <c r="F67" s="9" t="s">
        <v>173</v>
      </c>
      <c r="G67" s="9" t="s">
        <v>42</v>
      </c>
      <c r="H67" s="10">
        <v>44895</v>
      </c>
      <c r="I67" s="9" t="s">
        <v>23</v>
      </c>
      <c r="J67" s="9" t="s">
        <v>24</v>
      </c>
      <c r="K67" s="9" t="s">
        <v>25</v>
      </c>
      <c r="L67" s="9" t="s">
        <v>26</v>
      </c>
      <c r="M67" s="11"/>
      <c r="N67" s="12"/>
      <c r="O67" s="17">
        <v>1000</v>
      </c>
      <c r="P67" s="18">
        <v>6</v>
      </c>
      <c r="Q67" s="19"/>
      <c r="R67" s="19"/>
      <c r="S67" s="19">
        <f t="shared" si="2"/>
        <v>1000</v>
      </c>
      <c r="T67" s="19"/>
      <c r="U67" s="19"/>
      <c r="V67" s="19"/>
    </row>
    <row r="68" spans="1:22" ht="14.4" x14ac:dyDescent="0.3">
      <c r="A68" s="80">
        <v>1</v>
      </c>
      <c r="B68" s="8" t="s">
        <v>174</v>
      </c>
      <c r="C68" s="72" t="s">
        <v>175</v>
      </c>
      <c r="D68" s="9" t="s">
        <v>302</v>
      </c>
      <c r="E68" s="9" t="s">
        <v>302</v>
      </c>
      <c r="F68" s="9" t="s">
        <v>176</v>
      </c>
      <c r="G68" s="9" t="s">
        <v>42</v>
      </c>
      <c r="H68" s="10">
        <v>44895</v>
      </c>
      <c r="I68" s="9" t="s">
        <v>23</v>
      </c>
      <c r="J68" s="9" t="s">
        <v>177</v>
      </c>
      <c r="K68" s="9" t="s">
        <v>25</v>
      </c>
      <c r="L68" s="9" t="s">
        <v>25</v>
      </c>
      <c r="M68" s="11"/>
      <c r="N68" s="12"/>
      <c r="O68" s="17">
        <v>1000</v>
      </c>
      <c r="P68" s="18">
        <v>6</v>
      </c>
      <c r="Q68" s="19"/>
      <c r="R68" s="20"/>
      <c r="S68" s="20">
        <f>+O68</f>
        <v>1000</v>
      </c>
      <c r="T68" s="20"/>
      <c r="U68" s="20"/>
      <c r="V68" s="20"/>
    </row>
    <row r="69" spans="1:22" ht="53.4" x14ac:dyDescent="0.3">
      <c r="A69" s="80">
        <v>1</v>
      </c>
      <c r="B69" s="8" t="s">
        <v>178</v>
      </c>
      <c r="C69" s="72" t="s">
        <v>179</v>
      </c>
      <c r="D69" s="9" t="s">
        <v>302</v>
      </c>
      <c r="E69" s="9" t="s">
        <v>302</v>
      </c>
      <c r="F69" s="9" t="s">
        <v>176</v>
      </c>
      <c r="G69" s="9" t="s">
        <v>42</v>
      </c>
      <c r="H69" s="10">
        <v>44895</v>
      </c>
      <c r="I69" s="9" t="s">
        <v>180</v>
      </c>
      <c r="J69" s="9" t="s">
        <v>181</v>
      </c>
      <c r="K69" s="9" t="s">
        <v>25</v>
      </c>
      <c r="L69" s="9" t="s">
        <v>25</v>
      </c>
      <c r="M69" s="11"/>
      <c r="N69" s="12"/>
      <c r="O69" s="17">
        <v>1000</v>
      </c>
      <c r="P69" s="18">
        <v>6</v>
      </c>
      <c r="Q69" s="19"/>
      <c r="R69" s="20"/>
      <c r="S69" s="20">
        <f>+O69</f>
        <v>1000</v>
      </c>
      <c r="T69" s="20"/>
      <c r="U69" s="20"/>
      <c r="V69" s="20"/>
    </row>
    <row r="70" spans="1:22" x14ac:dyDescent="0.25">
      <c r="A70" s="80">
        <v>1</v>
      </c>
      <c r="B70" s="8" t="s">
        <v>182</v>
      </c>
      <c r="C70" s="9" t="s">
        <v>183</v>
      </c>
      <c r="D70" s="9" t="s">
        <v>308</v>
      </c>
      <c r="E70" s="9" t="s">
        <v>283</v>
      </c>
      <c r="F70" s="9" t="s">
        <v>184</v>
      </c>
      <c r="G70" s="9" t="s">
        <v>42</v>
      </c>
      <c r="H70" s="10">
        <v>45107</v>
      </c>
      <c r="I70" s="9" t="s">
        <v>23</v>
      </c>
      <c r="J70" s="9" t="s">
        <v>24</v>
      </c>
      <c r="K70" s="9" t="s">
        <v>25</v>
      </c>
      <c r="L70" s="9" t="s">
        <v>26</v>
      </c>
      <c r="M70" s="11"/>
      <c r="N70" s="12"/>
      <c r="O70" s="17">
        <v>1900</v>
      </c>
      <c r="P70" s="18">
        <v>7</v>
      </c>
      <c r="Q70" s="19"/>
      <c r="R70" s="19"/>
      <c r="S70" s="19">
        <f t="shared" si="2"/>
        <v>1900</v>
      </c>
      <c r="T70" s="19"/>
      <c r="U70" s="19"/>
      <c r="V70" s="19"/>
    </row>
    <row r="71" spans="1:22" ht="14.4" x14ac:dyDescent="0.3">
      <c r="A71" s="80">
        <v>1</v>
      </c>
      <c r="B71" s="8" t="s">
        <v>185</v>
      </c>
      <c r="C71" s="9" t="s">
        <v>186</v>
      </c>
      <c r="D71" s="9" t="s">
        <v>292</v>
      </c>
      <c r="E71" s="9" t="s">
        <v>292</v>
      </c>
      <c r="F71" s="9" t="s">
        <v>187</v>
      </c>
      <c r="G71" s="9" t="s">
        <v>42</v>
      </c>
      <c r="H71" s="10">
        <v>45291</v>
      </c>
      <c r="I71" s="9" t="s">
        <v>23</v>
      </c>
      <c r="J71" s="9" t="s">
        <v>24</v>
      </c>
      <c r="K71" s="9" t="s">
        <v>25</v>
      </c>
      <c r="L71" s="9" t="s">
        <v>26</v>
      </c>
      <c r="M71" s="11"/>
      <c r="N71" s="12"/>
      <c r="O71" s="17">
        <v>1700</v>
      </c>
      <c r="P71" s="18">
        <v>14</v>
      </c>
      <c r="Q71" s="19"/>
      <c r="R71" s="20"/>
      <c r="S71" s="20">
        <f t="shared" si="2"/>
        <v>1700</v>
      </c>
      <c r="T71" s="20"/>
      <c r="U71" s="20"/>
      <c r="V71" s="20"/>
    </row>
    <row r="72" spans="1:22" ht="14.4" x14ac:dyDescent="0.3">
      <c r="A72" s="80">
        <v>1</v>
      </c>
      <c r="B72" s="8" t="s">
        <v>188</v>
      </c>
      <c r="C72" s="9" t="s">
        <v>189</v>
      </c>
      <c r="D72" s="9" t="s">
        <v>292</v>
      </c>
      <c r="E72" s="9" t="s">
        <v>292</v>
      </c>
      <c r="F72" s="9" t="s">
        <v>190</v>
      </c>
      <c r="G72" s="9" t="s">
        <v>22</v>
      </c>
      <c r="H72" s="10">
        <v>45382</v>
      </c>
      <c r="I72" s="9" t="s">
        <v>23</v>
      </c>
      <c r="J72" s="9" t="s">
        <v>24</v>
      </c>
      <c r="K72" s="9" t="s">
        <v>25</v>
      </c>
      <c r="L72" s="9" t="s">
        <v>26</v>
      </c>
      <c r="M72" s="11"/>
      <c r="N72" s="12"/>
      <c r="O72" s="17">
        <v>1300</v>
      </c>
      <c r="P72" s="18">
        <v>9</v>
      </c>
      <c r="Q72" s="19"/>
      <c r="R72" s="20"/>
      <c r="S72" s="20">
        <f t="shared" si="2"/>
        <v>1300</v>
      </c>
      <c r="T72" s="20"/>
      <c r="U72" s="20"/>
      <c r="V72" s="20"/>
    </row>
    <row r="73" spans="1:22" ht="14.4" x14ac:dyDescent="0.3">
      <c r="A73" s="80">
        <v>1</v>
      </c>
      <c r="B73" s="8" t="s">
        <v>191</v>
      </c>
      <c r="C73" s="9" t="s">
        <v>192</v>
      </c>
      <c r="D73" s="9" t="s">
        <v>304</v>
      </c>
      <c r="E73" s="9" t="s">
        <v>292</v>
      </c>
      <c r="F73" s="9" t="s">
        <v>193</v>
      </c>
      <c r="G73" s="9" t="s">
        <v>42</v>
      </c>
      <c r="H73" s="10">
        <v>44957</v>
      </c>
      <c r="I73" s="9" t="s">
        <v>23</v>
      </c>
      <c r="J73" s="9" t="s">
        <v>24</v>
      </c>
      <c r="K73" s="9" t="s">
        <v>25</v>
      </c>
      <c r="L73" s="9" t="s">
        <v>26</v>
      </c>
      <c r="M73" s="11"/>
      <c r="N73" s="12"/>
      <c r="O73" s="17">
        <v>2000</v>
      </c>
      <c r="P73" s="18">
        <v>12</v>
      </c>
      <c r="Q73" s="19"/>
      <c r="R73" s="20"/>
      <c r="S73" s="20">
        <f t="shared" si="2"/>
        <v>2000</v>
      </c>
      <c r="T73" s="20"/>
      <c r="U73" s="20"/>
      <c r="V73" s="20"/>
    </row>
    <row r="74" spans="1:22" ht="27" x14ac:dyDescent="0.3">
      <c r="A74" s="80">
        <v>1</v>
      </c>
      <c r="B74" s="8" t="s">
        <v>196</v>
      </c>
      <c r="C74" s="9" t="s">
        <v>197</v>
      </c>
      <c r="D74" s="9" t="s">
        <v>283</v>
      </c>
      <c r="E74" s="9" t="s">
        <v>283</v>
      </c>
      <c r="F74" s="9" t="s">
        <v>198</v>
      </c>
      <c r="G74" s="9" t="s">
        <v>42</v>
      </c>
      <c r="H74" s="10">
        <v>45260</v>
      </c>
      <c r="I74" s="9" t="s">
        <v>23</v>
      </c>
      <c r="J74" s="9" t="s">
        <v>24</v>
      </c>
      <c r="K74" s="9" t="s">
        <v>25</v>
      </c>
      <c r="L74" s="9" t="s">
        <v>26</v>
      </c>
      <c r="M74" s="11"/>
      <c r="N74" s="12"/>
      <c r="O74" s="17">
        <v>2200</v>
      </c>
      <c r="P74" s="18">
        <v>12</v>
      </c>
      <c r="Q74" s="19"/>
      <c r="R74" s="20"/>
      <c r="S74" s="20">
        <f t="shared" si="2"/>
        <v>2200</v>
      </c>
      <c r="T74" s="20"/>
      <c r="U74" s="20"/>
      <c r="V74" s="20"/>
    </row>
    <row r="75" spans="1:22" ht="14.4" x14ac:dyDescent="0.3">
      <c r="A75" s="80">
        <v>1</v>
      </c>
      <c r="B75" s="8" t="s">
        <v>199</v>
      </c>
      <c r="C75" s="9" t="s">
        <v>321</v>
      </c>
      <c r="D75" s="9" t="s">
        <v>283</v>
      </c>
      <c r="E75" s="9" t="s">
        <v>283</v>
      </c>
      <c r="F75" s="9" t="s">
        <v>200</v>
      </c>
      <c r="G75" s="9" t="s">
        <v>42</v>
      </c>
      <c r="H75" s="10">
        <v>45322</v>
      </c>
      <c r="I75" s="9" t="s">
        <v>23</v>
      </c>
      <c r="J75" s="9" t="s">
        <v>24</v>
      </c>
      <c r="K75" s="9" t="s">
        <v>25</v>
      </c>
      <c r="L75" s="9" t="s">
        <v>26</v>
      </c>
      <c r="M75" s="11"/>
      <c r="N75" s="12"/>
      <c r="O75" s="17">
        <v>1800</v>
      </c>
      <c r="P75" s="18">
        <v>7</v>
      </c>
      <c r="Q75" s="19"/>
      <c r="R75" s="20"/>
      <c r="S75" s="20">
        <f>+O75</f>
        <v>1800</v>
      </c>
      <c r="T75" s="20"/>
      <c r="U75" s="20"/>
      <c r="V75" s="20"/>
    </row>
    <row r="76" spans="1:22" ht="14.4" x14ac:dyDescent="0.3">
      <c r="A76" s="80">
        <v>1</v>
      </c>
      <c r="B76" s="8" t="s">
        <v>201</v>
      </c>
      <c r="C76" s="9" t="s">
        <v>202</v>
      </c>
      <c r="D76" s="9" t="s">
        <v>292</v>
      </c>
      <c r="E76" s="9" t="s">
        <v>292</v>
      </c>
      <c r="F76" s="9" t="s">
        <v>203</v>
      </c>
      <c r="G76" s="9" t="s">
        <v>42</v>
      </c>
      <c r="H76" s="10">
        <v>45322</v>
      </c>
      <c r="I76" s="9" t="s">
        <v>23</v>
      </c>
      <c r="J76" s="9" t="s">
        <v>24</v>
      </c>
      <c r="K76" s="9" t="s">
        <v>25</v>
      </c>
      <c r="L76" s="9" t="s">
        <v>26</v>
      </c>
      <c r="M76" s="11"/>
      <c r="N76" s="12"/>
      <c r="O76" s="17">
        <v>2600</v>
      </c>
      <c r="P76" s="18">
        <v>8</v>
      </c>
      <c r="Q76" s="19"/>
      <c r="R76" s="20"/>
      <c r="S76" s="20">
        <f t="shared" si="2"/>
        <v>2600</v>
      </c>
      <c r="T76" s="20"/>
      <c r="U76" s="20"/>
      <c r="V76" s="20"/>
    </row>
    <row r="77" spans="1:22" ht="15.75" customHeight="1" x14ac:dyDescent="0.3">
      <c r="A77" s="80">
        <v>1</v>
      </c>
      <c r="B77" s="8" t="s">
        <v>204</v>
      </c>
      <c r="C77" s="9" t="s">
        <v>205</v>
      </c>
      <c r="D77" s="9" t="s">
        <v>309</v>
      </c>
      <c r="E77" s="9" t="s">
        <v>297</v>
      </c>
      <c r="F77" s="9" t="s">
        <v>206</v>
      </c>
      <c r="G77" s="9" t="s">
        <v>42</v>
      </c>
      <c r="H77" s="10">
        <v>45138</v>
      </c>
      <c r="I77" s="9" t="s">
        <v>23</v>
      </c>
      <c r="J77" s="9" t="s">
        <v>24</v>
      </c>
      <c r="K77" s="9" t="s">
        <v>25</v>
      </c>
      <c r="L77" s="9" t="s">
        <v>26</v>
      </c>
      <c r="O77" s="40">
        <v>3000</v>
      </c>
      <c r="P77" s="18">
        <f>19.65-6.5</f>
        <v>13.149999999999999</v>
      </c>
      <c r="Q77" s="41"/>
      <c r="R77" s="42"/>
      <c r="S77" s="42">
        <f t="shared" si="2"/>
        <v>3000</v>
      </c>
      <c r="T77" s="42"/>
      <c r="U77" s="42"/>
      <c r="V77" s="42"/>
    </row>
    <row r="78" spans="1:22" ht="14.4" x14ac:dyDescent="0.3">
      <c r="A78" s="80">
        <v>1</v>
      </c>
      <c r="B78" s="8" t="s">
        <v>207</v>
      </c>
      <c r="C78" s="9" t="s">
        <v>208</v>
      </c>
      <c r="D78" s="9" t="s">
        <v>309</v>
      </c>
      <c r="E78" s="9" t="s">
        <v>297</v>
      </c>
      <c r="F78" s="9" t="s">
        <v>209</v>
      </c>
      <c r="G78" s="9" t="s">
        <v>42</v>
      </c>
      <c r="H78" s="10">
        <v>45169</v>
      </c>
      <c r="I78" s="9" t="s">
        <v>23</v>
      </c>
      <c r="J78" s="9" t="s">
        <v>24</v>
      </c>
      <c r="K78" s="9" t="s">
        <v>25</v>
      </c>
      <c r="L78" s="9" t="s">
        <v>26</v>
      </c>
      <c r="O78" s="40">
        <v>5000</v>
      </c>
      <c r="P78" s="18">
        <f>5.5-3</f>
        <v>2.5</v>
      </c>
      <c r="Q78" s="41"/>
      <c r="R78" s="42"/>
      <c r="S78" s="42">
        <f t="shared" si="2"/>
        <v>5000</v>
      </c>
      <c r="T78" s="42"/>
      <c r="U78" s="42"/>
      <c r="V78" s="42"/>
    </row>
    <row r="79" spans="1:22" ht="14.4" x14ac:dyDescent="0.3">
      <c r="A79" s="80">
        <v>1</v>
      </c>
      <c r="B79" s="8" t="s">
        <v>210</v>
      </c>
      <c r="C79" s="9" t="s">
        <v>210</v>
      </c>
      <c r="D79" s="9" t="s">
        <v>287</v>
      </c>
      <c r="E79" s="9" t="s">
        <v>310</v>
      </c>
      <c r="F79" s="9" t="s">
        <v>211</v>
      </c>
      <c r="G79" s="9" t="s">
        <v>22</v>
      </c>
      <c r="H79" s="10">
        <v>45169</v>
      </c>
      <c r="I79" s="9" t="s">
        <v>23</v>
      </c>
      <c r="J79" s="9" t="s">
        <v>24</v>
      </c>
      <c r="K79" s="9" t="s">
        <v>25</v>
      </c>
      <c r="L79" s="9" t="s">
        <v>26</v>
      </c>
      <c r="M79" s="11"/>
      <c r="N79" s="12"/>
      <c r="O79" s="17">
        <v>2000</v>
      </c>
      <c r="P79" s="18">
        <v>30.15</v>
      </c>
      <c r="Q79" s="19"/>
      <c r="R79" s="20"/>
      <c r="S79" s="20">
        <f t="shared" si="2"/>
        <v>2000</v>
      </c>
      <c r="T79" s="20"/>
      <c r="U79" s="20"/>
      <c r="V79" s="20"/>
    </row>
    <row r="80" spans="1:22" ht="14.4" x14ac:dyDescent="0.3">
      <c r="A80" s="80">
        <v>1</v>
      </c>
      <c r="B80" s="8" t="s">
        <v>212</v>
      </c>
      <c r="C80" s="9" t="s">
        <v>213</v>
      </c>
      <c r="D80" s="9" t="s">
        <v>290</v>
      </c>
      <c r="E80" s="9" t="s">
        <v>311</v>
      </c>
      <c r="F80" s="9" t="s">
        <v>214</v>
      </c>
      <c r="G80" s="9" t="s">
        <v>42</v>
      </c>
      <c r="H80" s="10">
        <v>45291</v>
      </c>
      <c r="I80" s="9" t="s">
        <v>23</v>
      </c>
      <c r="J80" s="9" t="s">
        <v>24</v>
      </c>
      <c r="K80" s="9" t="s">
        <v>25</v>
      </c>
      <c r="L80" s="9" t="s">
        <v>26</v>
      </c>
      <c r="M80" s="11"/>
      <c r="N80" s="12"/>
      <c r="O80" s="17">
        <v>1200</v>
      </c>
      <c r="P80" s="18">
        <v>5</v>
      </c>
      <c r="Q80" s="19"/>
      <c r="R80" s="20"/>
      <c r="S80" s="20">
        <f t="shared" si="2"/>
        <v>1200</v>
      </c>
      <c r="T80" s="20"/>
      <c r="U80" s="20"/>
      <c r="V80" s="20"/>
    </row>
    <row r="81" spans="1:22" ht="14.4" x14ac:dyDescent="0.3">
      <c r="A81" s="80">
        <v>1</v>
      </c>
      <c r="B81" s="8" t="s">
        <v>215</v>
      </c>
      <c r="C81" s="9" t="s">
        <v>313</v>
      </c>
      <c r="D81" s="9" t="s">
        <v>286</v>
      </c>
      <c r="E81" s="9" t="s">
        <v>285</v>
      </c>
      <c r="F81" s="9" t="s">
        <v>216</v>
      </c>
      <c r="G81" s="9" t="s">
        <v>42</v>
      </c>
      <c r="H81" s="10">
        <v>45291</v>
      </c>
      <c r="I81" s="9" t="s">
        <v>23</v>
      </c>
      <c r="J81" s="9" t="s">
        <v>24</v>
      </c>
      <c r="K81" s="9" t="s">
        <v>25</v>
      </c>
      <c r="L81" s="9" t="s">
        <v>25</v>
      </c>
      <c r="M81" s="11"/>
      <c r="N81" s="12"/>
      <c r="O81" s="17">
        <v>1000</v>
      </c>
      <c r="P81" s="18">
        <v>5</v>
      </c>
      <c r="Q81" s="19"/>
      <c r="R81" s="20"/>
      <c r="S81" s="20">
        <f t="shared" si="2"/>
        <v>1000</v>
      </c>
      <c r="T81" s="20"/>
      <c r="U81" s="20"/>
      <c r="V81" s="20"/>
    </row>
    <row r="82" spans="1:22" ht="14.4" x14ac:dyDescent="0.3">
      <c r="A82" s="80">
        <v>1</v>
      </c>
      <c r="B82" s="8" t="s">
        <v>217</v>
      </c>
      <c r="C82" s="9" t="s">
        <v>218</v>
      </c>
      <c r="D82" s="9" t="s">
        <v>286</v>
      </c>
      <c r="E82" s="9" t="s">
        <v>285</v>
      </c>
      <c r="F82" s="9" t="s">
        <v>216</v>
      </c>
      <c r="G82" s="9" t="s">
        <v>42</v>
      </c>
      <c r="H82" s="10">
        <v>45291</v>
      </c>
      <c r="I82" s="9" t="s">
        <v>23</v>
      </c>
      <c r="J82" s="9" t="s">
        <v>24</v>
      </c>
      <c r="K82" s="9" t="s">
        <v>25</v>
      </c>
      <c r="L82" s="9" t="s">
        <v>25</v>
      </c>
      <c r="M82" s="11"/>
      <c r="N82" s="12"/>
      <c r="O82" s="17">
        <v>1000</v>
      </c>
      <c r="P82" s="18">
        <v>5</v>
      </c>
      <c r="Q82" s="19"/>
      <c r="R82" s="20"/>
      <c r="S82" s="20">
        <f t="shared" si="2"/>
        <v>1000</v>
      </c>
      <c r="T82" s="20"/>
      <c r="U82" s="20"/>
      <c r="V82" s="20"/>
    </row>
    <row r="83" spans="1:22" ht="14.4" x14ac:dyDescent="0.3">
      <c r="A83" s="80">
        <v>1</v>
      </c>
      <c r="B83" s="8" t="s">
        <v>219</v>
      </c>
      <c r="C83" s="9" t="s">
        <v>220</v>
      </c>
      <c r="D83" s="9" t="s">
        <v>286</v>
      </c>
      <c r="E83" s="9" t="s">
        <v>285</v>
      </c>
      <c r="F83" s="9" t="s">
        <v>216</v>
      </c>
      <c r="G83" s="9" t="s">
        <v>42</v>
      </c>
      <c r="H83" s="10">
        <v>45291</v>
      </c>
      <c r="I83" s="9" t="s">
        <v>23</v>
      </c>
      <c r="J83" s="9" t="s">
        <v>24</v>
      </c>
      <c r="K83" s="9" t="s">
        <v>25</v>
      </c>
      <c r="L83" s="9" t="s">
        <v>25</v>
      </c>
      <c r="M83" s="11"/>
      <c r="N83" s="12"/>
      <c r="O83" s="17">
        <v>1000</v>
      </c>
      <c r="P83" s="18">
        <v>5</v>
      </c>
      <c r="Q83" s="19"/>
      <c r="R83" s="20"/>
      <c r="S83" s="20">
        <f t="shared" si="2"/>
        <v>1000</v>
      </c>
      <c r="T83" s="20"/>
      <c r="U83" s="20"/>
      <c r="V83" s="20"/>
    </row>
    <row r="84" spans="1:22" ht="14.4" x14ac:dyDescent="0.3">
      <c r="A84" s="80">
        <v>1</v>
      </c>
      <c r="B84" s="8" t="s">
        <v>222</v>
      </c>
      <c r="C84" s="9" t="s">
        <v>223</v>
      </c>
      <c r="D84" s="9" t="s">
        <v>292</v>
      </c>
      <c r="E84" s="9" t="s">
        <v>292</v>
      </c>
      <c r="F84" s="9" t="s">
        <v>224</v>
      </c>
      <c r="G84" s="9" t="s">
        <v>42</v>
      </c>
      <c r="H84" s="10">
        <v>45291</v>
      </c>
      <c r="I84" s="9" t="s">
        <v>23</v>
      </c>
      <c r="J84" s="9" t="s">
        <v>24</v>
      </c>
      <c r="K84" s="9" t="s">
        <v>25</v>
      </c>
      <c r="L84" s="9" t="s">
        <v>25</v>
      </c>
      <c r="M84" s="11"/>
      <c r="N84" s="12"/>
      <c r="O84" s="17">
        <v>1600</v>
      </c>
      <c r="P84" s="18">
        <v>7</v>
      </c>
      <c r="Q84" s="19"/>
      <c r="R84" s="20"/>
      <c r="S84" s="20">
        <f t="shared" si="2"/>
        <v>1600</v>
      </c>
      <c r="T84" s="20"/>
      <c r="U84" s="20"/>
      <c r="V84" s="20"/>
    </row>
    <row r="85" spans="1:22" ht="14.4" x14ac:dyDescent="0.3">
      <c r="A85" s="80">
        <v>1</v>
      </c>
      <c r="B85" s="8" t="s">
        <v>225</v>
      </c>
      <c r="C85" s="9" t="s">
        <v>226</v>
      </c>
      <c r="D85" s="9" t="s">
        <v>300</v>
      </c>
      <c r="E85" s="9" t="s">
        <v>301</v>
      </c>
      <c r="F85" s="9" t="s">
        <v>227</v>
      </c>
      <c r="G85" s="9" t="s">
        <v>42</v>
      </c>
      <c r="H85" s="10">
        <v>45107</v>
      </c>
      <c r="I85" s="9" t="s">
        <v>23</v>
      </c>
      <c r="J85" s="9" t="s">
        <v>24</v>
      </c>
      <c r="K85" s="9" t="s">
        <v>25</v>
      </c>
      <c r="L85" s="9" t="s">
        <v>25</v>
      </c>
      <c r="M85" s="11"/>
      <c r="N85" s="12"/>
      <c r="O85" s="17">
        <v>1000</v>
      </c>
      <c r="P85" s="18">
        <v>6</v>
      </c>
      <c r="Q85" s="19"/>
      <c r="R85" s="20"/>
      <c r="S85" s="20">
        <f t="shared" si="2"/>
        <v>1000</v>
      </c>
      <c r="T85" s="20"/>
      <c r="U85" s="20"/>
      <c r="V85" s="20"/>
    </row>
    <row r="86" spans="1:22" ht="14.4" x14ac:dyDescent="0.3">
      <c r="A86" s="80">
        <v>1</v>
      </c>
      <c r="B86" s="8" t="s">
        <v>228</v>
      </c>
      <c r="C86" s="9" t="s">
        <v>229</v>
      </c>
      <c r="D86" s="9" t="s">
        <v>300</v>
      </c>
      <c r="E86" s="9" t="s">
        <v>301</v>
      </c>
      <c r="F86" s="9" t="s">
        <v>230</v>
      </c>
      <c r="G86" s="9" t="s">
        <v>42</v>
      </c>
      <c r="H86" s="10">
        <v>45077</v>
      </c>
      <c r="I86" s="9" t="s">
        <v>23</v>
      </c>
      <c r="J86" s="9" t="s">
        <v>24</v>
      </c>
      <c r="K86" s="9" t="s">
        <v>25</v>
      </c>
      <c r="L86" s="9" t="s">
        <v>25</v>
      </c>
      <c r="M86" s="11"/>
      <c r="N86" s="12"/>
      <c r="O86" s="17">
        <v>1000</v>
      </c>
      <c r="P86" s="18">
        <v>6</v>
      </c>
      <c r="Q86" s="19"/>
      <c r="R86" s="20"/>
      <c r="S86" s="20">
        <f t="shared" si="2"/>
        <v>1000</v>
      </c>
      <c r="T86" s="20"/>
      <c r="U86" s="20"/>
      <c r="V86" s="20"/>
    </row>
    <row r="87" spans="1:22" ht="14.4" x14ac:dyDescent="0.3">
      <c r="A87" s="80">
        <v>1</v>
      </c>
      <c r="B87" s="8" t="s">
        <v>231</v>
      </c>
      <c r="C87" s="9" t="s">
        <v>232</v>
      </c>
      <c r="D87" s="9" t="s">
        <v>300</v>
      </c>
      <c r="E87" s="9" t="s">
        <v>301</v>
      </c>
      <c r="F87" s="9" t="s">
        <v>200</v>
      </c>
      <c r="G87" s="9" t="s">
        <v>42</v>
      </c>
      <c r="H87" s="10">
        <v>44926</v>
      </c>
      <c r="I87" s="9" t="s">
        <v>23</v>
      </c>
      <c r="J87" s="9" t="s">
        <v>24</v>
      </c>
      <c r="K87" s="9" t="s">
        <v>25</v>
      </c>
      <c r="L87" s="9" t="s">
        <v>25</v>
      </c>
      <c r="M87" s="11"/>
      <c r="N87" s="12"/>
      <c r="O87" s="17">
        <v>1200</v>
      </c>
      <c r="P87" s="18">
        <v>6</v>
      </c>
      <c r="Q87" s="19"/>
      <c r="R87" s="20"/>
      <c r="S87" s="20">
        <f t="shared" si="2"/>
        <v>1200</v>
      </c>
      <c r="T87" s="20"/>
      <c r="U87" s="20"/>
      <c r="V87" s="20"/>
    </row>
    <row r="88" spans="1:22" ht="14.4" x14ac:dyDescent="0.3">
      <c r="A88" s="80">
        <v>1</v>
      </c>
      <c r="B88" s="8" t="s">
        <v>236</v>
      </c>
      <c r="C88" s="9" t="s">
        <v>322</v>
      </c>
      <c r="D88" s="9" t="s">
        <v>300</v>
      </c>
      <c r="E88" s="9" t="s">
        <v>301</v>
      </c>
      <c r="F88" s="9" t="s">
        <v>237</v>
      </c>
      <c r="G88" s="9" t="s">
        <v>42</v>
      </c>
      <c r="H88" s="10">
        <v>44926</v>
      </c>
      <c r="I88" s="9" t="s">
        <v>23</v>
      </c>
      <c r="J88" s="9" t="s">
        <v>24</v>
      </c>
      <c r="K88" s="9" t="s">
        <v>25</v>
      </c>
      <c r="L88" s="9" t="s">
        <v>25</v>
      </c>
      <c r="M88" s="11"/>
      <c r="N88" s="12"/>
      <c r="O88" s="17">
        <v>1200</v>
      </c>
      <c r="P88" s="18">
        <v>5</v>
      </c>
      <c r="Q88" s="19"/>
      <c r="R88" s="20"/>
      <c r="S88" s="20">
        <f t="shared" si="2"/>
        <v>1200</v>
      </c>
      <c r="T88" s="20"/>
      <c r="U88" s="20"/>
      <c r="V88" s="20"/>
    </row>
    <row r="89" spans="1:22" ht="14.4" x14ac:dyDescent="0.3">
      <c r="A89" s="80">
        <v>1</v>
      </c>
      <c r="B89" s="8" t="s">
        <v>238</v>
      </c>
      <c r="C89" s="9" t="s">
        <v>239</v>
      </c>
      <c r="D89" s="9" t="s">
        <v>312</v>
      </c>
      <c r="E89" s="9" t="s">
        <v>297</v>
      </c>
      <c r="F89" s="9" t="s">
        <v>240</v>
      </c>
      <c r="G89" s="9" t="s">
        <v>42</v>
      </c>
      <c r="H89" s="10" t="s">
        <v>325</v>
      </c>
      <c r="I89" s="9" t="s">
        <v>23</v>
      </c>
      <c r="J89" s="9" t="s">
        <v>24</v>
      </c>
      <c r="K89" s="9" t="s">
        <v>25</v>
      </c>
      <c r="L89" s="9" t="s">
        <v>25</v>
      </c>
      <c r="M89" s="11"/>
      <c r="N89" s="12"/>
      <c r="O89" s="17">
        <v>1500</v>
      </c>
      <c r="P89" s="18">
        <v>5</v>
      </c>
      <c r="Q89" s="19"/>
      <c r="R89" s="20"/>
      <c r="S89" s="20">
        <f t="shared" si="2"/>
        <v>1500</v>
      </c>
      <c r="T89" s="20"/>
      <c r="U89" s="20"/>
      <c r="V89" s="20"/>
    </row>
    <row r="90" spans="1:22" ht="14.4" x14ac:dyDescent="0.3">
      <c r="A90" s="80">
        <v>1</v>
      </c>
      <c r="B90" s="8" t="s">
        <v>241</v>
      </c>
      <c r="C90" s="9" t="s">
        <v>242</v>
      </c>
      <c r="D90" s="9" t="s">
        <v>287</v>
      </c>
      <c r="E90" s="9" t="s">
        <v>310</v>
      </c>
      <c r="F90" s="9" t="s">
        <v>243</v>
      </c>
      <c r="G90" s="9" t="s">
        <v>22</v>
      </c>
      <c r="H90" s="10">
        <v>45016</v>
      </c>
      <c r="I90" s="9" t="s">
        <v>23</v>
      </c>
      <c r="J90" s="9" t="s">
        <v>24</v>
      </c>
      <c r="K90" s="9" t="s">
        <v>25</v>
      </c>
      <c r="L90" s="9" t="s">
        <v>26</v>
      </c>
      <c r="M90" s="11"/>
      <c r="N90" s="12"/>
      <c r="O90" s="29">
        <v>1600</v>
      </c>
      <c r="P90" s="18">
        <v>3</v>
      </c>
      <c r="Q90" s="19"/>
      <c r="R90" s="20"/>
      <c r="S90" s="20">
        <f>+O90</f>
        <v>1600</v>
      </c>
      <c r="T90" s="20"/>
      <c r="U90" s="20"/>
      <c r="V90" s="20"/>
    </row>
    <row r="91" spans="1:22" ht="27" x14ac:dyDescent="0.3">
      <c r="A91" s="80">
        <v>1</v>
      </c>
      <c r="B91" s="8" t="s">
        <v>328</v>
      </c>
      <c r="C91" s="9" t="s">
        <v>141</v>
      </c>
      <c r="D91" s="9" t="s">
        <v>291</v>
      </c>
      <c r="E91" s="9" t="s">
        <v>292</v>
      </c>
      <c r="F91" s="9" t="s">
        <v>139</v>
      </c>
      <c r="G91" s="9" t="s">
        <v>42</v>
      </c>
      <c r="H91" s="10">
        <v>45291</v>
      </c>
      <c r="I91" s="9" t="s">
        <v>23</v>
      </c>
      <c r="J91" s="9" t="s">
        <v>24</v>
      </c>
      <c r="K91" s="9" t="s">
        <v>25</v>
      </c>
      <c r="L91" s="9" t="s">
        <v>26</v>
      </c>
      <c r="M91" s="11"/>
      <c r="N91" s="12"/>
      <c r="O91" s="29">
        <v>1800</v>
      </c>
      <c r="P91" s="18">
        <v>5</v>
      </c>
      <c r="Q91" s="19"/>
      <c r="R91" s="20"/>
      <c r="S91" s="20">
        <f>+O91</f>
        <v>1800</v>
      </c>
      <c r="T91" s="20"/>
      <c r="U91" s="20"/>
      <c r="V91" s="20"/>
    </row>
    <row r="92" spans="1:22" ht="14.4" x14ac:dyDescent="0.3">
      <c r="A92" s="80">
        <v>1</v>
      </c>
      <c r="B92" s="8" t="s">
        <v>336</v>
      </c>
      <c r="C92" s="9" t="s">
        <v>337</v>
      </c>
      <c r="D92" s="9" t="s">
        <v>290</v>
      </c>
      <c r="E92" s="9" t="s">
        <v>297</v>
      </c>
      <c r="F92" s="9" t="s">
        <v>338</v>
      </c>
      <c r="G92" s="9" t="s">
        <v>42</v>
      </c>
      <c r="H92" s="10">
        <v>45291</v>
      </c>
      <c r="I92" s="9" t="s">
        <v>339</v>
      </c>
      <c r="J92" s="9" t="s">
        <v>24</v>
      </c>
      <c r="K92" s="9" t="s">
        <v>25</v>
      </c>
      <c r="L92" s="9" t="s">
        <v>25</v>
      </c>
      <c r="M92" s="11"/>
      <c r="N92" s="12"/>
      <c r="O92" s="29">
        <v>1800</v>
      </c>
      <c r="P92" s="18">
        <v>6</v>
      </c>
      <c r="Q92" s="19"/>
      <c r="R92" s="20"/>
      <c r="S92" s="20">
        <f>+O92</f>
        <v>1800</v>
      </c>
      <c r="T92" s="20"/>
      <c r="U92" s="20"/>
      <c r="V92" s="20"/>
    </row>
    <row r="93" spans="1:22" ht="14.4" x14ac:dyDescent="0.3">
      <c r="A93" s="80">
        <v>1</v>
      </c>
      <c r="B93" s="8" t="s">
        <v>340</v>
      </c>
      <c r="C93" s="9" t="s">
        <v>341</v>
      </c>
      <c r="D93" s="9" t="s">
        <v>290</v>
      </c>
      <c r="E93" s="9" t="s">
        <v>297</v>
      </c>
      <c r="F93" s="9" t="s">
        <v>342</v>
      </c>
      <c r="G93" s="9" t="s">
        <v>42</v>
      </c>
      <c r="H93" s="10">
        <v>45291</v>
      </c>
      <c r="I93" s="9" t="s">
        <v>23</v>
      </c>
      <c r="J93" s="9" t="s">
        <v>24</v>
      </c>
      <c r="K93" s="9" t="s">
        <v>25</v>
      </c>
      <c r="L93" s="9" t="s">
        <v>25</v>
      </c>
      <c r="M93" s="11"/>
      <c r="N93" s="12"/>
      <c r="O93" s="29">
        <v>1500</v>
      </c>
      <c r="P93" s="18">
        <v>4</v>
      </c>
      <c r="Q93" s="19"/>
      <c r="R93" s="20"/>
      <c r="S93" s="20">
        <f>+O93</f>
        <v>1500</v>
      </c>
      <c r="T93" s="20"/>
      <c r="U93" s="20"/>
      <c r="V93" s="20"/>
    </row>
    <row r="94" spans="1:22" ht="14.4" x14ac:dyDescent="0.3">
      <c r="C94" s="9" t="s">
        <v>52</v>
      </c>
      <c r="D94" s="9" t="s">
        <v>287</v>
      </c>
      <c r="E94" s="9" t="s">
        <v>310</v>
      </c>
      <c r="F94" s="9" t="s">
        <v>354</v>
      </c>
      <c r="G94" s="9" t="s">
        <v>42</v>
      </c>
      <c r="H94" s="10">
        <v>45382</v>
      </c>
      <c r="I94" s="9" t="s">
        <v>23</v>
      </c>
      <c r="J94" s="9" t="s">
        <v>24</v>
      </c>
      <c r="K94" s="9" t="s">
        <v>25</v>
      </c>
      <c r="L94" s="9" t="s">
        <v>26</v>
      </c>
      <c r="M94" s="11"/>
      <c r="N94" s="12"/>
      <c r="O94" s="29">
        <v>1800</v>
      </c>
      <c r="P94" s="18">
        <v>6</v>
      </c>
      <c r="Q94" s="19"/>
      <c r="R94" s="20"/>
      <c r="S94" s="20">
        <f>+O94</f>
        <v>1800</v>
      </c>
      <c r="T94" s="20"/>
      <c r="U94" s="20"/>
      <c r="V94" s="20"/>
    </row>
    <row r="95" spans="1:22" ht="14.4" x14ac:dyDescent="0.3">
      <c r="C95" s="9" t="s">
        <v>355</v>
      </c>
      <c r="D95" s="9" t="s">
        <v>356</v>
      </c>
      <c r="E95" s="9" t="s">
        <v>297</v>
      </c>
      <c r="F95" s="9" t="s">
        <v>357</v>
      </c>
      <c r="G95" s="9" t="s">
        <v>42</v>
      </c>
      <c r="H95" s="10" t="s">
        <v>358</v>
      </c>
      <c r="I95" s="9" t="s">
        <v>359</v>
      </c>
      <c r="J95" s="9" t="s">
        <v>24</v>
      </c>
      <c r="K95" s="9" t="s">
        <v>25</v>
      </c>
      <c r="L95" s="9" t="s">
        <v>26</v>
      </c>
      <c r="M95" s="11"/>
      <c r="N95" s="12"/>
      <c r="O95" s="29">
        <v>1600</v>
      </c>
      <c r="P95" s="18">
        <v>5</v>
      </c>
      <c r="Q95" s="19"/>
      <c r="R95" s="20"/>
      <c r="S95" s="20">
        <f>+O95</f>
        <v>1600</v>
      </c>
      <c r="T95" s="20"/>
      <c r="U95" s="20"/>
      <c r="V95" s="20"/>
    </row>
    <row r="96" spans="1:22" ht="14.4" x14ac:dyDescent="0.3">
      <c r="M96" s="11"/>
      <c r="N96" s="12"/>
      <c r="O96" s="17"/>
      <c r="P96" s="18"/>
      <c r="Q96" s="19"/>
      <c r="R96" s="20"/>
      <c r="S96" s="20"/>
      <c r="T96" s="20"/>
      <c r="U96" s="20"/>
      <c r="V96" s="20"/>
    </row>
    <row r="97" spans="1:22" x14ac:dyDescent="0.25">
      <c r="A97" s="89"/>
      <c r="M97" s="11"/>
      <c r="N97" s="12"/>
      <c r="O97" s="32"/>
      <c r="P97" s="33"/>
      <c r="Q97" s="34"/>
      <c r="R97" s="34"/>
      <c r="S97" s="34"/>
      <c r="T97" s="34"/>
      <c r="U97" s="34"/>
      <c r="V97" s="34"/>
    </row>
    <row r="98" spans="1:22" x14ac:dyDescent="0.25">
      <c r="A98" s="80">
        <f>SUM(A58:A97)</f>
        <v>36</v>
      </c>
      <c r="M98" s="11"/>
      <c r="N98" s="35">
        <f>+O98/$O$134</f>
        <v>0.18460093621142531</v>
      </c>
      <c r="O98" s="36">
        <f t="shared" ref="O98:V98" si="3">SUM(O58:O97)</f>
        <v>62900</v>
      </c>
      <c r="P98" s="18">
        <f t="shared" si="3"/>
        <v>303.8</v>
      </c>
      <c r="Q98" s="19">
        <f t="shared" si="3"/>
        <v>0</v>
      </c>
      <c r="R98" s="19">
        <f t="shared" si="3"/>
        <v>0</v>
      </c>
      <c r="S98" s="19">
        <f t="shared" si="3"/>
        <v>62900</v>
      </c>
      <c r="T98" s="19">
        <f t="shared" si="3"/>
        <v>0</v>
      </c>
      <c r="U98" s="19">
        <f t="shared" si="3"/>
        <v>0</v>
      </c>
      <c r="V98" s="19">
        <f t="shared" si="3"/>
        <v>0</v>
      </c>
    </row>
    <row r="99" spans="1:22" ht="14.4" x14ac:dyDescent="0.3">
      <c r="L99" s="60"/>
      <c r="M99" s="11"/>
      <c r="N99" s="84" t="s">
        <v>347</v>
      </c>
      <c r="O99" s="17"/>
      <c r="P99" s="18">
        <f>+O98/P98</f>
        <v>207.04410796576695</v>
      </c>
      <c r="Q99" s="19"/>
      <c r="R99" s="20"/>
      <c r="S99" s="20"/>
      <c r="T99" s="20"/>
      <c r="U99" s="20"/>
      <c r="V99" s="20"/>
    </row>
    <row r="100" spans="1:22" ht="14.4" x14ac:dyDescent="0.3">
      <c r="M100" s="11"/>
      <c r="N100" s="12"/>
      <c r="O100" s="17"/>
      <c r="P100" s="18"/>
      <c r="Q100" s="19"/>
      <c r="R100" s="20"/>
      <c r="S100" s="20"/>
      <c r="T100" s="20"/>
      <c r="U100" s="20"/>
      <c r="V100" s="20"/>
    </row>
    <row r="101" spans="1:22" ht="14.4" x14ac:dyDescent="0.3">
      <c r="B101" s="16" t="s">
        <v>264</v>
      </c>
      <c r="C101" s="16" t="s">
        <v>264</v>
      </c>
      <c r="D101" s="16"/>
      <c r="E101" s="16"/>
      <c r="M101" s="11"/>
      <c r="N101" s="12"/>
      <c r="O101" s="17"/>
      <c r="P101" s="18"/>
      <c r="Q101" s="19"/>
      <c r="R101" s="20"/>
      <c r="S101" s="20"/>
      <c r="T101" s="20"/>
      <c r="U101" s="20"/>
      <c r="V101" s="20"/>
    </row>
    <row r="102" spans="1:22" ht="14.4" x14ac:dyDescent="0.3">
      <c r="A102" s="80">
        <v>1</v>
      </c>
      <c r="B102" s="8" t="s">
        <v>244</v>
      </c>
      <c r="C102" s="9" t="s">
        <v>245</v>
      </c>
      <c r="D102" s="9" t="s">
        <v>287</v>
      </c>
      <c r="E102" s="9" t="s">
        <v>289</v>
      </c>
      <c r="F102" s="9" t="s">
        <v>324</v>
      </c>
      <c r="G102" s="9" t="s">
        <v>246</v>
      </c>
      <c r="H102" s="10">
        <v>45291</v>
      </c>
      <c r="I102" s="9" t="s">
        <v>246</v>
      </c>
      <c r="J102" s="9" t="s">
        <v>24</v>
      </c>
      <c r="K102" s="9" t="s">
        <v>25</v>
      </c>
      <c r="L102" s="9" t="s">
        <v>26</v>
      </c>
      <c r="M102" s="11"/>
      <c r="N102" s="12"/>
      <c r="O102" s="17">
        <v>325</v>
      </c>
      <c r="P102" s="18">
        <v>2</v>
      </c>
      <c r="Q102" s="19"/>
      <c r="R102" s="20"/>
      <c r="S102" s="20"/>
      <c r="T102" s="20"/>
      <c r="U102" s="20">
        <f>+O102</f>
        <v>325</v>
      </c>
      <c r="V102" s="20"/>
    </row>
    <row r="103" spans="1:22" ht="14.4" x14ac:dyDescent="0.3">
      <c r="A103" s="80">
        <v>1</v>
      </c>
      <c r="B103" s="8" t="s">
        <v>247</v>
      </c>
      <c r="C103" s="9" t="s">
        <v>239</v>
      </c>
      <c r="D103" s="9" t="s">
        <v>312</v>
      </c>
      <c r="E103" s="9" t="s">
        <v>297</v>
      </c>
      <c r="F103" s="9" t="s">
        <v>324</v>
      </c>
      <c r="G103" s="9" t="s">
        <v>246</v>
      </c>
      <c r="H103" s="10">
        <v>45291</v>
      </c>
      <c r="I103" s="9" t="s">
        <v>246</v>
      </c>
      <c r="J103" s="9" t="s">
        <v>24</v>
      </c>
      <c r="K103" s="9" t="s">
        <v>25</v>
      </c>
      <c r="L103" s="9" t="s">
        <v>26</v>
      </c>
      <c r="O103" s="40">
        <v>275</v>
      </c>
      <c r="P103" s="18">
        <v>1</v>
      </c>
      <c r="Q103" s="41"/>
      <c r="R103" s="42"/>
      <c r="S103" s="42"/>
      <c r="T103" s="42"/>
      <c r="U103" s="42">
        <f t="shared" ref="U103:U106" si="4">+O103</f>
        <v>275</v>
      </c>
      <c r="V103" s="42"/>
    </row>
    <row r="104" spans="1:22" ht="14.4" x14ac:dyDescent="0.3">
      <c r="A104" s="80">
        <v>1</v>
      </c>
      <c r="B104" s="8" t="s">
        <v>248</v>
      </c>
      <c r="C104" s="9" t="s">
        <v>245</v>
      </c>
      <c r="D104" s="9" t="s">
        <v>312</v>
      </c>
      <c r="E104" s="9" t="s">
        <v>297</v>
      </c>
      <c r="F104" s="9" t="s">
        <v>324</v>
      </c>
      <c r="G104" s="9" t="s">
        <v>246</v>
      </c>
      <c r="H104" s="10">
        <v>45291</v>
      </c>
      <c r="I104" s="9" t="s">
        <v>246</v>
      </c>
      <c r="J104" s="9" t="s">
        <v>24</v>
      </c>
      <c r="K104" s="9" t="s">
        <v>25</v>
      </c>
      <c r="L104" s="9" t="s">
        <v>26</v>
      </c>
      <c r="M104" s="11"/>
      <c r="N104" s="12"/>
      <c r="O104" s="17">
        <v>300</v>
      </c>
      <c r="P104" s="18">
        <v>2</v>
      </c>
      <c r="Q104" s="19"/>
      <c r="R104" s="20"/>
      <c r="S104" s="20"/>
      <c r="T104" s="20"/>
      <c r="U104" s="20">
        <f>+O104</f>
        <v>300</v>
      </c>
      <c r="V104" s="20"/>
    </row>
    <row r="105" spans="1:22" ht="14.4" x14ac:dyDescent="0.3">
      <c r="A105" s="80">
        <v>1</v>
      </c>
      <c r="B105" s="8" t="s">
        <v>249</v>
      </c>
      <c r="C105" s="9" t="s">
        <v>245</v>
      </c>
      <c r="D105" s="9" t="s">
        <v>283</v>
      </c>
      <c r="E105" s="9" t="s">
        <v>283</v>
      </c>
      <c r="F105" s="9" t="s">
        <v>324</v>
      </c>
      <c r="G105" s="9" t="s">
        <v>246</v>
      </c>
      <c r="H105" s="10">
        <v>45291</v>
      </c>
      <c r="I105" s="9" t="s">
        <v>246</v>
      </c>
      <c r="J105" s="9" t="s">
        <v>24</v>
      </c>
      <c r="K105" s="9" t="s">
        <v>25</v>
      </c>
      <c r="L105" s="9" t="s">
        <v>26</v>
      </c>
      <c r="M105" s="11"/>
      <c r="N105" s="12"/>
      <c r="O105" s="17">
        <v>400</v>
      </c>
      <c r="P105" s="18">
        <v>2.5</v>
      </c>
      <c r="Q105" s="19"/>
      <c r="R105" s="20"/>
      <c r="S105" s="20"/>
      <c r="T105" s="20"/>
      <c r="U105" s="20">
        <f t="shared" si="4"/>
        <v>400</v>
      </c>
      <c r="V105" s="20"/>
    </row>
    <row r="106" spans="1:22" ht="14.4" x14ac:dyDescent="0.3">
      <c r="A106" s="80">
        <v>1</v>
      </c>
      <c r="B106" s="8" t="s">
        <v>250</v>
      </c>
      <c r="C106" s="9" t="s">
        <v>168</v>
      </c>
      <c r="D106" s="9" t="s">
        <v>307</v>
      </c>
      <c r="E106" s="9" t="s">
        <v>285</v>
      </c>
      <c r="F106" s="9" t="str">
        <f>+F105</f>
        <v>impôts personnel</v>
      </c>
      <c r="G106" s="9" t="s">
        <v>246</v>
      </c>
      <c r="H106" s="10">
        <v>45291</v>
      </c>
      <c r="I106" s="9" t="s">
        <v>246</v>
      </c>
      <c r="J106" s="9" t="s">
        <v>24</v>
      </c>
      <c r="K106" s="9" t="s">
        <v>25</v>
      </c>
      <c r="L106" s="9" t="s">
        <v>26</v>
      </c>
      <c r="M106" s="11"/>
      <c r="N106" s="12"/>
      <c r="O106" s="17">
        <v>475</v>
      </c>
      <c r="P106" s="18">
        <v>2.5</v>
      </c>
      <c r="Q106" s="19"/>
      <c r="R106" s="20"/>
      <c r="S106" s="20"/>
      <c r="T106" s="20"/>
      <c r="U106" s="20">
        <f t="shared" si="4"/>
        <v>475</v>
      </c>
      <c r="V106" s="20"/>
    </row>
    <row r="107" spans="1:22" ht="14.4" x14ac:dyDescent="0.3">
      <c r="A107" s="80">
        <v>1</v>
      </c>
      <c r="B107" s="8" t="s">
        <v>251</v>
      </c>
      <c r="C107" s="9" t="s">
        <v>252</v>
      </c>
      <c r="D107" s="9" t="s">
        <v>318</v>
      </c>
      <c r="E107" s="9" t="s">
        <v>285</v>
      </c>
      <c r="F107" s="9" t="s">
        <v>323</v>
      </c>
      <c r="G107" s="9" t="s">
        <v>246</v>
      </c>
      <c r="H107" s="10">
        <v>45291</v>
      </c>
      <c r="I107" s="9" t="s">
        <v>246</v>
      </c>
      <c r="J107" s="9" t="s">
        <v>24</v>
      </c>
      <c r="K107" s="9" t="s">
        <v>25</v>
      </c>
      <c r="L107" s="9" t="s">
        <v>26</v>
      </c>
      <c r="M107" s="11"/>
      <c r="N107" s="12"/>
      <c r="O107" s="17">
        <v>450</v>
      </c>
      <c r="P107" s="18">
        <v>1</v>
      </c>
      <c r="Q107" s="19"/>
      <c r="R107" s="20"/>
      <c r="S107" s="20"/>
      <c r="T107" s="20">
        <f>+O107</f>
        <v>450</v>
      </c>
      <c r="U107" s="20"/>
      <c r="V107" s="20"/>
    </row>
    <row r="108" spans="1:22" ht="14.4" x14ac:dyDescent="0.3">
      <c r="A108" s="80">
        <v>1</v>
      </c>
      <c r="B108" s="8" t="s">
        <v>253</v>
      </c>
      <c r="C108" s="9" t="s">
        <v>254</v>
      </c>
      <c r="D108" s="9" t="s">
        <v>283</v>
      </c>
      <c r="E108" s="9" t="s">
        <v>283</v>
      </c>
      <c r="F108" s="9" t="s">
        <v>255</v>
      </c>
      <c r="G108" s="9" t="s">
        <v>42</v>
      </c>
      <c r="H108" s="10">
        <v>45260</v>
      </c>
      <c r="I108" s="9" t="s">
        <v>23</v>
      </c>
      <c r="J108" s="9" t="s">
        <v>24</v>
      </c>
      <c r="K108" s="9" t="s">
        <v>25</v>
      </c>
      <c r="L108" s="9" t="s">
        <v>25</v>
      </c>
      <c r="M108" s="11"/>
      <c r="N108" s="12"/>
      <c r="O108" s="17">
        <v>450</v>
      </c>
      <c r="P108" s="18">
        <v>1</v>
      </c>
      <c r="Q108" s="19"/>
      <c r="R108" s="20"/>
      <c r="S108" s="20"/>
      <c r="T108" s="20">
        <f>+O108</f>
        <v>450</v>
      </c>
      <c r="U108" s="20"/>
      <c r="V108" s="20"/>
    </row>
    <row r="109" spans="1:22" ht="14.4" x14ac:dyDescent="0.3">
      <c r="A109" s="80">
        <v>1</v>
      </c>
      <c r="B109" s="8" t="s">
        <v>256</v>
      </c>
      <c r="C109" s="9" t="s">
        <v>165</v>
      </c>
      <c r="D109" s="9" t="s">
        <v>304</v>
      </c>
      <c r="E109" s="9" t="s">
        <v>292</v>
      </c>
      <c r="F109" s="9" t="s">
        <v>324</v>
      </c>
      <c r="G109" s="9" t="s">
        <v>246</v>
      </c>
      <c r="H109" s="10">
        <v>45291</v>
      </c>
      <c r="I109" s="9" t="s">
        <v>246</v>
      </c>
      <c r="J109" s="9" t="s">
        <v>24</v>
      </c>
      <c r="K109" s="9" t="s">
        <v>25</v>
      </c>
      <c r="L109" s="9" t="s">
        <v>26</v>
      </c>
      <c r="M109" s="11"/>
      <c r="N109" s="12"/>
      <c r="O109" s="17">
        <v>260</v>
      </c>
      <c r="P109" s="18">
        <v>1.5</v>
      </c>
      <c r="Q109" s="19"/>
      <c r="R109" s="20"/>
      <c r="S109" s="20"/>
      <c r="T109" s="20"/>
      <c r="U109" s="20">
        <f>+O109</f>
        <v>260</v>
      </c>
      <c r="V109" s="20"/>
    </row>
    <row r="110" spans="1:22" ht="14.4" x14ac:dyDescent="0.3">
      <c r="A110" s="80">
        <v>1</v>
      </c>
      <c r="B110" s="8" t="s">
        <v>257</v>
      </c>
      <c r="C110" s="9" t="s">
        <v>153</v>
      </c>
      <c r="D110" s="9" t="s">
        <v>304</v>
      </c>
      <c r="E110" s="9" t="s">
        <v>292</v>
      </c>
      <c r="F110" s="9" t="s">
        <v>324</v>
      </c>
      <c r="G110" s="9" t="s">
        <v>246</v>
      </c>
      <c r="H110" s="10">
        <v>45291</v>
      </c>
      <c r="I110" s="9" t="s">
        <v>246</v>
      </c>
      <c r="J110" s="9" t="s">
        <v>24</v>
      </c>
      <c r="K110" s="9" t="s">
        <v>25</v>
      </c>
      <c r="L110" s="9" t="s">
        <v>26</v>
      </c>
      <c r="M110" s="11"/>
      <c r="N110" s="12"/>
      <c r="O110" s="17">
        <v>500</v>
      </c>
      <c r="P110" s="18">
        <v>2.5</v>
      </c>
      <c r="Q110" s="19"/>
      <c r="R110" s="20"/>
      <c r="S110" s="20"/>
      <c r="T110" s="20"/>
      <c r="U110" s="20">
        <f>+O110</f>
        <v>500</v>
      </c>
      <c r="V110" s="20"/>
    </row>
    <row r="111" spans="1:22" ht="14.4" x14ac:dyDescent="0.3">
      <c r="A111" s="80">
        <v>1</v>
      </c>
      <c r="B111" s="8" t="s">
        <v>258</v>
      </c>
      <c r="C111" s="9" t="s">
        <v>259</v>
      </c>
      <c r="D111" s="9" t="s">
        <v>290</v>
      </c>
      <c r="E111" s="9" t="s">
        <v>297</v>
      </c>
      <c r="F111" s="9" t="s">
        <v>260</v>
      </c>
      <c r="G111" s="9" t="s">
        <v>42</v>
      </c>
      <c r="H111" s="10">
        <v>45350</v>
      </c>
      <c r="I111" s="9" t="s">
        <v>23</v>
      </c>
      <c r="J111" s="9" t="s">
        <v>24</v>
      </c>
      <c r="K111" s="9" t="s">
        <v>25</v>
      </c>
      <c r="L111" s="9" t="s">
        <v>26</v>
      </c>
      <c r="M111" s="11"/>
      <c r="N111" s="12"/>
      <c r="O111" s="17">
        <v>450</v>
      </c>
      <c r="P111" s="18">
        <v>1</v>
      </c>
      <c r="Q111" s="19"/>
      <c r="R111" s="20"/>
      <c r="S111" s="20"/>
      <c r="T111" s="20">
        <f>+O111</f>
        <v>450</v>
      </c>
      <c r="U111" s="20"/>
      <c r="V111" s="20"/>
    </row>
    <row r="112" spans="1:22" ht="14.4" x14ac:dyDescent="0.3">
      <c r="A112" s="80">
        <v>1</v>
      </c>
      <c r="B112" s="8" t="s">
        <v>265</v>
      </c>
      <c r="C112" s="9" t="s">
        <v>245</v>
      </c>
      <c r="D112" s="9" t="s">
        <v>292</v>
      </c>
      <c r="E112" s="9" t="s">
        <v>292</v>
      </c>
      <c r="F112" s="9" t="s">
        <v>324</v>
      </c>
      <c r="G112" s="9" t="s">
        <v>246</v>
      </c>
      <c r="H112" s="10">
        <v>45291</v>
      </c>
      <c r="I112" s="9" t="s">
        <v>23</v>
      </c>
      <c r="J112" s="9" t="s">
        <v>24</v>
      </c>
      <c r="K112" s="9" t="s">
        <v>25</v>
      </c>
      <c r="L112" s="9" t="s">
        <v>26</v>
      </c>
      <c r="M112" s="11"/>
      <c r="N112" s="12"/>
      <c r="O112" s="17">
        <v>200</v>
      </c>
      <c r="P112" s="18">
        <v>1</v>
      </c>
      <c r="Q112" s="19"/>
      <c r="R112" s="20"/>
      <c r="S112" s="20"/>
      <c r="T112" s="20"/>
      <c r="U112" s="20">
        <f>+O112</f>
        <v>200</v>
      </c>
      <c r="V112" s="20"/>
    </row>
    <row r="113" spans="1:22" ht="14.4" x14ac:dyDescent="0.3">
      <c r="A113" s="80">
        <v>1</v>
      </c>
      <c r="B113" s="8" t="s">
        <v>266</v>
      </c>
      <c r="C113" s="9" t="s">
        <v>245</v>
      </c>
      <c r="D113" s="9" t="s">
        <v>283</v>
      </c>
      <c r="E113" s="9" t="s">
        <v>283</v>
      </c>
      <c r="F113" s="9" t="s">
        <v>324</v>
      </c>
      <c r="G113" s="9" t="s">
        <v>246</v>
      </c>
      <c r="H113" s="10">
        <v>45291</v>
      </c>
      <c r="I113" s="9" t="s">
        <v>23</v>
      </c>
      <c r="J113" s="9" t="s">
        <v>24</v>
      </c>
      <c r="K113" s="9" t="s">
        <v>25</v>
      </c>
      <c r="L113" s="9" t="s">
        <v>26</v>
      </c>
      <c r="M113" s="11"/>
      <c r="N113" s="12"/>
      <c r="O113" s="17">
        <v>225</v>
      </c>
      <c r="P113" s="18">
        <v>1.5</v>
      </c>
      <c r="Q113" s="19"/>
      <c r="R113" s="20"/>
      <c r="S113" s="20"/>
      <c r="T113" s="20"/>
      <c r="U113" s="20">
        <f t="shared" ref="U113:U122" si="5">+O113</f>
        <v>225</v>
      </c>
      <c r="V113" s="20"/>
    </row>
    <row r="114" spans="1:22" ht="14.4" x14ac:dyDescent="0.3">
      <c r="A114" s="80">
        <v>1</v>
      </c>
      <c r="B114" s="8" t="s">
        <v>267</v>
      </c>
      <c r="C114" s="9" t="s">
        <v>162</v>
      </c>
      <c r="D114" s="9" t="s">
        <v>292</v>
      </c>
      <c r="E114" s="9" t="s">
        <v>292</v>
      </c>
      <c r="F114" s="9" t="s">
        <v>324</v>
      </c>
      <c r="G114" s="9" t="s">
        <v>246</v>
      </c>
      <c r="H114" s="10">
        <v>45291</v>
      </c>
      <c r="I114" s="9" t="s">
        <v>23</v>
      </c>
      <c r="J114" s="9" t="s">
        <v>24</v>
      </c>
      <c r="K114" s="9" t="s">
        <v>25</v>
      </c>
      <c r="L114" s="9" t="s">
        <v>26</v>
      </c>
      <c r="M114" s="11"/>
      <c r="N114" s="12"/>
      <c r="O114" s="17">
        <v>250</v>
      </c>
      <c r="P114" s="18">
        <v>2</v>
      </c>
      <c r="Q114" s="19"/>
      <c r="R114" s="20"/>
      <c r="S114" s="20"/>
      <c r="T114" s="20"/>
      <c r="U114" s="20">
        <f t="shared" si="5"/>
        <v>250</v>
      </c>
      <c r="V114" s="20"/>
    </row>
    <row r="115" spans="1:22" ht="14.4" x14ac:dyDescent="0.3">
      <c r="A115" s="80">
        <v>1</v>
      </c>
      <c r="B115" s="8" t="s">
        <v>269</v>
      </c>
      <c r="C115" s="9" t="s">
        <v>245</v>
      </c>
      <c r="D115" s="9" t="s">
        <v>283</v>
      </c>
      <c r="E115" s="9" t="s">
        <v>283</v>
      </c>
      <c r="F115" s="9" t="s">
        <v>324</v>
      </c>
      <c r="G115" s="9" t="s">
        <v>246</v>
      </c>
      <c r="H115" s="10">
        <v>45291</v>
      </c>
      <c r="I115" s="9" t="s">
        <v>23</v>
      </c>
      <c r="J115" s="9" t="s">
        <v>24</v>
      </c>
      <c r="K115" s="9" t="s">
        <v>25</v>
      </c>
      <c r="L115" s="9" t="s">
        <v>26</v>
      </c>
      <c r="M115" s="11"/>
      <c r="N115" s="12"/>
      <c r="O115" s="17">
        <v>125</v>
      </c>
      <c r="P115" s="18">
        <v>1</v>
      </c>
      <c r="Q115" s="19"/>
      <c r="R115" s="20"/>
      <c r="S115" s="20"/>
      <c r="T115" s="20"/>
      <c r="U115" s="20">
        <f t="shared" si="5"/>
        <v>125</v>
      </c>
      <c r="V115" s="20"/>
    </row>
    <row r="116" spans="1:22" ht="14.4" x14ac:dyDescent="0.3">
      <c r="A116" s="80">
        <v>1</v>
      </c>
      <c r="B116" s="8" t="s">
        <v>270</v>
      </c>
      <c r="C116" s="9" t="s">
        <v>202</v>
      </c>
      <c r="D116" s="9" t="s">
        <v>292</v>
      </c>
      <c r="E116" s="9" t="str">
        <f>+D116</f>
        <v>Contrecoeur</v>
      </c>
      <c r="F116" s="9" t="s">
        <v>324</v>
      </c>
      <c r="G116" s="9" t="s">
        <v>246</v>
      </c>
      <c r="H116" s="10">
        <v>45291</v>
      </c>
      <c r="I116" s="9" t="s">
        <v>23</v>
      </c>
      <c r="J116" s="9" t="s">
        <v>24</v>
      </c>
      <c r="K116" s="9" t="s">
        <v>25</v>
      </c>
      <c r="L116" s="9" t="s">
        <v>26</v>
      </c>
      <c r="M116" s="11"/>
      <c r="N116" s="12"/>
      <c r="O116" s="17">
        <v>400</v>
      </c>
      <c r="P116" s="18">
        <v>2.25</v>
      </c>
      <c r="Q116" s="19"/>
      <c r="R116" s="20"/>
      <c r="S116" s="20"/>
      <c r="T116" s="20"/>
      <c r="U116" s="20">
        <f t="shared" si="5"/>
        <v>400</v>
      </c>
      <c r="V116" s="20"/>
    </row>
    <row r="117" spans="1:22" ht="14.4" x14ac:dyDescent="0.3">
      <c r="A117" s="80">
        <v>1</v>
      </c>
      <c r="B117" s="8" t="s">
        <v>271</v>
      </c>
      <c r="C117" s="9" t="s">
        <v>245</v>
      </c>
      <c r="D117" s="9" t="s">
        <v>292</v>
      </c>
      <c r="E117" s="9" t="s">
        <v>297</v>
      </c>
      <c r="F117" s="9" t="s">
        <v>324</v>
      </c>
      <c r="G117" s="9" t="s">
        <v>246</v>
      </c>
      <c r="H117" s="10">
        <v>45291</v>
      </c>
      <c r="I117" s="9" t="s">
        <v>23</v>
      </c>
      <c r="J117" s="9" t="s">
        <v>24</v>
      </c>
      <c r="K117" s="9" t="s">
        <v>25</v>
      </c>
      <c r="L117" s="9" t="s">
        <v>26</v>
      </c>
      <c r="M117" s="11"/>
      <c r="N117" s="12"/>
      <c r="O117" s="17">
        <v>225</v>
      </c>
      <c r="P117" s="18">
        <v>2</v>
      </c>
      <c r="Q117" s="19"/>
      <c r="R117" s="20"/>
      <c r="S117" s="20"/>
      <c r="T117" s="20"/>
      <c r="U117" s="20">
        <f t="shared" si="5"/>
        <v>225</v>
      </c>
      <c r="V117" s="20"/>
    </row>
    <row r="118" spans="1:22" ht="14.4" x14ac:dyDescent="0.3">
      <c r="A118" s="80">
        <v>1</v>
      </c>
      <c r="B118" s="8" t="s">
        <v>272</v>
      </c>
      <c r="C118" s="9" t="s">
        <v>273</v>
      </c>
      <c r="D118" s="9" t="s">
        <v>303</v>
      </c>
      <c r="E118" s="9" t="s">
        <v>297</v>
      </c>
      <c r="F118" s="9" t="s">
        <v>324</v>
      </c>
      <c r="G118" s="9" t="s">
        <v>246</v>
      </c>
      <c r="H118" s="10">
        <v>45291</v>
      </c>
      <c r="I118" s="9" t="s">
        <v>23</v>
      </c>
      <c r="J118" s="9" t="s">
        <v>24</v>
      </c>
      <c r="K118" s="9" t="s">
        <v>25</v>
      </c>
      <c r="L118" s="9" t="s">
        <v>26</v>
      </c>
      <c r="M118" s="11"/>
      <c r="N118" s="12"/>
      <c r="O118" s="17">
        <v>200</v>
      </c>
      <c r="P118" s="18">
        <v>1.5</v>
      </c>
      <c r="Q118" s="19"/>
      <c r="R118" s="20"/>
      <c r="S118" s="20"/>
      <c r="T118" s="20"/>
      <c r="U118" s="20">
        <f t="shared" si="5"/>
        <v>200</v>
      </c>
      <c r="V118" s="20"/>
    </row>
    <row r="119" spans="1:22" ht="14.4" x14ac:dyDescent="0.3">
      <c r="A119" s="80">
        <v>1</v>
      </c>
      <c r="B119" s="8" t="s">
        <v>274</v>
      </c>
      <c r="C119" s="9" t="s">
        <v>252</v>
      </c>
      <c r="D119" s="9" t="s">
        <v>318</v>
      </c>
      <c r="E119" s="9" t="s">
        <v>285</v>
      </c>
      <c r="F119" s="9" t="s">
        <v>324</v>
      </c>
      <c r="G119" s="9" t="s">
        <v>246</v>
      </c>
      <c r="H119" s="10">
        <v>45291</v>
      </c>
      <c r="I119" s="9" t="s">
        <v>23</v>
      </c>
      <c r="J119" s="9" t="s">
        <v>24</v>
      </c>
      <c r="K119" s="9" t="s">
        <v>25</v>
      </c>
      <c r="L119" s="9" t="s">
        <v>26</v>
      </c>
      <c r="M119" s="11"/>
      <c r="N119" s="12"/>
      <c r="O119" s="17">
        <v>250</v>
      </c>
      <c r="P119" s="18">
        <v>2</v>
      </c>
      <c r="Q119" s="19"/>
      <c r="R119" s="20"/>
      <c r="S119" s="20"/>
      <c r="T119" s="20"/>
      <c r="U119" s="20">
        <f t="shared" si="5"/>
        <v>250</v>
      </c>
      <c r="V119" s="20"/>
    </row>
    <row r="120" spans="1:22" ht="14.4" x14ac:dyDescent="0.3">
      <c r="A120" s="80">
        <v>1</v>
      </c>
      <c r="B120" s="8" t="s">
        <v>275</v>
      </c>
      <c r="C120" s="9" t="s">
        <v>132</v>
      </c>
      <c r="D120" s="9" t="s">
        <v>300</v>
      </c>
      <c r="E120" s="9" t="s">
        <v>301</v>
      </c>
      <c r="F120" s="9" t="s">
        <v>324</v>
      </c>
      <c r="G120" s="9" t="s">
        <v>246</v>
      </c>
      <c r="H120" s="10">
        <v>45291</v>
      </c>
      <c r="I120" s="9" t="s">
        <v>23</v>
      </c>
      <c r="J120" s="9" t="s">
        <v>24</v>
      </c>
      <c r="K120" s="9" t="s">
        <v>25</v>
      </c>
      <c r="L120" s="9" t="s">
        <v>26</v>
      </c>
      <c r="M120" s="11"/>
      <c r="N120" s="12"/>
      <c r="O120" s="17">
        <v>225</v>
      </c>
      <c r="P120" s="18">
        <v>1.5</v>
      </c>
      <c r="Q120" s="19"/>
      <c r="R120" s="20"/>
      <c r="S120" s="20"/>
      <c r="T120" s="20"/>
      <c r="U120" s="20">
        <f t="shared" si="5"/>
        <v>225</v>
      </c>
      <c r="V120" s="20"/>
    </row>
    <row r="121" spans="1:22" ht="14.4" x14ac:dyDescent="0.3">
      <c r="A121" s="80">
        <v>1</v>
      </c>
      <c r="B121" s="8" t="s">
        <v>276</v>
      </c>
      <c r="C121" s="9" t="s">
        <v>192</v>
      </c>
      <c r="D121" s="9" t="s">
        <v>304</v>
      </c>
      <c r="E121" s="9" t="s">
        <v>292</v>
      </c>
      <c r="F121" s="9" t="s">
        <v>324</v>
      </c>
      <c r="G121" s="9" t="s">
        <v>246</v>
      </c>
      <c r="H121" s="10">
        <v>45291</v>
      </c>
      <c r="I121" s="9" t="s">
        <v>23</v>
      </c>
      <c r="J121" s="9" t="s">
        <v>24</v>
      </c>
      <c r="K121" s="9" t="s">
        <v>25</v>
      </c>
      <c r="L121" s="9" t="s">
        <v>26</v>
      </c>
      <c r="M121" s="11"/>
      <c r="N121" s="12"/>
      <c r="O121" s="17">
        <v>225</v>
      </c>
      <c r="P121" s="18">
        <v>1.5</v>
      </c>
      <c r="Q121" s="19"/>
      <c r="R121" s="20"/>
      <c r="S121" s="20"/>
      <c r="T121" s="20"/>
      <c r="U121" s="20">
        <f t="shared" si="5"/>
        <v>225</v>
      </c>
      <c r="V121" s="20"/>
    </row>
    <row r="122" spans="1:22" ht="14.4" x14ac:dyDescent="0.3">
      <c r="A122" s="80">
        <v>1</v>
      </c>
      <c r="B122" s="8" t="s">
        <v>277</v>
      </c>
      <c r="C122" s="9" t="s">
        <v>197</v>
      </c>
      <c r="D122" s="9" t="s">
        <v>283</v>
      </c>
      <c r="E122" s="9" t="s">
        <v>283</v>
      </c>
      <c r="F122" s="9" t="s">
        <v>324</v>
      </c>
      <c r="G122" s="9" t="s">
        <v>246</v>
      </c>
      <c r="H122" s="10">
        <v>45291</v>
      </c>
      <c r="I122" s="9" t="s">
        <v>23</v>
      </c>
      <c r="J122" s="9" t="s">
        <v>24</v>
      </c>
      <c r="K122" s="9" t="s">
        <v>25</v>
      </c>
      <c r="L122" s="9" t="s">
        <v>26</v>
      </c>
      <c r="M122" s="11"/>
      <c r="N122" s="12"/>
      <c r="O122" s="17">
        <v>425</v>
      </c>
      <c r="P122" s="18">
        <v>2</v>
      </c>
      <c r="Q122" s="19"/>
      <c r="R122" s="20"/>
      <c r="S122" s="20"/>
      <c r="T122" s="20"/>
      <c r="U122" s="20">
        <f t="shared" si="5"/>
        <v>425</v>
      </c>
      <c r="V122" s="20"/>
    </row>
    <row r="123" spans="1:22" ht="14.4" x14ac:dyDescent="0.3">
      <c r="A123" s="80">
        <v>1</v>
      </c>
      <c r="B123" s="8" t="s">
        <v>194</v>
      </c>
      <c r="C123" s="9" t="s">
        <v>317</v>
      </c>
      <c r="D123" s="9" t="s">
        <v>304</v>
      </c>
      <c r="E123" s="9" t="s">
        <v>292</v>
      </c>
      <c r="F123" s="9" t="s">
        <v>195</v>
      </c>
      <c r="G123" s="9" t="s">
        <v>42</v>
      </c>
      <c r="H123" s="10">
        <v>44592</v>
      </c>
      <c r="I123" s="9" t="s">
        <v>23</v>
      </c>
      <c r="J123" s="9" t="s">
        <v>24</v>
      </c>
      <c r="K123" s="9" t="s">
        <v>25</v>
      </c>
      <c r="L123" s="9" t="s">
        <v>25</v>
      </c>
      <c r="M123" s="11"/>
      <c r="N123" s="12"/>
      <c r="O123" s="17">
        <v>450</v>
      </c>
      <c r="P123" s="18">
        <v>2</v>
      </c>
      <c r="Q123" s="19"/>
      <c r="R123" s="20"/>
      <c r="T123" s="20">
        <f t="shared" ref="T123:T128" si="6">+O123</f>
        <v>450</v>
      </c>
      <c r="U123" s="20"/>
      <c r="V123" s="20"/>
    </row>
    <row r="124" spans="1:22" ht="14.4" x14ac:dyDescent="0.3">
      <c r="A124" s="80">
        <v>1</v>
      </c>
      <c r="B124" s="8" t="s">
        <v>194</v>
      </c>
      <c r="C124" s="9" t="s">
        <v>315</v>
      </c>
      <c r="D124" s="9" t="s">
        <v>286</v>
      </c>
      <c r="E124" s="9" t="s">
        <v>285</v>
      </c>
      <c r="F124" s="9" t="s">
        <v>195</v>
      </c>
      <c r="G124" s="9" t="s">
        <v>42</v>
      </c>
      <c r="H124" s="10">
        <v>44957</v>
      </c>
      <c r="I124" s="9" t="s">
        <v>23</v>
      </c>
      <c r="J124" s="9" t="s">
        <v>24</v>
      </c>
      <c r="K124" s="9" t="s">
        <v>25</v>
      </c>
      <c r="L124" s="9" t="s">
        <v>25</v>
      </c>
      <c r="M124" s="11"/>
      <c r="N124" s="12"/>
      <c r="O124" s="17">
        <v>450</v>
      </c>
      <c r="P124" s="18">
        <v>2</v>
      </c>
      <c r="Q124" s="19"/>
      <c r="R124" s="20"/>
      <c r="T124" s="20">
        <f t="shared" si="6"/>
        <v>450</v>
      </c>
      <c r="U124" s="20"/>
      <c r="V124" s="20"/>
    </row>
    <row r="125" spans="1:22" ht="14.4" x14ac:dyDescent="0.3">
      <c r="A125" s="80">
        <v>1</v>
      </c>
      <c r="B125" s="8" t="s">
        <v>221</v>
      </c>
      <c r="C125" s="9" t="s">
        <v>316</v>
      </c>
      <c r="D125" s="9" t="s">
        <v>286</v>
      </c>
      <c r="E125" s="9" t="s">
        <v>285</v>
      </c>
      <c r="F125" s="9" t="str">
        <f>+F83</f>
        <v>Société de portefeuille</v>
      </c>
      <c r="G125" s="9" t="s">
        <v>42</v>
      </c>
      <c r="H125" s="10">
        <v>44773</v>
      </c>
      <c r="I125" s="9" t="s">
        <v>23</v>
      </c>
      <c r="J125" s="9" t="s">
        <v>24</v>
      </c>
      <c r="K125" s="9" t="s">
        <v>25</v>
      </c>
      <c r="L125" s="9" t="s">
        <v>25</v>
      </c>
      <c r="M125" s="11"/>
      <c r="N125" s="12"/>
      <c r="O125" s="17">
        <v>450</v>
      </c>
      <c r="P125" s="18">
        <v>2</v>
      </c>
      <c r="Q125" s="19"/>
      <c r="R125" s="20"/>
      <c r="T125" s="20">
        <f t="shared" si="6"/>
        <v>450</v>
      </c>
      <c r="U125" s="20"/>
      <c r="V125" s="20"/>
    </row>
    <row r="126" spans="1:22" ht="14.4" x14ac:dyDescent="0.3">
      <c r="A126" s="80">
        <v>1</v>
      </c>
      <c r="B126" s="8" t="s">
        <v>233</v>
      </c>
      <c r="C126" s="9" t="s">
        <v>234</v>
      </c>
      <c r="D126" s="9" t="s">
        <v>300</v>
      </c>
      <c r="E126" s="9" t="s">
        <v>301</v>
      </c>
      <c r="F126" s="9" t="s">
        <v>235</v>
      </c>
      <c r="G126" s="9" t="s">
        <v>42</v>
      </c>
      <c r="H126" s="10">
        <v>44926</v>
      </c>
      <c r="I126" s="9" t="s">
        <v>23</v>
      </c>
      <c r="J126" s="9" t="s">
        <v>24</v>
      </c>
      <c r="K126" s="9" t="s">
        <v>25</v>
      </c>
      <c r="L126" s="9" t="s">
        <v>25</v>
      </c>
      <c r="M126" s="11"/>
      <c r="N126" s="12"/>
      <c r="O126" s="17">
        <v>450</v>
      </c>
      <c r="P126" s="18">
        <v>1</v>
      </c>
      <c r="Q126" s="19"/>
      <c r="R126" s="20"/>
      <c r="T126" s="20">
        <f t="shared" si="6"/>
        <v>450</v>
      </c>
      <c r="U126" s="20"/>
      <c r="V126" s="20"/>
    </row>
    <row r="127" spans="1:22" ht="14.4" x14ac:dyDescent="0.3">
      <c r="A127" s="80">
        <v>1</v>
      </c>
      <c r="B127" s="8" t="s">
        <v>343</v>
      </c>
      <c r="C127" s="73" t="s">
        <v>319</v>
      </c>
      <c r="D127" s="9" t="s">
        <v>290</v>
      </c>
      <c r="E127" s="9" t="s">
        <v>297</v>
      </c>
      <c r="F127" s="9" t="s">
        <v>320</v>
      </c>
      <c r="G127" s="9" t="s">
        <v>42</v>
      </c>
      <c r="H127" s="10">
        <v>45138</v>
      </c>
      <c r="I127" s="9" t="s">
        <v>23</v>
      </c>
      <c r="J127" s="9" t="s">
        <v>24</v>
      </c>
      <c r="K127" s="9" t="s">
        <v>25</v>
      </c>
      <c r="L127" s="9" t="s">
        <v>26</v>
      </c>
      <c r="M127" s="11"/>
      <c r="N127" s="12"/>
      <c r="O127" s="17">
        <v>450</v>
      </c>
      <c r="P127" s="18">
        <v>1</v>
      </c>
      <c r="Q127" s="19"/>
      <c r="R127" s="20"/>
      <c r="S127" s="20"/>
      <c r="T127" s="20">
        <f t="shared" si="6"/>
        <v>450</v>
      </c>
      <c r="U127" s="20"/>
      <c r="V127" s="20"/>
    </row>
    <row r="128" spans="1:22" ht="14.4" x14ac:dyDescent="0.3">
      <c r="A128" s="80">
        <v>1</v>
      </c>
      <c r="B128" s="8" t="s">
        <v>351</v>
      </c>
      <c r="C128" s="9" t="s">
        <v>344</v>
      </c>
      <c r="D128" s="9" t="s">
        <v>345</v>
      </c>
      <c r="E128" s="9" t="s">
        <v>297</v>
      </c>
      <c r="F128" s="9" t="s">
        <v>346</v>
      </c>
      <c r="G128" s="9" t="s">
        <v>42</v>
      </c>
      <c r="H128" s="10">
        <v>45291</v>
      </c>
      <c r="I128" s="9" t="s">
        <v>23</v>
      </c>
      <c r="J128" s="9" t="s">
        <v>24</v>
      </c>
      <c r="K128" s="9" t="s">
        <v>25</v>
      </c>
      <c r="L128" s="9" t="s">
        <v>26</v>
      </c>
      <c r="M128" s="11"/>
      <c r="N128" s="12"/>
      <c r="O128" s="17">
        <v>450</v>
      </c>
      <c r="P128" s="18">
        <v>1.5</v>
      </c>
      <c r="Q128" s="19"/>
      <c r="R128" s="20"/>
      <c r="S128" s="20"/>
      <c r="T128" s="20">
        <f t="shared" si="6"/>
        <v>450</v>
      </c>
      <c r="U128" s="20"/>
      <c r="V128" s="20"/>
    </row>
    <row r="129" spans="1:22" ht="14.4" x14ac:dyDescent="0.3">
      <c r="M129" s="11"/>
      <c r="N129" s="12"/>
      <c r="O129" s="17"/>
      <c r="P129" s="18"/>
      <c r="Q129" s="19"/>
      <c r="R129" s="20"/>
      <c r="S129" s="20"/>
      <c r="T129" s="20"/>
      <c r="U129" s="20"/>
      <c r="V129" s="20"/>
    </row>
    <row r="130" spans="1:22" x14ac:dyDescent="0.25">
      <c r="A130" s="33"/>
      <c r="M130" s="11"/>
      <c r="N130" s="12"/>
      <c r="O130" s="32"/>
      <c r="P130" s="33"/>
      <c r="Q130" s="34"/>
      <c r="R130" s="34"/>
      <c r="S130" s="34"/>
      <c r="T130" s="34"/>
      <c r="U130" s="34"/>
      <c r="V130" s="34"/>
    </row>
    <row r="131" spans="1:22" x14ac:dyDescent="0.25">
      <c r="A131" s="87">
        <f>SUM(A102:A130)</f>
        <v>27</v>
      </c>
      <c r="M131" s="11"/>
      <c r="N131" s="35">
        <f>+O131/$O$134</f>
        <v>2.7396657226290224E-2</v>
      </c>
      <c r="O131" s="43">
        <f t="shared" ref="O131:V131" si="7">SUM(O102:O130)</f>
        <v>9335</v>
      </c>
      <c r="P131" s="44">
        <f t="shared" si="7"/>
        <v>44.75</v>
      </c>
      <c r="Q131" s="45">
        <f t="shared" si="7"/>
        <v>0</v>
      </c>
      <c r="R131" s="45">
        <f t="shared" si="7"/>
        <v>0</v>
      </c>
      <c r="S131" s="45">
        <f t="shared" si="7"/>
        <v>0</v>
      </c>
      <c r="T131" s="45">
        <f t="shared" si="7"/>
        <v>4050</v>
      </c>
      <c r="U131" s="45">
        <f t="shared" si="7"/>
        <v>5285</v>
      </c>
      <c r="V131" s="45">
        <f t="shared" si="7"/>
        <v>0</v>
      </c>
    </row>
    <row r="132" spans="1:22" ht="14.4" x14ac:dyDescent="0.3">
      <c r="M132" s="11"/>
      <c r="N132" s="84" t="s">
        <v>347</v>
      </c>
      <c r="O132" s="17"/>
      <c r="P132" s="18">
        <f>+O131/P131</f>
        <v>208.60335195530726</v>
      </c>
      <c r="Q132" s="19"/>
      <c r="R132" s="20"/>
      <c r="S132" s="20"/>
      <c r="T132" s="20"/>
      <c r="U132" s="20"/>
      <c r="V132" s="20"/>
    </row>
    <row r="133" spans="1:22" x14ac:dyDescent="0.25">
      <c r="B133" s="46"/>
      <c r="C133" s="1"/>
      <c r="D133" s="1"/>
      <c r="E133" s="1"/>
      <c r="F133" s="1"/>
      <c r="G133" s="1"/>
      <c r="H133" s="2"/>
      <c r="I133" s="1"/>
      <c r="J133" s="1"/>
      <c r="K133" s="1"/>
      <c r="L133" s="1"/>
      <c r="O133" s="47"/>
      <c r="P133" s="33"/>
      <c r="Q133" s="48"/>
      <c r="R133" s="48"/>
      <c r="S133" s="48"/>
      <c r="T133" s="48"/>
      <c r="U133" s="48"/>
      <c r="V133" s="48"/>
    </row>
    <row r="134" spans="1:22" ht="13.8" thickBot="1" x14ac:dyDescent="0.3">
      <c r="C134" s="69" t="s">
        <v>348</v>
      </c>
      <c r="D134" s="69"/>
      <c r="E134" s="69"/>
      <c r="F134" s="1"/>
      <c r="G134" s="1"/>
      <c r="H134" s="2"/>
      <c r="I134" s="1"/>
      <c r="J134" s="1"/>
      <c r="K134" s="1"/>
      <c r="L134" s="1"/>
      <c r="O134" s="49">
        <f>+O131+O98+O54+O33</f>
        <v>340735</v>
      </c>
      <c r="P134" s="50">
        <f>+P131+P98+P54+P33</f>
        <v>2421.1499999999996</v>
      </c>
      <c r="Q134" s="49">
        <f>+Q131+Q98+Q54+Q33</f>
        <v>216100</v>
      </c>
      <c r="R134" s="49">
        <f>+R131+R98+R54+R33</f>
        <v>52400</v>
      </c>
      <c r="S134" s="49">
        <f>+S131+S98+S54+S33</f>
        <v>62900</v>
      </c>
      <c r="T134" s="49">
        <f>+T131+T98+T54+T33</f>
        <v>4050</v>
      </c>
      <c r="U134" s="49">
        <f>+U131+U98+U54+U33</f>
        <v>5285</v>
      </c>
      <c r="V134" s="49">
        <f>+V131+V98+V54+V33</f>
        <v>0</v>
      </c>
    </row>
    <row r="135" spans="1:22" ht="13.8" thickTop="1" x14ac:dyDescent="0.25">
      <c r="C135" s="15"/>
      <c r="D135" s="15"/>
      <c r="E135" s="15"/>
      <c r="Q135" s="52"/>
    </row>
    <row r="136" spans="1:22" s="58" customFormat="1" x14ac:dyDescent="0.25">
      <c r="A136" s="90"/>
      <c r="C136" s="74" t="s">
        <v>261</v>
      </c>
      <c r="D136" s="70"/>
      <c r="E136" s="70"/>
      <c r="F136" s="53"/>
      <c r="G136" s="53"/>
      <c r="H136" s="54"/>
      <c r="I136" s="53"/>
      <c r="J136" s="53"/>
      <c r="K136" s="53"/>
      <c r="L136" s="53"/>
      <c r="M136" s="55"/>
      <c r="N136" s="56"/>
      <c r="O136" s="56">
        <f t="shared" ref="O136:V136" si="8">+O134/$O$134</f>
        <v>1</v>
      </c>
      <c r="P136" s="57"/>
      <c r="Q136" s="58">
        <f t="shared" si="8"/>
        <v>0.63421720692033401</v>
      </c>
      <c r="R136" s="58">
        <f t="shared" si="8"/>
        <v>0.15378519964195048</v>
      </c>
      <c r="S136" s="58">
        <f t="shared" si="8"/>
        <v>0.18460093621142531</v>
      </c>
      <c r="T136" s="58">
        <f t="shared" si="8"/>
        <v>1.1886069819654571E-2</v>
      </c>
      <c r="U136" s="58">
        <f t="shared" si="8"/>
        <v>1.5510587406635655E-2</v>
      </c>
      <c r="V136" s="58">
        <f t="shared" si="8"/>
        <v>0</v>
      </c>
    </row>
    <row r="137" spans="1:22" s="58" customFormat="1" x14ac:dyDescent="0.25">
      <c r="A137" s="90"/>
      <c r="C137" s="74"/>
      <c r="D137" s="70"/>
      <c r="E137" s="70"/>
      <c r="F137" s="53"/>
      <c r="G137" s="53"/>
      <c r="H137" s="54"/>
      <c r="I137" s="53"/>
      <c r="J137" s="53"/>
      <c r="K137" s="53"/>
      <c r="L137" s="53"/>
      <c r="M137" s="55"/>
      <c r="N137" s="56"/>
      <c r="O137" s="56"/>
      <c r="P137" s="57"/>
    </row>
    <row r="138" spans="1:22" s="64" customFormat="1" x14ac:dyDescent="0.25">
      <c r="A138" s="91"/>
      <c r="C138" s="63" t="s">
        <v>349</v>
      </c>
      <c r="D138" s="63"/>
      <c r="E138" s="63"/>
      <c r="F138" s="60"/>
      <c r="G138" s="60"/>
      <c r="H138" s="61"/>
      <c r="I138" s="60"/>
      <c r="J138" s="60"/>
      <c r="K138" s="60"/>
      <c r="L138" s="60"/>
      <c r="M138" s="38"/>
      <c r="N138" s="62"/>
      <c r="O138" s="51">
        <f>SUM(Q138:S138)</f>
        <v>78</v>
      </c>
      <c r="P138" s="14"/>
      <c r="Q138" s="63">
        <f>+A33</f>
        <v>25</v>
      </c>
      <c r="R138" s="63">
        <f>+A54</f>
        <v>17</v>
      </c>
      <c r="S138" s="64">
        <f>+A98</f>
        <v>36</v>
      </c>
    </row>
    <row r="139" spans="1:22" s="64" customFormat="1" x14ac:dyDescent="0.25">
      <c r="A139" s="91"/>
      <c r="C139" s="63"/>
      <c r="D139" s="63"/>
      <c r="E139" s="63"/>
      <c r="F139" s="60"/>
      <c r="G139" s="60"/>
      <c r="H139" s="61"/>
      <c r="I139" s="60"/>
      <c r="J139" s="60"/>
      <c r="K139" s="60"/>
      <c r="L139" s="60"/>
      <c r="M139" s="38"/>
      <c r="N139" s="62"/>
      <c r="O139" s="56">
        <f>+O138/$O$138</f>
        <v>1</v>
      </c>
      <c r="P139" s="57"/>
      <c r="Q139" s="58">
        <f>+Q138/$O$138</f>
        <v>0.32051282051282054</v>
      </c>
      <c r="R139" s="58">
        <f>+R138/$O$138</f>
        <v>0.21794871794871795</v>
      </c>
      <c r="S139" s="58">
        <f>+S138/$O$138</f>
        <v>0.46153846153846156</v>
      </c>
    </row>
    <row r="140" spans="1:22" s="64" customFormat="1" x14ac:dyDescent="0.25">
      <c r="A140" s="91"/>
      <c r="C140" s="63"/>
      <c r="D140" s="63"/>
      <c r="E140" s="63"/>
      <c r="F140" s="60"/>
      <c r="G140" s="60"/>
      <c r="H140" s="61"/>
      <c r="I140" s="60"/>
      <c r="J140" s="60"/>
      <c r="K140" s="60"/>
      <c r="L140" s="60"/>
      <c r="M140" s="38"/>
      <c r="N140" s="62"/>
      <c r="O140" s="56"/>
      <c r="P140" s="57"/>
      <c r="Q140" s="58"/>
      <c r="R140" s="58"/>
      <c r="S140" s="58"/>
    </row>
    <row r="141" spans="1:22" s="64" customFormat="1" x14ac:dyDescent="0.25">
      <c r="A141" s="91"/>
      <c r="C141" s="65" t="s">
        <v>262</v>
      </c>
      <c r="D141" s="65"/>
      <c r="E141" s="65"/>
      <c r="F141" s="60"/>
      <c r="G141" s="60"/>
      <c r="H141" s="61"/>
      <c r="I141" s="60"/>
      <c r="J141" s="60"/>
      <c r="K141" s="60"/>
      <c r="L141" s="60"/>
      <c r="M141" s="38"/>
      <c r="N141" s="62"/>
      <c r="O141" s="51"/>
      <c r="P141" s="14"/>
      <c r="Q141" s="15"/>
      <c r="R141" s="63"/>
    </row>
    <row r="142" spans="1:22" s="64" customFormat="1" x14ac:dyDescent="0.25">
      <c r="A142" s="91"/>
      <c r="C142" s="65" t="s">
        <v>263</v>
      </c>
      <c r="D142" s="65"/>
      <c r="E142" s="65"/>
      <c r="F142" s="60"/>
      <c r="G142" s="60"/>
      <c r="H142" s="61"/>
      <c r="I142" s="60"/>
      <c r="J142" s="60"/>
      <c r="K142" s="60"/>
      <c r="L142" s="60"/>
      <c r="M142" s="38"/>
      <c r="N142" s="62"/>
      <c r="O142" s="51"/>
      <c r="P142" s="14"/>
      <c r="Q142" s="15"/>
      <c r="R142" s="63"/>
    </row>
    <row r="143" spans="1:22" s="64" customFormat="1" x14ac:dyDescent="0.25">
      <c r="A143" s="91"/>
      <c r="B143" s="59"/>
      <c r="C143" s="60"/>
      <c r="D143" s="60"/>
      <c r="E143" s="60"/>
      <c r="F143" s="60"/>
      <c r="G143" s="60"/>
      <c r="H143" s="61"/>
      <c r="I143" s="60"/>
      <c r="J143" s="60"/>
      <c r="K143" s="60"/>
      <c r="L143" s="60"/>
      <c r="M143" s="38"/>
      <c r="N143" s="62"/>
      <c r="O143" s="51"/>
      <c r="P143" s="14"/>
      <c r="Q143" s="15"/>
      <c r="R143" s="63"/>
    </row>
    <row r="144" spans="1:22" s="64" customFormat="1" x14ac:dyDescent="0.25">
      <c r="A144" s="91"/>
      <c r="B144" s="59"/>
      <c r="C144" s="60"/>
      <c r="D144" s="60"/>
      <c r="E144" s="60"/>
      <c r="F144" s="60"/>
      <c r="G144" s="60"/>
      <c r="H144" s="61"/>
      <c r="I144" s="60"/>
      <c r="J144" s="60"/>
      <c r="K144" s="60"/>
      <c r="L144" s="60"/>
      <c r="M144" s="38"/>
      <c r="N144" s="62"/>
      <c r="O144" s="51"/>
      <c r="P144" s="14"/>
      <c r="Q144" s="15"/>
      <c r="R144" s="63"/>
    </row>
    <row r="145" spans="1:18" s="64" customFormat="1" x14ac:dyDescent="0.25">
      <c r="A145" s="91"/>
      <c r="B145" s="59"/>
      <c r="C145" s="60"/>
      <c r="D145" s="60"/>
      <c r="E145" s="60"/>
      <c r="F145" s="60"/>
      <c r="G145" s="60"/>
      <c r="H145" s="61"/>
      <c r="I145" s="60"/>
      <c r="J145" s="60"/>
      <c r="K145" s="60"/>
      <c r="L145" s="60"/>
      <c r="M145" s="38"/>
      <c r="N145" s="62"/>
      <c r="O145" s="51"/>
      <c r="P145" s="14"/>
      <c r="Q145" s="15"/>
      <c r="R145" s="63"/>
    </row>
    <row r="146" spans="1:18" s="66" customFormat="1" x14ac:dyDescent="0.25">
      <c r="A146" s="92"/>
      <c r="B146" s="8"/>
      <c r="C146" s="9"/>
      <c r="D146" s="9"/>
      <c r="E146" s="9"/>
      <c r="F146" s="9"/>
      <c r="G146" s="9"/>
      <c r="H146" s="10"/>
      <c r="I146" s="9"/>
      <c r="J146" s="9"/>
      <c r="K146" s="9"/>
      <c r="L146" s="9"/>
      <c r="M146" s="38"/>
      <c r="N146" s="62"/>
      <c r="O146" s="51"/>
      <c r="P146" s="14"/>
      <c r="Q146" s="15"/>
      <c r="R146" s="15"/>
    </row>
    <row r="147" spans="1:18" s="66" customFormat="1" x14ac:dyDescent="0.25">
      <c r="A147" s="92"/>
      <c r="B147" s="8"/>
      <c r="C147" s="9"/>
      <c r="D147" s="9"/>
      <c r="E147" s="9"/>
      <c r="F147" s="9"/>
      <c r="G147" s="9"/>
      <c r="H147" s="10"/>
      <c r="I147" s="9"/>
      <c r="J147" s="9"/>
      <c r="K147" s="9"/>
      <c r="L147" s="9"/>
      <c r="M147" s="38"/>
      <c r="N147" s="62"/>
      <c r="O147" s="51"/>
      <c r="P147" s="14"/>
      <c r="Q147" s="15"/>
      <c r="R147" s="15"/>
    </row>
    <row r="148" spans="1:18" s="66" customFormat="1" x14ac:dyDescent="0.25">
      <c r="A148" s="92"/>
      <c r="B148" s="8"/>
      <c r="C148" s="9"/>
      <c r="D148" s="9"/>
      <c r="E148" s="9"/>
      <c r="F148" s="9"/>
      <c r="G148" s="9"/>
      <c r="H148" s="10"/>
      <c r="I148" s="9"/>
      <c r="J148" s="9"/>
      <c r="K148" s="9"/>
      <c r="L148" s="9"/>
      <c r="M148" s="38"/>
      <c r="N148" s="62"/>
      <c r="O148" s="51"/>
      <c r="P148" s="14"/>
      <c r="Q148" s="15"/>
      <c r="R148" s="15"/>
    </row>
    <row r="149" spans="1:18" s="66" customFormat="1" x14ac:dyDescent="0.25">
      <c r="A149" s="92"/>
      <c r="B149" s="8"/>
      <c r="C149" s="9"/>
      <c r="D149" s="9"/>
      <c r="E149" s="9"/>
      <c r="F149" s="9"/>
      <c r="G149" s="9"/>
      <c r="H149" s="10"/>
      <c r="I149" s="9"/>
      <c r="J149" s="9"/>
      <c r="K149" s="9"/>
      <c r="L149" s="9"/>
      <c r="M149" s="38"/>
      <c r="N149" s="62"/>
      <c r="O149" s="51"/>
      <c r="P149" s="14"/>
      <c r="Q149" s="15"/>
      <c r="R149" s="15"/>
    </row>
    <row r="150" spans="1:18" s="66" customFormat="1" x14ac:dyDescent="0.25">
      <c r="A150" s="92"/>
      <c r="B150" s="8"/>
      <c r="C150" s="9"/>
      <c r="D150" s="9"/>
      <c r="E150" s="9"/>
      <c r="F150" s="9"/>
      <c r="G150" s="9"/>
      <c r="H150" s="10"/>
      <c r="I150" s="9"/>
      <c r="J150" s="9"/>
      <c r="K150" s="9"/>
      <c r="L150" s="9"/>
      <c r="M150" s="38"/>
      <c r="N150" s="62"/>
      <c r="O150" s="51"/>
      <c r="P150" s="14"/>
      <c r="Q150" s="15"/>
      <c r="R150" s="15"/>
    </row>
    <row r="151" spans="1:18" s="66" customFormat="1" x14ac:dyDescent="0.25">
      <c r="A151" s="92"/>
      <c r="B151" s="8"/>
      <c r="C151" s="9"/>
      <c r="D151" s="9"/>
      <c r="E151" s="9"/>
      <c r="F151" s="9"/>
      <c r="G151" s="9"/>
      <c r="H151" s="10"/>
      <c r="I151" s="9"/>
      <c r="J151" s="9"/>
      <c r="K151" s="9"/>
      <c r="L151" s="9"/>
      <c r="M151" s="38"/>
      <c r="N151" s="62"/>
      <c r="O151" s="51"/>
      <c r="P151" s="14"/>
      <c r="Q151" s="15"/>
      <c r="R151" s="15"/>
    </row>
    <row r="152" spans="1:18" s="66" customFormat="1" x14ac:dyDescent="0.25">
      <c r="A152" s="92"/>
      <c r="B152" s="8"/>
      <c r="C152" s="9"/>
      <c r="D152" s="9"/>
      <c r="E152" s="9"/>
      <c r="F152" s="9"/>
      <c r="G152" s="9"/>
      <c r="H152" s="10"/>
      <c r="I152" s="9"/>
      <c r="J152" s="9"/>
      <c r="K152" s="9"/>
      <c r="L152" s="9"/>
      <c r="M152" s="38"/>
      <c r="N152" s="62"/>
      <c r="O152" s="51"/>
      <c r="P152" s="14"/>
      <c r="Q152" s="15"/>
      <c r="R152" s="15"/>
    </row>
    <row r="153" spans="1:18" s="66" customFormat="1" x14ac:dyDescent="0.25">
      <c r="A153" s="92"/>
      <c r="B153" s="8"/>
      <c r="C153" s="9"/>
      <c r="D153" s="9"/>
      <c r="E153" s="9"/>
      <c r="F153" s="9"/>
      <c r="G153" s="9"/>
      <c r="H153" s="10"/>
      <c r="I153" s="9"/>
      <c r="J153" s="9"/>
      <c r="K153" s="9"/>
      <c r="L153" s="9"/>
      <c r="M153" s="38"/>
      <c r="N153" s="62"/>
      <c r="O153" s="51"/>
      <c r="P153" s="14"/>
      <c r="Q153" s="15"/>
      <c r="R153" s="15"/>
    </row>
    <row r="154" spans="1:18" s="66" customFormat="1" x14ac:dyDescent="0.25">
      <c r="A154" s="92"/>
      <c r="B154" s="8"/>
      <c r="C154" s="9"/>
      <c r="D154" s="9"/>
      <c r="E154" s="9"/>
      <c r="F154" s="9"/>
      <c r="G154" s="9"/>
      <c r="H154" s="10"/>
      <c r="I154" s="9"/>
      <c r="J154" s="9"/>
      <c r="K154" s="9"/>
      <c r="L154" s="9"/>
      <c r="M154" s="38"/>
      <c r="N154" s="62"/>
      <c r="O154" s="51"/>
      <c r="P154" s="14"/>
      <c r="Q154" s="15"/>
      <c r="R154" s="15"/>
    </row>
    <row r="155" spans="1:18" s="66" customFormat="1" x14ac:dyDescent="0.25">
      <c r="A155" s="92"/>
      <c r="B155" s="8"/>
      <c r="C155" s="9"/>
      <c r="D155" s="9"/>
      <c r="E155" s="9"/>
      <c r="F155" s="9"/>
      <c r="G155" s="9"/>
      <c r="H155" s="10"/>
      <c r="I155" s="9"/>
      <c r="J155" s="9"/>
      <c r="K155" s="9"/>
      <c r="L155" s="9"/>
      <c r="M155" s="38"/>
      <c r="N155" s="62"/>
      <c r="O155" s="51"/>
      <c r="P155" s="14"/>
      <c r="Q155" s="15"/>
      <c r="R155" s="15"/>
    </row>
    <row r="156" spans="1:18" s="66" customFormat="1" x14ac:dyDescent="0.25">
      <c r="A156" s="92"/>
      <c r="B156" s="8"/>
      <c r="C156" s="9"/>
      <c r="D156" s="9"/>
      <c r="E156" s="9"/>
      <c r="F156" s="9"/>
      <c r="G156" s="9"/>
      <c r="H156" s="10"/>
      <c r="I156" s="9"/>
      <c r="J156" s="9"/>
      <c r="K156" s="9"/>
      <c r="L156" s="9"/>
      <c r="M156" s="38"/>
      <c r="N156" s="62"/>
      <c r="O156" s="51"/>
      <c r="P156" s="14"/>
      <c r="Q156" s="15"/>
      <c r="R156" s="15"/>
    </row>
    <row r="157" spans="1:18" s="66" customFormat="1" x14ac:dyDescent="0.25">
      <c r="A157" s="92"/>
      <c r="B157" s="8"/>
      <c r="C157" s="9"/>
      <c r="D157" s="9"/>
      <c r="E157" s="9"/>
      <c r="F157" s="9"/>
      <c r="G157" s="9"/>
      <c r="H157" s="10"/>
      <c r="I157" s="9"/>
      <c r="J157" s="9"/>
      <c r="K157" s="9"/>
      <c r="L157" s="9"/>
      <c r="M157" s="38"/>
      <c r="N157" s="62"/>
      <c r="O157" s="51"/>
      <c r="P157" s="14"/>
      <c r="Q157" s="15"/>
      <c r="R157" s="15"/>
    </row>
    <row r="158" spans="1:18" s="66" customFormat="1" x14ac:dyDescent="0.25">
      <c r="A158" s="92"/>
      <c r="B158" s="8"/>
      <c r="C158" s="9"/>
      <c r="D158" s="9"/>
      <c r="E158" s="9"/>
      <c r="F158" s="9"/>
      <c r="G158" s="9"/>
      <c r="H158" s="10"/>
      <c r="I158" s="9"/>
      <c r="J158" s="9"/>
      <c r="K158" s="9"/>
      <c r="L158" s="9"/>
      <c r="M158" s="38"/>
      <c r="N158" s="62"/>
      <c r="O158" s="51"/>
      <c r="P158" s="14"/>
      <c r="Q158" s="15"/>
      <c r="R158" s="15"/>
    </row>
    <row r="159" spans="1:18" s="66" customFormat="1" x14ac:dyDescent="0.25">
      <c r="A159" s="92"/>
      <c r="B159" s="8"/>
      <c r="C159" s="9"/>
      <c r="D159" s="9"/>
      <c r="E159" s="9"/>
      <c r="F159" s="9"/>
      <c r="G159" s="9"/>
      <c r="H159" s="10"/>
      <c r="I159" s="9"/>
      <c r="J159" s="9"/>
      <c r="K159" s="9"/>
      <c r="L159" s="9"/>
      <c r="M159" s="38"/>
      <c r="N159" s="62"/>
      <c r="O159" s="51"/>
      <c r="P159" s="14"/>
      <c r="Q159" s="15"/>
      <c r="R159" s="15"/>
    </row>
    <row r="160" spans="1:18" s="66" customFormat="1" x14ac:dyDescent="0.25">
      <c r="A160" s="92"/>
      <c r="B160" s="8"/>
      <c r="C160" s="9"/>
      <c r="D160" s="9"/>
      <c r="E160" s="9"/>
      <c r="F160" s="9"/>
      <c r="G160" s="9"/>
      <c r="H160" s="10"/>
      <c r="I160" s="9"/>
      <c r="J160" s="9"/>
      <c r="K160" s="9"/>
      <c r="L160" s="9"/>
      <c r="M160" s="38"/>
      <c r="N160" s="62"/>
      <c r="O160" s="51"/>
      <c r="P160" s="14"/>
      <c r="Q160" s="15"/>
      <c r="R160" s="15"/>
    </row>
    <row r="161" spans="1:18" s="66" customFormat="1" x14ac:dyDescent="0.25">
      <c r="A161" s="92"/>
      <c r="B161" s="8"/>
      <c r="C161" s="9"/>
      <c r="D161" s="9"/>
      <c r="E161" s="9"/>
      <c r="F161" s="9"/>
      <c r="G161" s="9"/>
      <c r="H161" s="10"/>
      <c r="I161" s="9"/>
      <c r="J161" s="9"/>
      <c r="K161" s="9"/>
      <c r="L161" s="9"/>
      <c r="M161" s="38"/>
      <c r="N161" s="62"/>
      <c r="O161" s="51"/>
      <c r="P161" s="14"/>
      <c r="Q161" s="15"/>
      <c r="R161" s="15"/>
    </row>
    <row r="162" spans="1:18" s="66" customFormat="1" x14ac:dyDescent="0.25">
      <c r="A162" s="92"/>
      <c r="B162" s="8"/>
      <c r="C162" s="9"/>
      <c r="D162" s="9"/>
      <c r="E162" s="9"/>
      <c r="F162" s="9"/>
      <c r="G162" s="9"/>
      <c r="H162" s="10"/>
      <c r="I162" s="9"/>
      <c r="J162" s="9"/>
      <c r="K162" s="9"/>
      <c r="L162" s="9"/>
      <c r="M162" s="38"/>
      <c r="N162" s="62"/>
      <c r="O162" s="51"/>
      <c r="P162" s="14"/>
      <c r="Q162" s="15"/>
      <c r="R162" s="15"/>
    </row>
    <row r="163" spans="1:18" s="66" customFormat="1" x14ac:dyDescent="0.25">
      <c r="A163" s="92"/>
      <c r="B163" s="8"/>
      <c r="C163" s="9"/>
      <c r="D163" s="9"/>
      <c r="E163" s="9"/>
      <c r="F163" s="9"/>
      <c r="G163" s="9"/>
      <c r="H163" s="10"/>
      <c r="I163" s="9"/>
      <c r="J163" s="9"/>
      <c r="K163" s="9"/>
      <c r="L163" s="9"/>
      <c r="M163" s="38"/>
      <c r="N163" s="62"/>
      <c r="O163" s="51"/>
      <c r="P163" s="14"/>
      <c r="Q163" s="15"/>
      <c r="R163" s="15"/>
    </row>
    <row r="164" spans="1:18" s="66" customFormat="1" x14ac:dyDescent="0.25">
      <c r="A164" s="92"/>
      <c r="B164" s="8"/>
      <c r="C164" s="9"/>
      <c r="D164" s="9"/>
      <c r="E164" s="9"/>
      <c r="F164" s="9"/>
      <c r="G164" s="9"/>
      <c r="H164" s="10"/>
      <c r="I164" s="9"/>
      <c r="J164" s="9"/>
      <c r="K164" s="9"/>
      <c r="L164" s="9"/>
      <c r="M164" s="38"/>
      <c r="N164" s="62"/>
      <c r="O164" s="51"/>
      <c r="P164" s="14"/>
      <c r="Q164" s="15"/>
      <c r="R164" s="15"/>
    </row>
    <row r="165" spans="1:18" s="66" customFormat="1" x14ac:dyDescent="0.25">
      <c r="A165" s="92"/>
      <c r="B165" s="8"/>
      <c r="C165" s="9"/>
      <c r="D165" s="9"/>
      <c r="E165" s="9"/>
      <c r="F165" s="9"/>
      <c r="G165" s="9"/>
      <c r="H165" s="10"/>
      <c r="I165" s="9"/>
      <c r="J165" s="9"/>
      <c r="K165" s="9"/>
      <c r="L165" s="9"/>
      <c r="M165" s="38"/>
      <c r="N165" s="62"/>
      <c r="O165" s="51"/>
      <c r="P165" s="14"/>
      <c r="Q165" s="15"/>
      <c r="R165" s="15"/>
    </row>
    <row r="166" spans="1:18" s="66" customFormat="1" x14ac:dyDescent="0.25">
      <c r="A166" s="92"/>
      <c r="B166" s="8"/>
      <c r="C166" s="9"/>
      <c r="D166" s="9"/>
      <c r="E166" s="9"/>
      <c r="F166" s="9"/>
      <c r="G166" s="9"/>
      <c r="H166" s="10"/>
      <c r="I166" s="9"/>
      <c r="J166" s="9"/>
      <c r="K166" s="9"/>
      <c r="L166" s="9"/>
      <c r="M166" s="38"/>
      <c r="N166" s="62"/>
      <c r="O166" s="51"/>
      <c r="P166" s="14"/>
      <c r="Q166" s="15"/>
      <c r="R166" s="15"/>
    </row>
    <row r="167" spans="1:18" s="66" customFormat="1" x14ac:dyDescent="0.25">
      <c r="A167" s="92"/>
      <c r="B167" s="8"/>
      <c r="C167" s="9"/>
      <c r="D167" s="9"/>
      <c r="E167" s="9"/>
      <c r="F167" s="9"/>
      <c r="G167" s="9"/>
      <c r="H167" s="10"/>
      <c r="I167" s="9"/>
      <c r="J167" s="9"/>
      <c r="K167" s="9"/>
      <c r="L167" s="9"/>
      <c r="M167" s="38"/>
      <c r="N167" s="62"/>
      <c r="O167" s="51"/>
      <c r="P167" s="14"/>
      <c r="Q167" s="15"/>
      <c r="R167" s="15"/>
    </row>
    <row r="168" spans="1:18" s="66" customFormat="1" x14ac:dyDescent="0.25">
      <c r="A168" s="92"/>
      <c r="B168" s="8"/>
      <c r="C168" s="9"/>
      <c r="D168" s="9"/>
      <c r="E168" s="9"/>
      <c r="F168" s="9"/>
      <c r="G168" s="9"/>
      <c r="H168" s="10"/>
      <c r="I168" s="9"/>
      <c r="J168" s="9"/>
      <c r="K168" s="9"/>
      <c r="L168" s="9"/>
      <c r="M168" s="38"/>
      <c r="N168" s="62"/>
      <c r="O168" s="51"/>
      <c r="P168" s="14"/>
      <c r="Q168" s="15"/>
      <c r="R168" s="15"/>
    </row>
    <row r="169" spans="1:18" s="66" customFormat="1" x14ac:dyDescent="0.25">
      <c r="A169" s="92"/>
      <c r="B169" s="8"/>
      <c r="C169" s="9"/>
      <c r="D169" s="9"/>
      <c r="E169" s="9"/>
      <c r="F169" s="9"/>
      <c r="G169" s="9"/>
      <c r="H169" s="10"/>
      <c r="I169" s="9"/>
      <c r="J169" s="9"/>
      <c r="K169" s="9"/>
      <c r="L169" s="9"/>
      <c r="M169" s="38"/>
      <c r="N169" s="62"/>
      <c r="O169" s="51"/>
      <c r="P169" s="14"/>
      <c r="Q169" s="15"/>
      <c r="R169" s="15"/>
    </row>
    <row r="170" spans="1:18" s="66" customFormat="1" x14ac:dyDescent="0.25">
      <c r="A170" s="92"/>
      <c r="B170" s="8"/>
      <c r="C170" s="9"/>
      <c r="D170" s="9"/>
      <c r="E170" s="9"/>
      <c r="F170" s="9"/>
      <c r="G170" s="9"/>
      <c r="H170" s="10"/>
      <c r="I170" s="9"/>
      <c r="J170" s="9"/>
      <c r="K170" s="9"/>
      <c r="L170" s="9"/>
      <c r="M170" s="38"/>
      <c r="N170" s="62"/>
      <c r="O170" s="51"/>
      <c r="P170" s="14"/>
      <c r="Q170" s="15"/>
      <c r="R170" s="15"/>
    </row>
    <row r="171" spans="1:18" s="66" customFormat="1" x14ac:dyDescent="0.25">
      <c r="A171" s="92"/>
      <c r="B171" s="8"/>
      <c r="C171" s="9"/>
      <c r="D171" s="9"/>
      <c r="E171" s="9"/>
      <c r="F171" s="9"/>
      <c r="G171" s="9"/>
      <c r="H171" s="10"/>
      <c r="I171" s="9"/>
      <c r="J171" s="9"/>
      <c r="K171" s="9"/>
      <c r="L171" s="9"/>
      <c r="M171" s="38"/>
      <c r="N171" s="62"/>
      <c r="O171" s="51"/>
      <c r="P171" s="14"/>
      <c r="Q171" s="15"/>
      <c r="R171" s="15"/>
    </row>
    <row r="172" spans="1:18" s="66" customFormat="1" x14ac:dyDescent="0.25">
      <c r="A172" s="92"/>
      <c r="B172" s="8"/>
      <c r="C172" s="9"/>
      <c r="D172" s="9"/>
      <c r="E172" s="9"/>
      <c r="F172" s="9"/>
      <c r="G172" s="9"/>
      <c r="H172" s="10"/>
      <c r="I172" s="9"/>
      <c r="J172" s="9"/>
      <c r="K172" s="9"/>
      <c r="L172" s="9"/>
      <c r="M172" s="38"/>
      <c r="N172" s="62"/>
      <c r="O172" s="51"/>
      <c r="P172" s="14"/>
      <c r="Q172" s="15"/>
      <c r="R172" s="15"/>
    </row>
    <row r="173" spans="1:18" s="66" customFormat="1" x14ac:dyDescent="0.25">
      <c r="A173" s="92"/>
      <c r="B173" s="8"/>
      <c r="C173" s="9"/>
      <c r="D173" s="9"/>
      <c r="E173" s="9"/>
      <c r="F173" s="9"/>
      <c r="G173" s="9"/>
      <c r="H173" s="10"/>
      <c r="I173" s="9"/>
      <c r="J173" s="9"/>
      <c r="K173" s="9"/>
      <c r="L173" s="9"/>
      <c r="M173" s="38"/>
      <c r="N173" s="62"/>
      <c r="O173" s="51"/>
      <c r="P173" s="14"/>
      <c r="Q173" s="15"/>
      <c r="R173" s="15"/>
    </row>
    <row r="174" spans="1:18" s="66" customFormat="1" x14ac:dyDescent="0.25">
      <c r="A174" s="92"/>
      <c r="B174" s="8"/>
      <c r="C174" s="9"/>
      <c r="D174" s="9"/>
      <c r="E174" s="9"/>
      <c r="F174" s="9"/>
      <c r="G174" s="9"/>
      <c r="H174" s="10"/>
      <c r="I174" s="9"/>
      <c r="J174" s="9"/>
      <c r="K174" s="9"/>
      <c r="L174" s="9"/>
      <c r="M174" s="38"/>
      <c r="N174" s="62"/>
      <c r="O174" s="51"/>
      <c r="P174" s="14"/>
      <c r="Q174" s="15"/>
      <c r="R174" s="15"/>
    </row>
    <row r="175" spans="1:18" s="66" customFormat="1" x14ac:dyDescent="0.25">
      <c r="A175" s="92"/>
      <c r="B175" s="8"/>
      <c r="C175" s="9"/>
      <c r="D175" s="9"/>
      <c r="E175" s="9"/>
      <c r="F175" s="9"/>
      <c r="G175" s="9"/>
      <c r="H175" s="10"/>
      <c r="I175" s="9"/>
      <c r="J175" s="9"/>
      <c r="K175" s="9"/>
      <c r="L175" s="9"/>
      <c r="M175" s="38"/>
      <c r="N175" s="62"/>
      <c r="O175" s="51"/>
      <c r="P175" s="14"/>
      <c r="Q175" s="15"/>
      <c r="R175" s="15"/>
    </row>
    <row r="176" spans="1:18" s="66" customFormat="1" x14ac:dyDescent="0.25">
      <c r="A176" s="92"/>
      <c r="B176" s="8"/>
      <c r="C176" s="9"/>
      <c r="D176" s="9"/>
      <c r="E176" s="9"/>
      <c r="F176" s="9"/>
      <c r="G176" s="9"/>
      <c r="H176" s="10"/>
      <c r="I176" s="9"/>
      <c r="J176" s="9"/>
      <c r="K176" s="9"/>
      <c r="L176" s="9"/>
      <c r="M176" s="38"/>
      <c r="N176" s="62"/>
      <c r="O176" s="51"/>
      <c r="P176" s="14"/>
      <c r="Q176" s="15"/>
      <c r="R176" s="15"/>
    </row>
    <row r="177" spans="1:18" s="66" customFormat="1" x14ac:dyDescent="0.25">
      <c r="A177" s="92"/>
      <c r="B177" s="8"/>
      <c r="C177" s="9"/>
      <c r="D177" s="9"/>
      <c r="E177" s="9"/>
      <c r="F177" s="9"/>
      <c r="G177" s="9"/>
      <c r="H177" s="10"/>
      <c r="I177" s="9"/>
      <c r="J177" s="9"/>
      <c r="K177" s="9"/>
      <c r="L177" s="9"/>
      <c r="M177" s="38"/>
      <c r="N177" s="62"/>
      <c r="O177" s="51"/>
      <c r="P177" s="14"/>
      <c r="Q177" s="15"/>
      <c r="R177" s="15"/>
    </row>
    <row r="178" spans="1:18" s="66" customFormat="1" x14ac:dyDescent="0.25">
      <c r="A178" s="92"/>
      <c r="B178" s="8"/>
      <c r="C178" s="9"/>
      <c r="D178" s="9"/>
      <c r="E178" s="9"/>
      <c r="F178" s="9"/>
      <c r="G178" s="9"/>
      <c r="H178" s="10"/>
      <c r="I178" s="9"/>
      <c r="J178" s="9"/>
      <c r="K178" s="9"/>
      <c r="L178" s="9"/>
      <c r="M178" s="38"/>
      <c r="N178" s="62"/>
      <c r="O178" s="51"/>
      <c r="P178" s="14"/>
      <c r="Q178" s="15"/>
      <c r="R178" s="15"/>
    </row>
    <row r="179" spans="1:18" s="66" customFormat="1" x14ac:dyDescent="0.25">
      <c r="A179" s="92"/>
      <c r="B179" s="8"/>
      <c r="C179" s="9"/>
      <c r="D179" s="9"/>
      <c r="E179" s="9"/>
      <c r="F179" s="9"/>
      <c r="G179" s="9"/>
      <c r="H179" s="10"/>
      <c r="I179" s="9"/>
      <c r="J179" s="9"/>
      <c r="K179" s="9"/>
      <c r="L179" s="9"/>
      <c r="M179" s="38"/>
      <c r="N179" s="62"/>
      <c r="O179" s="51"/>
      <c r="P179" s="14"/>
      <c r="Q179" s="15"/>
      <c r="R179" s="15"/>
    </row>
    <row r="180" spans="1:18" s="66" customFormat="1" x14ac:dyDescent="0.25">
      <c r="A180" s="92"/>
      <c r="B180" s="8"/>
      <c r="C180" s="9"/>
      <c r="D180" s="9"/>
      <c r="E180" s="9"/>
      <c r="F180" s="9"/>
      <c r="G180" s="9"/>
      <c r="H180" s="10"/>
      <c r="I180" s="9"/>
      <c r="J180" s="9"/>
      <c r="K180" s="9"/>
      <c r="L180" s="9"/>
      <c r="M180" s="38"/>
      <c r="N180" s="62"/>
      <c r="O180" s="51"/>
      <c r="P180" s="14"/>
      <c r="Q180" s="15"/>
      <c r="R180" s="15"/>
    </row>
    <row r="181" spans="1:18" s="66" customFormat="1" x14ac:dyDescent="0.25">
      <c r="A181" s="92"/>
      <c r="B181" s="8"/>
      <c r="C181" s="9"/>
      <c r="D181" s="9"/>
      <c r="E181" s="9"/>
      <c r="F181" s="9"/>
      <c r="G181" s="9"/>
      <c r="H181" s="10"/>
      <c r="I181" s="9"/>
      <c r="J181" s="9"/>
      <c r="K181" s="9"/>
      <c r="L181" s="9"/>
      <c r="M181" s="38"/>
      <c r="N181" s="62"/>
      <c r="O181" s="51"/>
      <c r="P181" s="14"/>
      <c r="Q181" s="15"/>
      <c r="R181" s="15"/>
    </row>
    <row r="182" spans="1:18" s="66" customFormat="1" x14ac:dyDescent="0.25">
      <c r="A182" s="92"/>
      <c r="B182" s="8"/>
      <c r="C182" s="9"/>
      <c r="D182" s="9"/>
      <c r="E182" s="9"/>
      <c r="F182" s="9"/>
      <c r="G182" s="9"/>
      <c r="H182" s="10"/>
      <c r="I182" s="9"/>
      <c r="J182" s="9"/>
      <c r="K182" s="9"/>
      <c r="L182" s="9"/>
      <c r="M182" s="38"/>
      <c r="N182" s="62"/>
      <c r="O182" s="51"/>
      <c r="P182" s="14"/>
      <c r="Q182" s="15"/>
      <c r="R182" s="15"/>
    </row>
    <row r="183" spans="1:18" s="66" customFormat="1" x14ac:dyDescent="0.25">
      <c r="A183" s="92"/>
      <c r="B183" s="8"/>
      <c r="C183" s="9"/>
      <c r="D183" s="9"/>
      <c r="E183" s="9"/>
      <c r="F183" s="9"/>
      <c r="G183" s="9"/>
      <c r="H183" s="10"/>
      <c r="I183" s="9"/>
      <c r="J183" s="9"/>
      <c r="K183" s="9"/>
      <c r="L183" s="9"/>
      <c r="M183" s="38"/>
      <c r="N183" s="62"/>
      <c r="O183" s="51"/>
      <c r="P183" s="14"/>
      <c r="Q183" s="15"/>
      <c r="R183" s="15"/>
    </row>
    <row r="184" spans="1:18" s="66" customFormat="1" x14ac:dyDescent="0.25">
      <c r="A184" s="92"/>
      <c r="B184" s="8"/>
      <c r="C184" s="9"/>
      <c r="D184" s="9"/>
      <c r="E184" s="9"/>
      <c r="F184" s="9"/>
      <c r="G184" s="9"/>
      <c r="H184" s="10"/>
      <c r="I184" s="9"/>
      <c r="J184" s="9"/>
      <c r="K184" s="9"/>
      <c r="L184" s="9"/>
      <c r="M184" s="38"/>
      <c r="N184" s="62"/>
      <c r="O184" s="51"/>
      <c r="P184" s="14"/>
      <c r="Q184" s="15"/>
      <c r="R184" s="15"/>
    </row>
    <row r="185" spans="1:18" s="66" customFormat="1" x14ac:dyDescent="0.25">
      <c r="A185" s="92"/>
      <c r="B185" s="8"/>
      <c r="C185" s="9"/>
      <c r="D185" s="9"/>
      <c r="E185" s="9"/>
      <c r="F185" s="9"/>
      <c r="G185" s="9"/>
      <c r="H185" s="10"/>
      <c r="I185" s="9"/>
      <c r="J185" s="9"/>
      <c r="K185" s="9"/>
      <c r="L185" s="9"/>
      <c r="M185" s="38"/>
      <c r="N185" s="62"/>
      <c r="O185" s="51"/>
      <c r="P185" s="14"/>
      <c r="Q185" s="15"/>
      <c r="R185" s="15"/>
    </row>
    <row r="186" spans="1:18" s="66" customFormat="1" x14ac:dyDescent="0.25">
      <c r="A186" s="92"/>
      <c r="B186" s="8"/>
      <c r="C186" s="9"/>
      <c r="D186" s="9"/>
      <c r="E186" s="9"/>
      <c r="F186" s="9"/>
      <c r="G186" s="9"/>
      <c r="H186" s="10"/>
      <c r="I186" s="9"/>
      <c r="J186" s="9"/>
      <c r="K186" s="9"/>
      <c r="L186" s="9"/>
      <c r="M186" s="38"/>
      <c r="N186" s="62"/>
      <c r="O186" s="51"/>
      <c r="P186" s="14"/>
      <c r="Q186" s="15"/>
      <c r="R186" s="15"/>
    </row>
    <row r="187" spans="1:18" s="66" customFormat="1" x14ac:dyDescent="0.25">
      <c r="A187" s="92"/>
      <c r="B187" s="8"/>
      <c r="C187" s="9"/>
      <c r="D187" s="9"/>
      <c r="E187" s="9"/>
      <c r="F187" s="9"/>
      <c r="G187" s="9"/>
      <c r="H187" s="10"/>
      <c r="I187" s="9"/>
      <c r="J187" s="9"/>
      <c r="K187" s="9"/>
      <c r="L187" s="9"/>
      <c r="M187" s="38"/>
      <c r="N187" s="62"/>
      <c r="O187" s="51"/>
      <c r="P187" s="14"/>
      <c r="Q187" s="15"/>
      <c r="R187" s="15"/>
    </row>
    <row r="188" spans="1:18" s="66" customFormat="1" x14ac:dyDescent="0.25">
      <c r="A188" s="92"/>
      <c r="B188" s="8"/>
      <c r="C188" s="9"/>
      <c r="D188" s="9"/>
      <c r="E188" s="9"/>
      <c r="F188" s="9"/>
      <c r="G188" s="9"/>
      <c r="H188" s="10"/>
      <c r="I188" s="9"/>
      <c r="J188" s="9"/>
      <c r="K188" s="9"/>
      <c r="L188" s="9"/>
      <c r="M188" s="38"/>
      <c r="N188" s="62"/>
      <c r="O188" s="51"/>
      <c r="P188" s="14"/>
      <c r="Q188" s="15"/>
      <c r="R188" s="15"/>
    </row>
    <row r="189" spans="1:18" s="66" customFormat="1" x14ac:dyDescent="0.25">
      <c r="A189" s="92"/>
      <c r="B189" s="8"/>
      <c r="C189" s="9"/>
      <c r="D189" s="9"/>
      <c r="E189" s="9"/>
      <c r="F189" s="9"/>
      <c r="G189" s="9"/>
      <c r="H189" s="10"/>
      <c r="I189" s="9"/>
      <c r="J189" s="9"/>
      <c r="K189" s="9"/>
      <c r="L189" s="9"/>
      <c r="M189" s="38"/>
      <c r="N189" s="62"/>
      <c r="O189" s="51"/>
      <c r="P189" s="14"/>
      <c r="Q189" s="15"/>
      <c r="R189" s="15"/>
    </row>
    <row r="190" spans="1:18" s="66" customFormat="1" x14ac:dyDescent="0.25">
      <c r="A190" s="92"/>
      <c r="B190" s="8"/>
      <c r="C190" s="9"/>
      <c r="D190" s="9"/>
      <c r="E190" s="9"/>
      <c r="F190" s="9"/>
      <c r="G190" s="9"/>
      <c r="H190" s="10"/>
      <c r="I190" s="9"/>
      <c r="J190" s="9"/>
      <c r="K190" s="9"/>
      <c r="L190" s="9"/>
      <c r="M190" s="38"/>
      <c r="N190" s="62"/>
      <c r="O190" s="51"/>
      <c r="P190" s="14"/>
      <c r="Q190" s="15"/>
      <c r="R190" s="15"/>
    </row>
    <row r="191" spans="1:18" s="66" customFormat="1" x14ac:dyDescent="0.25">
      <c r="A191" s="92"/>
      <c r="B191" s="8"/>
      <c r="C191" s="9"/>
      <c r="D191" s="9"/>
      <c r="E191" s="9"/>
      <c r="F191" s="9"/>
      <c r="G191" s="9"/>
      <c r="H191" s="10"/>
      <c r="I191" s="9"/>
      <c r="J191" s="9"/>
      <c r="K191" s="9"/>
      <c r="L191" s="9"/>
      <c r="M191" s="38"/>
      <c r="N191" s="62"/>
      <c r="O191" s="51"/>
      <c r="P191" s="14"/>
      <c r="Q191" s="15"/>
      <c r="R191" s="15"/>
    </row>
    <row r="192" spans="1:18" s="66" customFormat="1" x14ac:dyDescent="0.25">
      <c r="A192" s="92"/>
      <c r="B192" s="8"/>
      <c r="C192" s="9"/>
      <c r="D192" s="9"/>
      <c r="E192" s="9"/>
      <c r="F192" s="9"/>
      <c r="G192" s="9"/>
      <c r="H192" s="10"/>
      <c r="I192" s="9"/>
      <c r="J192" s="9"/>
      <c r="K192" s="9"/>
      <c r="L192" s="9"/>
      <c r="M192" s="38"/>
      <c r="N192" s="62"/>
      <c r="O192" s="51"/>
      <c r="P192" s="14"/>
      <c r="Q192" s="15"/>
      <c r="R192" s="15"/>
    </row>
    <row r="193" spans="1:18" s="66" customFormat="1" x14ac:dyDescent="0.25">
      <c r="A193" s="92"/>
      <c r="B193" s="8"/>
      <c r="C193" s="9"/>
      <c r="D193" s="9"/>
      <c r="E193" s="9"/>
      <c r="F193" s="9"/>
      <c r="G193" s="9"/>
      <c r="H193" s="10"/>
      <c r="I193" s="9"/>
      <c r="J193" s="9"/>
      <c r="K193" s="9"/>
      <c r="L193" s="9"/>
      <c r="M193" s="38"/>
      <c r="N193" s="62"/>
      <c r="O193" s="51"/>
      <c r="P193" s="14"/>
      <c r="Q193" s="15"/>
      <c r="R193" s="15"/>
    </row>
    <row r="194" spans="1:18" s="66" customFormat="1" x14ac:dyDescent="0.25">
      <c r="A194" s="92"/>
      <c r="B194" s="8"/>
      <c r="C194" s="9"/>
      <c r="D194" s="9"/>
      <c r="E194" s="9"/>
      <c r="F194" s="9"/>
      <c r="G194" s="9"/>
      <c r="H194" s="10"/>
      <c r="I194" s="9"/>
      <c r="J194" s="9"/>
      <c r="K194" s="9"/>
      <c r="L194" s="9"/>
      <c r="M194" s="38"/>
      <c r="N194" s="62"/>
      <c r="O194" s="51"/>
      <c r="P194" s="14"/>
      <c r="Q194" s="15"/>
      <c r="R194" s="15"/>
    </row>
    <row r="195" spans="1:18" s="66" customFormat="1" x14ac:dyDescent="0.25">
      <c r="A195" s="92"/>
      <c r="B195" s="8"/>
      <c r="C195" s="9"/>
      <c r="D195" s="9"/>
      <c r="E195" s="9"/>
      <c r="F195" s="9"/>
      <c r="G195" s="9"/>
      <c r="H195" s="10"/>
      <c r="I195" s="9"/>
      <c r="J195" s="9"/>
      <c r="K195" s="9"/>
      <c r="L195" s="9"/>
      <c r="M195" s="38"/>
      <c r="N195" s="62"/>
      <c r="O195" s="51"/>
      <c r="P195" s="14"/>
      <c r="Q195" s="15"/>
      <c r="R195" s="15"/>
    </row>
    <row r="196" spans="1:18" s="66" customFormat="1" x14ac:dyDescent="0.25">
      <c r="A196" s="92"/>
      <c r="B196" s="8"/>
      <c r="C196" s="9"/>
      <c r="D196" s="9"/>
      <c r="E196" s="9"/>
      <c r="F196" s="9"/>
      <c r="G196" s="9"/>
      <c r="H196" s="10"/>
      <c r="I196" s="9"/>
      <c r="J196" s="9"/>
      <c r="K196" s="9"/>
      <c r="L196" s="9"/>
      <c r="M196" s="38"/>
      <c r="N196" s="62"/>
      <c r="O196" s="51"/>
      <c r="P196" s="14"/>
      <c r="Q196" s="15"/>
      <c r="R196" s="15"/>
    </row>
    <row r="197" spans="1:18" s="66" customFormat="1" x14ac:dyDescent="0.25">
      <c r="A197" s="92"/>
      <c r="B197" s="8"/>
      <c r="C197" s="9"/>
      <c r="D197" s="9"/>
      <c r="E197" s="9"/>
      <c r="F197" s="9"/>
      <c r="G197" s="9"/>
      <c r="H197" s="10"/>
      <c r="I197" s="9"/>
      <c r="J197" s="9"/>
      <c r="K197" s="9"/>
      <c r="L197" s="9"/>
      <c r="M197" s="38"/>
      <c r="N197" s="62"/>
      <c r="O197" s="51"/>
      <c r="P197" s="14"/>
      <c r="Q197" s="15"/>
      <c r="R197" s="15"/>
    </row>
    <row r="198" spans="1:18" s="66" customFormat="1" x14ac:dyDescent="0.25">
      <c r="A198" s="92"/>
      <c r="B198" s="8"/>
      <c r="C198" s="9"/>
      <c r="D198" s="9"/>
      <c r="E198" s="9"/>
      <c r="F198" s="9"/>
      <c r="G198" s="9"/>
      <c r="H198" s="10"/>
      <c r="I198" s="9"/>
      <c r="J198" s="9"/>
      <c r="K198" s="9"/>
      <c r="L198" s="9"/>
      <c r="M198" s="38"/>
      <c r="N198" s="62"/>
      <c r="O198" s="51"/>
      <c r="P198" s="14"/>
      <c r="Q198" s="15"/>
      <c r="R198" s="15"/>
    </row>
    <row r="199" spans="1:18" s="66" customFormat="1" x14ac:dyDescent="0.25">
      <c r="A199" s="92"/>
      <c r="B199" s="8"/>
      <c r="C199" s="9"/>
      <c r="D199" s="9"/>
      <c r="E199" s="9"/>
      <c r="F199" s="9"/>
      <c r="G199" s="9"/>
      <c r="H199" s="10"/>
      <c r="I199" s="9"/>
      <c r="J199" s="9"/>
      <c r="K199" s="9"/>
      <c r="L199" s="9"/>
      <c r="M199" s="38"/>
      <c r="N199" s="62"/>
      <c r="O199" s="51"/>
      <c r="P199" s="14"/>
      <c r="Q199" s="15"/>
      <c r="R199" s="15"/>
    </row>
    <row r="200" spans="1:18" s="66" customFormat="1" x14ac:dyDescent="0.25">
      <c r="A200" s="92"/>
      <c r="B200" s="8"/>
      <c r="C200" s="9"/>
      <c r="D200" s="9"/>
      <c r="E200" s="9"/>
      <c r="F200" s="9"/>
      <c r="G200" s="9"/>
      <c r="H200" s="10"/>
      <c r="I200" s="9"/>
      <c r="J200" s="9"/>
      <c r="K200" s="9"/>
      <c r="L200" s="9"/>
      <c r="M200" s="38"/>
      <c r="N200" s="62"/>
      <c r="O200" s="51"/>
      <c r="P200" s="14"/>
      <c r="Q200" s="15"/>
      <c r="R200" s="15"/>
    </row>
    <row r="201" spans="1:18" s="66" customFormat="1" x14ac:dyDescent="0.25">
      <c r="A201" s="92"/>
      <c r="B201" s="8"/>
      <c r="C201" s="9"/>
      <c r="D201" s="9"/>
      <c r="E201" s="9"/>
      <c r="F201" s="9"/>
      <c r="G201" s="9"/>
      <c r="H201" s="10"/>
      <c r="I201" s="9"/>
      <c r="J201" s="9"/>
      <c r="K201" s="9"/>
      <c r="L201" s="9"/>
      <c r="M201" s="38"/>
      <c r="N201" s="62"/>
      <c r="O201" s="51"/>
      <c r="P201" s="14"/>
      <c r="Q201" s="15"/>
      <c r="R201" s="15"/>
    </row>
    <row r="202" spans="1:18" s="66" customFormat="1" x14ac:dyDescent="0.25">
      <c r="A202" s="92"/>
      <c r="B202" s="8"/>
      <c r="C202" s="9"/>
      <c r="D202" s="9"/>
      <c r="E202" s="9"/>
      <c r="F202" s="9"/>
      <c r="G202" s="9"/>
      <c r="H202" s="10"/>
      <c r="I202" s="9"/>
      <c r="J202" s="9"/>
      <c r="K202" s="9"/>
      <c r="L202" s="9"/>
      <c r="M202" s="38"/>
      <c r="N202" s="62"/>
      <c r="O202" s="51"/>
      <c r="P202" s="14"/>
      <c r="Q202" s="15"/>
      <c r="R202" s="15"/>
    </row>
    <row r="203" spans="1:18" s="66" customFormat="1" x14ac:dyDescent="0.25">
      <c r="A203" s="92"/>
      <c r="B203" s="8"/>
      <c r="C203" s="9"/>
      <c r="D203" s="9"/>
      <c r="E203" s="9"/>
      <c r="F203" s="9"/>
      <c r="G203" s="9"/>
      <c r="H203" s="10"/>
      <c r="I203" s="9"/>
      <c r="J203" s="9"/>
      <c r="K203" s="9"/>
      <c r="L203" s="9"/>
      <c r="M203" s="38"/>
      <c r="N203" s="62"/>
      <c r="O203" s="51"/>
      <c r="P203" s="14"/>
      <c r="Q203" s="15"/>
      <c r="R203" s="15"/>
    </row>
    <row r="204" spans="1:18" s="66" customFormat="1" x14ac:dyDescent="0.25">
      <c r="A204" s="92"/>
      <c r="B204" s="8"/>
      <c r="C204" s="9"/>
      <c r="D204" s="9"/>
      <c r="E204" s="9"/>
      <c r="F204" s="9"/>
      <c r="G204" s="9"/>
      <c r="H204" s="10"/>
      <c r="I204" s="9"/>
      <c r="J204" s="9"/>
      <c r="K204" s="9"/>
      <c r="L204" s="9"/>
      <c r="M204" s="38"/>
      <c r="N204" s="62"/>
      <c r="O204" s="51"/>
      <c r="P204" s="14"/>
      <c r="Q204" s="15"/>
      <c r="R204" s="15"/>
    </row>
    <row r="205" spans="1:18" s="66" customFormat="1" x14ac:dyDescent="0.25">
      <c r="A205" s="92"/>
      <c r="B205" s="8"/>
      <c r="C205" s="9"/>
      <c r="D205" s="9"/>
      <c r="E205" s="9"/>
      <c r="F205" s="9"/>
      <c r="G205" s="9"/>
      <c r="H205" s="10"/>
      <c r="I205" s="9"/>
      <c r="J205" s="9"/>
      <c r="K205" s="9"/>
      <c r="L205" s="9"/>
      <c r="M205" s="38"/>
      <c r="N205" s="62"/>
      <c r="O205" s="51"/>
      <c r="P205" s="14"/>
      <c r="Q205" s="15"/>
      <c r="R205" s="15"/>
    </row>
    <row r="206" spans="1:18" s="66" customFormat="1" x14ac:dyDescent="0.25">
      <c r="A206" s="92"/>
      <c r="B206" s="8"/>
      <c r="C206" s="9"/>
      <c r="D206" s="9"/>
      <c r="E206" s="9"/>
      <c r="F206" s="9"/>
      <c r="G206" s="9"/>
      <c r="H206" s="10"/>
      <c r="I206" s="9"/>
      <c r="J206" s="9"/>
      <c r="K206" s="9"/>
      <c r="L206" s="9"/>
      <c r="M206" s="38"/>
      <c r="N206" s="62"/>
      <c r="O206" s="51"/>
      <c r="P206" s="14"/>
      <c r="Q206" s="15"/>
      <c r="R206" s="15"/>
    </row>
    <row r="207" spans="1:18" s="66" customFormat="1" x14ac:dyDescent="0.25">
      <c r="A207" s="92"/>
      <c r="B207" s="8"/>
      <c r="C207" s="9"/>
      <c r="D207" s="9"/>
      <c r="E207" s="9"/>
      <c r="F207" s="9"/>
      <c r="G207" s="9"/>
      <c r="H207" s="10"/>
      <c r="I207" s="9"/>
      <c r="J207" s="9"/>
      <c r="K207" s="9"/>
      <c r="L207" s="9"/>
      <c r="M207" s="38"/>
      <c r="N207" s="62"/>
      <c r="O207" s="51"/>
      <c r="P207" s="14"/>
      <c r="Q207" s="15"/>
      <c r="R207" s="15"/>
    </row>
    <row r="208" spans="1:18" s="66" customFormat="1" x14ac:dyDescent="0.25">
      <c r="A208" s="92"/>
      <c r="B208" s="8"/>
      <c r="C208" s="9"/>
      <c r="D208" s="9"/>
      <c r="E208" s="9"/>
      <c r="F208" s="9"/>
      <c r="G208" s="9"/>
      <c r="H208" s="10"/>
      <c r="I208" s="9"/>
      <c r="J208" s="9"/>
      <c r="K208" s="9"/>
      <c r="L208" s="9"/>
      <c r="M208" s="38"/>
      <c r="N208" s="62"/>
      <c r="O208" s="51"/>
      <c r="P208" s="14"/>
      <c r="Q208" s="15"/>
      <c r="R208" s="15"/>
    </row>
    <row r="209" spans="1:18" s="66" customFormat="1" x14ac:dyDescent="0.25">
      <c r="A209" s="92"/>
      <c r="B209" s="8"/>
      <c r="C209" s="9"/>
      <c r="D209" s="9"/>
      <c r="E209" s="9"/>
      <c r="F209" s="9"/>
      <c r="G209" s="9"/>
      <c r="H209" s="10"/>
      <c r="I209" s="9"/>
      <c r="J209" s="9"/>
      <c r="K209" s="9"/>
      <c r="L209" s="9"/>
      <c r="M209" s="38"/>
      <c r="N209" s="62"/>
      <c r="O209" s="51"/>
      <c r="P209" s="14"/>
      <c r="Q209" s="15"/>
      <c r="R209" s="15"/>
    </row>
    <row r="210" spans="1:18" s="66" customFormat="1" x14ac:dyDescent="0.25">
      <c r="A210" s="92"/>
      <c r="B210" s="8"/>
      <c r="C210" s="9"/>
      <c r="D210" s="9"/>
      <c r="E210" s="9"/>
      <c r="F210" s="9"/>
      <c r="G210" s="9"/>
      <c r="H210" s="10"/>
      <c r="I210" s="9"/>
      <c r="J210" s="9"/>
      <c r="K210" s="9"/>
      <c r="L210" s="9"/>
      <c r="M210" s="38"/>
      <c r="N210" s="62"/>
      <c r="O210" s="51"/>
      <c r="P210" s="14"/>
      <c r="Q210" s="15"/>
      <c r="R210" s="15"/>
    </row>
    <row r="211" spans="1:18" s="66" customFormat="1" x14ac:dyDescent="0.25">
      <c r="A211" s="92"/>
      <c r="B211" s="8"/>
      <c r="C211" s="9"/>
      <c r="D211" s="9"/>
      <c r="E211" s="9"/>
      <c r="F211" s="9"/>
      <c r="G211" s="9"/>
      <c r="H211" s="10"/>
      <c r="I211" s="9"/>
      <c r="J211" s="9"/>
      <c r="K211" s="9"/>
      <c r="L211" s="9"/>
      <c r="M211" s="38"/>
      <c r="N211" s="62"/>
      <c r="O211" s="51"/>
      <c r="P211" s="14"/>
      <c r="Q211" s="15"/>
      <c r="R211" s="15"/>
    </row>
    <row r="212" spans="1:18" s="66" customFormat="1" x14ac:dyDescent="0.25">
      <c r="A212" s="92"/>
      <c r="B212" s="8"/>
      <c r="C212" s="9"/>
      <c r="D212" s="9"/>
      <c r="E212" s="9"/>
      <c r="F212" s="9"/>
      <c r="G212" s="9"/>
      <c r="H212" s="10"/>
      <c r="I212" s="9"/>
      <c r="J212" s="9"/>
      <c r="K212" s="9"/>
      <c r="L212" s="9"/>
      <c r="M212" s="38"/>
      <c r="N212" s="62"/>
      <c r="O212" s="51"/>
      <c r="P212" s="14"/>
      <c r="Q212" s="15"/>
      <c r="R212" s="15"/>
    </row>
    <row r="213" spans="1:18" s="66" customFormat="1" x14ac:dyDescent="0.25">
      <c r="A213" s="92"/>
      <c r="B213" s="8"/>
      <c r="C213" s="9"/>
      <c r="D213" s="9"/>
      <c r="E213" s="9"/>
      <c r="F213" s="9"/>
      <c r="G213" s="9"/>
      <c r="H213" s="10"/>
      <c r="I213" s="9"/>
      <c r="J213" s="9"/>
      <c r="K213" s="9"/>
      <c r="L213" s="9"/>
      <c r="M213" s="38"/>
      <c r="N213" s="62"/>
      <c r="O213" s="51"/>
      <c r="P213" s="14"/>
      <c r="Q213" s="15"/>
      <c r="R213" s="15"/>
    </row>
    <row r="214" spans="1:18" s="66" customFormat="1" x14ac:dyDescent="0.25">
      <c r="A214" s="92"/>
      <c r="B214" s="8"/>
      <c r="C214" s="9"/>
      <c r="D214" s="9"/>
      <c r="E214" s="9"/>
      <c r="F214" s="9"/>
      <c r="G214" s="9"/>
      <c r="H214" s="10"/>
      <c r="I214" s="9"/>
      <c r="J214" s="9"/>
      <c r="K214" s="9"/>
      <c r="L214" s="9"/>
      <c r="M214" s="38"/>
      <c r="N214" s="62"/>
      <c r="O214" s="51"/>
      <c r="P214" s="14"/>
      <c r="Q214" s="15"/>
      <c r="R214" s="15"/>
    </row>
    <row r="215" spans="1:18" s="66" customFormat="1" x14ac:dyDescent="0.25">
      <c r="A215" s="92"/>
      <c r="B215" s="8"/>
      <c r="C215" s="9"/>
      <c r="D215" s="9"/>
      <c r="E215" s="9"/>
      <c r="F215" s="9"/>
      <c r="G215" s="9"/>
      <c r="H215" s="10"/>
      <c r="I215" s="9"/>
      <c r="J215" s="9"/>
      <c r="K215" s="9"/>
      <c r="L215" s="9"/>
      <c r="M215" s="38"/>
      <c r="N215" s="62"/>
      <c r="O215" s="51"/>
      <c r="P215" s="14"/>
      <c r="Q215" s="15"/>
      <c r="R215" s="15"/>
    </row>
    <row r="216" spans="1:18" s="66" customFormat="1" x14ac:dyDescent="0.25">
      <c r="A216" s="92"/>
      <c r="B216" s="8"/>
      <c r="C216" s="9"/>
      <c r="D216" s="9"/>
      <c r="E216" s="9"/>
      <c r="F216" s="9"/>
      <c r="G216" s="9"/>
      <c r="H216" s="10"/>
      <c r="I216" s="9"/>
      <c r="J216" s="9"/>
      <c r="K216" s="9"/>
      <c r="L216" s="9"/>
      <c r="M216" s="38"/>
      <c r="N216" s="62"/>
      <c r="O216" s="51"/>
      <c r="P216" s="14"/>
      <c r="Q216" s="15"/>
      <c r="R216" s="15"/>
    </row>
    <row r="217" spans="1:18" s="66" customFormat="1" x14ac:dyDescent="0.25">
      <c r="A217" s="92"/>
      <c r="B217" s="8"/>
      <c r="C217" s="9"/>
      <c r="D217" s="9"/>
      <c r="E217" s="9"/>
      <c r="F217" s="9"/>
      <c r="G217" s="9"/>
      <c r="H217" s="10"/>
      <c r="I217" s="9"/>
      <c r="J217" s="9"/>
      <c r="K217" s="9"/>
      <c r="L217" s="9"/>
      <c r="M217" s="38"/>
      <c r="N217" s="62"/>
      <c r="O217" s="51"/>
      <c r="P217" s="14"/>
      <c r="Q217" s="15"/>
      <c r="R217" s="15"/>
    </row>
    <row r="218" spans="1:18" s="66" customFormat="1" x14ac:dyDescent="0.25">
      <c r="A218" s="92"/>
      <c r="B218" s="8"/>
      <c r="C218" s="9"/>
      <c r="D218" s="9"/>
      <c r="E218" s="9"/>
      <c r="F218" s="9"/>
      <c r="G218" s="9"/>
      <c r="H218" s="10"/>
      <c r="I218" s="9"/>
      <c r="J218" s="9"/>
      <c r="K218" s="9"/>
      <c r="L218" s="9"/>
      <c r="M218" s="38"/>
      <c r="N218" s="62"/>
      <c r="O218" s="51"/>
      <c r="P218" s="14"/>
      <c r="Q218" s="15"/>
      <c r="R218" s="15"/>
    </row>
    <row r="219" spans="1:18" s="66" customFormat="1" x14ac:dyDescent="0.25">
      <c r="A219" s="92"/>
      <c r="B219" s="8"/>
      <c r="C219" s="9"/>
      <c r="D219" s="9"/>
      <c r="E219" s="9"/>
      <c r="F219" s="9"/>
      <c r="G219" s="9"/>
      <c r="H219" s="10"/>
      <c r="I219" s="9"/>
      <c r="J219" s="9"/>
      <c r="K219" s="9"/>
      <c r="L219" s="9"/>
      <c r="M219" s="38"/>
      <c r="N219" s="62"/>
      <c r="O219" s="51"/>
      <c r="P219" s="14"/>
      <c r="Q219" s="15"/>
      <c r="R219" s="15"/>
    </row>
    <row r="220" spans="1:18" s="66" customFormat="1" x14ac:dyDescent="0.25">
      <c r="A220" s="92"/>
      <c r="B220" s="8"/>
      <c r="C220" s="9"/>
      <c r="D220" s="9"/>
      <c r="E220" s="9"/>
      <c r="F220" s="9"/>
      <c r="G220" s="9"/>
      <c r="H220" s="10"/>
      <c r="I220" s="9"/>
      <c r="J220" s="9"/>
      <c r="K220" s="9"/>
      <c r="L220" s="9"/>
      <c r="M220" s="38"/>
      <c r="N220" s="62"/>
      <c r="O220" s="51"/>
      <c r="P220" s="14"/>
      <c r="Q220" s="15"/>
      <c r="R220" s="15"/>
    </row>
    <row r="221" spans="1:18" s="66" customFormat="1" x14ac:dyDescent="0.25">
      <c r="A221" s="92"/>
      <c r="B221" s="8"/>
      <c r="C221" s="9"/>
      <c r="D221" s="9"/>
      <c r="E221" s="9"/>
      <c r="F221" s="9"/>
      <c r="G221" s="9"/>
      <c r="H221" s="10"/>
      <c r="I221" s="9"/>
      <c r="J221" s="9"/>
      <c r="K221" s="9"/>
      <c r="L221" s="9"/>
      <c r="M221" s="38"/>
      <c r="N221" s="62"/>
      <c r="O221" s="51"/>
      <c r="P221" s="14"/>
      <c r="Q221" s="15"/>
      <c r="R221" s="15"/>
    </row>
    <row r="222" spans="1:18" s="66" customFormat="1" x14ac:dyDescent="0.25">
      <c r="A222" s="92"/>
      <c r="B222" s="8"/>
      <c r="C222" s="9"/>
      <c r="D222" s="9"/>
      <c r="E222" s="9"/>
      <c r="F222" s="9"/>
      <c r="G222" s="9"/>
      <c r="H222" s="10"/>
      <c r="I222" s="9"/>
      <c r="J222" s="9"/>
      <c r="K222" s="9"/>
      <c r="L222" s="9"/>
      <c r="M222" s="38"/>
      <c r="N222" s="62"/>
      <c r="O222" s="51"/>
      <c r="P222" s="14"/>
      <c r="Q222" s="15"/>
      <c r="R222" s="15"/>
    </row>
    <row r="223" spans="1:18" s="66" customFormat="1" x14ac:dyDescent="0.25">
      <c r="A223" s="92"/>
      <c r="B223" s="8"/>
      <c r="C223" s="9"/>
      <c r="D223" s="9"/>
      <c r="E223" s="9"/>
      <c r="F223" s="9"/>
      <c r="G223" s="9"/>
      <c r="H223" s="10"/>
      <c r="I223" s="9"/>
      <c r="J223" s="9"/>
      <c r="K223" s="9"/>
      <c r="L223" s="9"/>
      <c r="M223" s="38"/>
      <c r="N223" s="62"/>
      <c r="O223" s="51"/>
      <c r="P223" s="14"/>
      <c r="Q223" s="15"/>
      <c r="R223" s="15"/>
    </row>
    <row r="224" spans="1:18" s="66" customFormat="1" x14ac:dyDescent="0.25">
      <c r="A224" s="92"/>
      <c r="B224" s="8"/>
      <c r="C224" s="9"/>
      <c r="D224" s="9"/>
      <c r="E224" s="9"/>
      <c r="F224" s="9"/>
      <c r="G224" s="9"/>
      <c r="H224" s="10"/>
      <c r="I224" s="9"/>
      <c r="J224" s="9"/>
      <c r="K224" s="9"/>
      <c r="L224" s="9"/>
      <c r="M224" s="38"/>
      <c r="N224" s="62"/>
      <c r="O224" s="51"/>
      <c r="P224" s="14"/>
      <c r="Q224" s="15"/>
      <c r="R224" s="15"/>
    </row>
    <row r="225" spans="1:18" s="66" customFormat="1" x14ac:dyDescent="0.25">
      <c r="A225" s="92"/>
      <c r="B225" s="8"/>
      <c r="C225" s="9"/>
      <c r="D225" s="9"/>
      <c r="E225" s="9"/>
      <c r="F225" s="9"/>
      <c r="G225" s="9"/>
      <c r="H225" s="10"/>
      <c r="I225" s="9"/>
      <c r="J225" s="9"/>
      <c r="K225" s="9"/>
      <c r="L225" s="9"/>
      <c r="M225" s="38"/>
      <c r="N225" s="62"/>
      <c r="O225" s="51"/>
      <c r="P225" s="14"/>
      <c r="Q225" s="15"/>
      <c r="R225" s="15"/>
    </row>
    <row r="226" spans="1:18" s="66" customFormat="1" x14ac:dyDescent="0.25">
      <c r="A226" s="92"/>
      <c r="B226" s="8"/>
      <c r="C226" s="9"/>
      <c r="D226" s="9"/>
      <c r="E226" s="9"/>
      <c r="F226" s="9"/>
      <c r="G226" s="9"/>
      <c r="H226" s="10"/>
      <c r="I226" s="9"/>
      <c r="J226" s="9"/>
      <c r="K226" s="9"/>
      <c r="L226" s="9"/>
      <c r="M226" s="38"/>
      <c r="N226" s="62"/>
      <c r="O226" s="51"/>
      <c r="P226" s="14"/>
      <c r="Q226" s="15"/>
      <c r="R226" s="15"/>
    </row>
    <row r="227" spans="1:18" s="66" customFormat="1" x14ac:dyDescent="0.25">
      <c r="A227" s="92"/>
      <c r="B227" s="8"/>
      <c r="C227" s="9"/>
      <c r="D227" s="9"/>
      <c r="E227" s="9"/>
      <c r="F227" s="9"/>
      <c r="G227" s="9"/>
      <c r="H227" s="10"/>
      <c r="I227" s="9"/>
      <c r="J227" s="9"/>
      <c r="K227" s="9"/>
      <c r="L227" s="9"/>
      <c r="M227" s="38"/>
      <c r="N227" s="62"/>
      <c r="O227" s="51"/>
      <c r="P227" s="14"/>
      <c r="Q227" s="15"/>
      <c r="R227" s="15"/>
    </row>
    <row r="228" spans="1:18" s="66" customFormat="1" x14ac:dyDescent="0.25">
      <c r="A228" s="92"/>
      <c r="B228" s="8"/>
      <c r="C228" s="9"/>
      <c r="D228" s="9"/>
      <c r="E228" s="9"/>
      <c r="F228" s="9"/>
      <c r="G228" s="9"/>
      <c r="H228" s="10"/>
      <c r="I228" s="9"/>
      <c r="J228" s="9"/>
      <c r="K228" s="9"/>
      <c r="L228" s="9"/>
      <c r="M228" s="38"/>
      <c r="N228" s="62"/>
      <c r="O228" s="51"/>
      <c r="P228" s="14"/>
      <c r="Q228" s="15"/>
      <c r="R228" s="15"/>
    </row>
    <row r="229" spans="1:18" s="66" customFormat="1" x14ac:dyDescent="0.25">
      <c r="A229" s="92"/>
      <c r="B229" s="8"/>
      <c r="C229" s="9"/>
      <c r="D229" s="9"/>
      <c r="E229" s="9"/>
      <c r="F229" s="9"/>
      <c r="G229" s="9"/>
      <c r="H229" s="10"/>
      <c r="I229" s="9"/>
      <c r="J229" s="9"/>
      <c r="K229" s="9"/>
      <c r="L229" s="9"/>
      <c r="M229" s="38"/>
      <c r="N229" s="62"/>
      <c r="O229" s="51"/>
      <c r="P229" s="14"/>
      <c r="Q229" s="15"/>
      <c r="R229" s="15"/>
    </row>
    <row r="230" spans="1:18" s="66" customFormat="1" x14ac:dyDescent="0.25">
      <c r="A230" s="92"/>
      <c r="B230" s="8"/>
      <c r="C230" s="9"/>
      <c r="D230" s="9"/>
      <c r="E230" s="9"/>
      <c r="F230" s="9"/>
      <c r="G230" s="9"/>
      <c r="H230" s="10"/>
      <c r="I230" s="9"/>
      <c r="J230" s="9"/>
      <c r="K230" s="9"/>
      <c r="L230" s="9"/>
      <c r="M230" s="38"/>
      <c r="N230" s="62"/>
      <c r="O230" s="51"/>
      <c r="P230" s="14"/>
      <c r="Q230" s="15"/>
      <c r="R230" s="15"/>
    </row>
    <row r="231" spans="1:18" s="66" customFormat="1" x14ac:dyDescent="0.25">
      <c r="A231" s="92"/>
      <c r="B231" s="8"/>
      <c r="C231" s="9"/>
      <c r="D231" s="9"/>
      <c r="E231" s="9"/>
      <c r="F231" s="9"/>
      <c r="G231" s="9"/>
      <c r="H231" s="10"/>
      <c r="I231" s="9"/>
      <c r="J231" s="9"/>
      <c r="K231" s="9"/>
      <c r="L231" s="9"/>
      <c r="M231" s="38"/>
      <c r="N231" s="62"/>
      <c r="O231" s="51"/>
      <c r="P231" s="14"/>
      <c r="Q231" s="15"/>
      <c r="R231" s="15"/>
    </row>
    <row r="232" spans="1:18" s="66" customFormat="1" x14ac:dyDescent="0.25">
      <c r="A232" s="92"/>
      <c r="B232" s="8"/>
      <c r="C232" s="9"/>
      <c r="D232" s="9"/>
      <c r="E232" s="9"/>
      <c r="F232" s="9"/>
      <c r="G232" s="9"/>
      <c r="H232" s="10"/>
      <c r="I232" s="9"/>
      <c r="J232" s="9"/>
      <c r="K232" s="9"/>
      <c r="L232" s="9"/>
      <c r="M232" s="38"/>
      <c r="N232" s="62"/>
      <c r="O232" s="51"/>
      <c r="P232" s="14"/>
      <c r="Q232" s="15"/>
      <c r="R232" s="15"/>
    </row>
    <row r="233" spans="1:18" s="66" customFormat="1" x14ac:dyDescent="0.25">
      <c r="A233" s="92"/>
      <c r="B233" s="8"/>
      <c r="C233" s="9"/>
      <c r="D233" s="9"/>
      <c r="E233" s="9"/>
      <c r="F233" s="9"/>
      <c r="G233" s="9"/>
      <c r="H233" s="10"/>
      <c r="I233" s="9"/>
      <c r="J233" s="9"/>
      <c r="K233" s="9"/>
      <c r="L233" s="9"/>
      <c r="M233" s="38"/>
      <c r="N233" s="62"/>
      <c r="O233" s="51"/>
      <c r="P233" s="14"/>
      <c r="Q233" s="15"/>
      <c r="R233" s="15"/>
    </row>
    <row r="234" spans="1:18" s="66" customFormat="1" x14ac:dyDescent="0.25">
      <c r="A234" s="92"/>
      <c r="B234" s="8"/>
      <c r="C234" s="9"/>
      <c r="D234" s="9"/>
      <c r="E234" s="9"/>
      <c r="F234" s="9"/>
      <c r="G234" s="9"/>
      <c r="H234" s="10"/>
      <c r="I234" s="9"/>
      <c r="J234" s="9"/>
      <c r="K234" s="9"/>
      <c r="L234" s="9"/>
      <c r="M234" s="38"/>
      <c r="N234" s="62"/>
      <c r="O234" s="51"/>
      <c r="P234" s="14"/>
      <c r="Q234" s="15"/>
      <c r="R234" s="15"/>
    </row>
    <row r="235" spans="1:18" s="66" customFormat="1" x14ac:dyDescent="0.25">
      <c r="A235" s="92"/>
      <c r="B235" s="8"/>
      <c r="C235" s="9"/>
      <c r="D235" s="9"/>
      <c r="E235" s="9"/>
      <c r="F235" s="9"/>
      <c r="G235" s="9"/>
      <c r="H235" s="10"/>
      <c r="I235" s="9"/>
      <c r="J235" s="9"/>
      <c r="K235" s="9"/>
      <c r="L235" s="9"/>
      <c r="M235" s="38"/>
      <c r="N235" s="62"/>
      <c r="O235" s="51"/>
      <c r="P235" s="14"/>
      <c r="Q235" s="15"/>
      <c r="R235" s="15"/>
    </row>
    <row r="236" spans="1:18" s="66" customFormat="1" x14ac:dyDescent="0.25">
      <c r="A236" s="92"/>
      <c r="B236" s="8"/>
      <c r="C236" s="9"/>
      <c r="D236" s="9"/>
      <c r="E236" s="9"/>
      <c r="F236" s="9"/>
      <c r="G236" s="9"/>
      <c r="H236" s="10"/>
      <c r="I236" s="9"/>
      <c r="J236" s="9"/>
      <c r="K236" s="9"/>
      <c r="L236" s="9"/>
      <c r="M236" s="38"/>
      <c r="N236" s="62"/>
      <c r="O236" s="51"/>
      <c r="P236" s="14"/>
      <c r="Q236" s="15"/>
      <c r="R236" s="15"/>
    </row>
    <row r="237" spans="1:18" s="66" customFormat="1" x14ac:dyDescent="0.25">
      <c r="A237" s="92"/>
      <c r="B237" s="8"/>
      <c r="C237" s="9"/>
      <c r="D237" s="9"/>
      <c r="E237" s="9"/>
      <c r="F237" s="9"/>
      <c r="G237" s="9"/>
      <c r="H237" s="10"/>
      <c r="I237" s="9"/>
      <c r="J237" s="9"/>
      <c r="K237" s="9"/>
      <c r="L237" s="9"/>
      <c r="M237" s="38"/>
      <c r="N237" s="62"/>
      <c r="O237" s="51"/>
      <c r="P237" s="14"/>
      <c r="Q237" s="15"/>
      <c r="R237" s="15"/>
    </row>
    <row r="238" spans="1:18" s="66" customFormat="1" x14ac:dyDescent="0.25">
      <c r="A238" s="92"/>
      <c r="B238" s="8"/>
      <c r="C238" s="9"/>
      <c r="D238" s="9"/>
      <c r="E238" s="9"/>
      <c r="F238" s="9"/>
      <c r="G238" s="9"/>
      <c r="H238" s="10"/>
      <c r="I238" s="9"/>
      <c r="J238" s="9"/>
      <c r="K238" s="9"/>
      <c r="L238" s="9"/>
      <c r="M238" s="38"/>
      <c r="N238" s="62"/>
      <c r="O238" s="51"/>
      <c r="P238" s="14"/>
      <c r="Q238" s="15"/>
      <c r="R238" s="15"/>
    </row>
    <row r="239" spans="1:18" s="66" customFormat="1" x14ac:dyDescent="0.25">
      <c r="A239" s="92"/>
      <c r="B239" s="8"/>
      <c r="C239" s="9"/>
      <c r="D239" s="9"/>
      <c r="E239" s="9"/>
      <c r="F239" s="9"/>
      <c r="G239" s="9"/>
      <c r="H239" s="10"/>
      <c r="I239" s="9"/>
      <c r="J239" s="9"/>
      <c r="K239" s="9"/>
      <c r="L239" s="9"/>
      <c r="M239" s="38"/>
      <c r="N239" s="62"/>
      <c r="O239" s="51"/>
      <c r="P239" s="14"/>
      <c r="Q239" s="15"/>
      <c r="R239" s="15"/>
    </row>
    <row r="240" spans="1:18" s="66" customFormat="1" x14ac:dyDescent="0.25">
      <c r="A240" s="92"/>
      <c r="B240" s="8"/>
      <c r="C240" s="9"/>
      <c r="D240" s="9"/>
      <c r="E240" s="9"/>
      <c r="F240" s="9"/>
      <c r="G240" s="9"/>
      <c r="H240" s="10"/>
      <c r="I240" s="9"/>
      <c r="J240" s="9"/>
      <c r="K240" s="9"/>
      <c r="L240" s="9"/>
      <c r="M240" s="38"/>
      <c r="N240" s="62"/>
      <c r="O240" s="51"/>
      <c r="P240" s="14"/>
      <c r="Q240" s="15"/>
      <c r="R240" s="15"/>
    </row>
    <row r="241" spans="1:18" s="66" customFormat="1" x14ac:dyDescent="0.25">
      <c r="A241" s="92"/>
      <c r="B241" s="8"/>
      <c r="C241" s="9"/>
      <c r="D241" s="9"/>
      <c r="E241" s="9"/>
      <c r="F241" s="9"/>
      <c r="G241" s="9"/>
      <c r="H241" s="10"/>
      <c r="I241" s="9"/>
      <c r="J241" s="9"/>
      <c r="K241" s="9"/>
      <c r="L241" s="9"/>
      <c r="M241" s="38"/>
      <c r="N241" s="62"/>
      <c r="O241" s="51"/>
      <c r="P241" s="14"/>
      <c r="Q241" s="15"/>
      <c r="R241" s="15"/>
    </row>
    <row r="242" spans="1:18" s="66" customFormat="1" x14ac:dyDescent="0.25">
      <c r="A242" s="92"/>
      <c r="B242" s="8"/>
      <c r="C242" s="9"/>
      <c r="D242" s="9"/>
      <c r="E242" s="9"/>
      <c r="F242" s="9"/>
      <c r="G242" s="9"/>
      <c r="H242" s="10"/>
      <c r="I242" s="9"/>
      <c r="J242" s="9"/>
      <c r="K242" s="9"/>
      <c r="L242" s="9"/>
      <c r="M242" s="38"/>
      <c r="N242" s="62"/>
      <c r="O242" s="51"/>
      <c r="P242" s="14"/>
      <c r="Q242" s="15"/>
      <c r="R242" s="15"/>
    </row>
    <row r="243" spans="1:18" s="66" customFormat="1" x14ac:dyDescent="0.25">
      <c r="A243" s="92"/>
      <c r="B243" s="8"/>
      <c r="C243" s="9"/>
      <c r="D243" s="9"/>
      <c r="E243" s="9"/>
      <c r="F243" s="9"/>
      <c r="G243" s="9"/>
      <c r="H243" s="10"/>
      <c r="I243" s="9"/>
      <c r="J243" s="9"/>
      <c r="K243" s="9"/>
      <c r="L243" s="9"/>
      <c r="M243" s="38"/>
      <c r="N243" s="62"/>
      <c r="O243" s="51"/>
      <c r="P243" s="14"/>
      <c r="Q243" s="15"/>
      <c r="R243" s="15"/>
    </row>
    <row r="244" spans="1:18" s="66" customFormat="1" x14ac:dyDescent="0.25">
      <c r="A244" s="92"/>
      <c r="B244" s="8"/>
      <c r="C244" s="9"/>
      <c r="D244" s="9"/>
      <c r="E244" s="9"/>
      <c r="F244" s="9"/>
      <c r="G244" s="9"/>
      <c r="H244" s="10"/>
      <c r="I244" s="9"/>
      <c r="J244" s="9"/>
      <c r="K244" s="9"/>
      <c r="L244" s="9"/>
      <c r="M244" s="38"/>
      <c r="N244" s="62"/>
      <c r="O244" s="51"/>
      <c r="P244" s="14"/>
      <c r="Q244" s="15"/>
      <c r="R244" s="15"/>
    </row>
    <row r="245" spans="1:18" s="66" customFormat="1" x14ac:dyDescent="0.25">
      <c r="A245" s="92"/>
      <c r="B245" s="8"/>
      <c r="C245" s="9"/>
      <c r="D245" s="9"/>
      <c r="E245" s="9"/>
      <c r="F245" s="9"/>
      <c r="G245" s="9"/>
      <c r="H245" s="10"/>
      <c r="I245" s="9"/>
      <c r="J245" s="9"/>
      <c r="K245" s="9"/>
      <c r="L245" s="9"/>
      <c r="M245" s="38"/>
      <c r="N245" s="62"/>
      <c r="O245" s="51"/>
      <c r="P245" s="14"/>
      <c r="Q245" s="15"/>
      <c r="R245" s="15"/>
    </row>
    <row r="246" spans="1:18" s="66" customFormat="1" x14ac:dyDescent="0.25">
      <c r="A246" s="92"/>
      <c r="B246" s="8"/>
      <c r="C246" s="9"/>
      <c r="D246" s="9"/>
      <c r="E246" s="9"/>
      <c r="F246" s="9"/>
      <c r="G246" s="9"/>
      <c r="H246" s="10"/>
      <c r="I246" s="9"/>
      <c r="J246" s="9"/>
      <c r="K246" s="9"/>
      <c r="L246" s="9"/>
      <c r="M246" s="38"/>
      <c r="N246" s="62"/>
      <c r="O246" s="51"/>
      <c r="P246" s="14"/>
      <c r="Q246" s="15"/>
      <c r="R246" s="15"/>
    </row>
    <row r="247" spans="1:18" s="66" customFormat="1" x14ac:dyDescent="0.25">
      <c r="A247" s="92"/>
      <c r="B247" s="8"/>
      <c r="C247" s="9"/>
      <c r="D247" s="9"/>
      <c r="E247" s="9"/>
      <c r="F247" s="9"/>
      <c r="G247" s="9"/>
      <c r="H247" s="10"/>
      <c r="I247" s="9"/>
      <c r="J247" s="9"/>
      <c r="K247" s="9"/>
      <c r="L247" s="9"/>
      <c r="M247" s="38"/>
      <c r="N247" s="62"/>
      <c r="O247" s="51"/>
      <c r="P247" s="14"/>
      <c r="Q247" s="15"/>
      <c r="R247" s="15"/>
    </row>
  </sheetData>
  <pageMargins left="0.78740157499999996" right="0.78740157499999996" top="0.984251969" bottom="0.984251969" header="0.5" footer="0.5"/>
  <pageSetup scale="71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W220"/>
  <sheetViews>
    <sheetView topLeftCell="B1" workbookViewId="0">
      <pane xSplit="1" ySplit="1" topLeftCell="C47" activePane="bottomRight" state="frozen"/>
      <selection activeCell="B1" sqref="B1"/>
      <selection pane="topRight" activeCell="C1" sqref="C1"/>
      <selection pane="bottomLeft" activeCell="B2" sqref="B2"/>
      <selection pane="bottomRight" activeCell="B49" sqref="B49"/>
    </sheetView>
  </sheetViews>
  <sheetFormatPr baseColWidth="10" defaultColWidth="9.109375" defaultRowHeight="13.2" x14ac:dyDescent="0.25"/>
  <cols>
    <col min="1" max="1" width="50.88671875" style="8" hidden="1" customWidth="1"/>
    <col min="2" max="2" width="20.88671875" style="9" customWidth="1"/>
    <col min="3" max="3" width="14.44140625" style="76" customWidth="1"/>
    <col min="4" max="5" width="20.88671875" style="9" customWidth="1"/>
    <col min="6" max="6" width="37.109375" style="9" customWidth="1"/>
    <col min="7" max="7" width="15.6640625" style="9" customWidth="1"/>
    <col min="8" max="8" width="15.6640625" style="10" customWidth="1"/>
    <col min="9" max="9" width="15.6640625" style="9" customWidth="1"/>
    <col min="10" max="10" width="25.5546875" style="9" customWidth="1"/>
    <col min="11" max="11" width="9.33203125" style="9" customWidth="1"/>
    <col min="12" max="12" width="12.109375" style="9" customWidth="1"/>
    <col min="13" max="13" width="13.44140625" style="38" customWidth="1"/>
    <col min="14" max="14" width="13.88671875" style="39" bestFit="1" customWidth="1"/>
    <col min="15" max="15" width="16.33203125" style="51" bestFit="1" customWidth="1"/>
    <col min="16" max="16" width="11" style="14" customWidth="1"/>
    <col min="17" max="29" width="13.6640625" style="15" customWidth="1"/>
    <col min="30" max="259" width="9.109375" style="15"/>
    <col min="260" max="260" width="50.88671875" style="15" customWidth="1"/>
    <col min="261" max="261" width="17" style="15" customWidth="1"/>
    <col min="262" max="262" width="37.109375" style="15" customWidth="1"/>
    <col min="263" max="265" width="15.6640625" style="15" customWidth="1"/>
    <col min="266" max="266" width="25.5546875" style="15" customWidth="1"/>
    <col min="267" max="267" width="9.33203125" style="15" customWidth="1"/>
    <col min="268" max="268" width="12.109375" style="15" customWidth="1"/>
    <col min="269" max="269" width="13.44140625" style="15" customWidth="1"/>
    <col min="270" max="270" width="13.88671875" style="15" bestFit="1" customWidth="1"/>
    <col min="271" max="271" width="16.33203125" style="15" bestFit="1" customWidth="1"/>
    <col min="272" max="272" width="11" style="15" customWidth="1"/>
    <col min="273" max="285" width="13.6640625" style="15" customWidth="1"/>
    <col min="286" max="515" width="9.109375" style="15"/>
    <col min="516" max="516" width="50.88671875" style="15" customWidth="1"/>
    <col min="517" max="517" width="17" style="15" customWidth="1"/>
    <col min="518" max="518" width="37.109375" style="15" customWidth="1"/>
    <col min="519" max="521" width="15.6640625" style="15" customWidth="1"/>
    <col min="522" max="522" width="25.5546875" style="15" customWidth="1"/>
    <col min="523" max="523" width="9.33203125" style="15" customWidth="1"/>
    <col min="524" max="524" width="12.109375" style="15" customWidth="1"/>
    <col min="525" max="525" width="13.44140625" style="15" customWidth="1"/>
    <col min="526" max="526" width="13.88671875" style="15" bestFit="1" customWidth="1"/>
    <col min="527" max="527" width="16.33203125" style="15" bestFit="1" customWidth="1"/>
    <col min="528" max="528" width="11" style="15" customWidth="1"/>
    <col min="529" max="541" width="13.6640625" style="15" customWidth="1"/>
    <col min="542" max="771" width="9.109375" style="15"/>
    <col min="772" max="772" width="50.88671875" style="15" customWidth="1"/>
    <col min="773" max="773" width="17" style="15" customWidth="1"/>
    <col min="774" max="774" width="37.109375" style="15" customWidth="1"/>
    <col min="775" max="777" width="15.6640625" style="15" customWidth="1"/>
    <col min="778" max="778" width="25.5546875" style="15" customWidth="1"/>
    <col min="779" max="779" width="9.33203125" style="15" customWidth="1"/>
    <col min="780" max="780" width="12.109375" style="15" customWidth="1"/>
    <col min="781" max="781" width="13.44140625" style="15" customWidth="1"/>
    <col min="782" max="782" width="13.88671875" style="15" bestFit="1" customWidth="1"/>
    <col min="783" max="783" width="16.33203125" style="15" bestFit="1" customWidth="1"/>
    <col min="784" max="784" width="11" style="15" customWidth="1"/>
    <col min="785" max="797" width="13.6640625" style="15" customWidth="1"/>
    <col min="798" max="1027" width="9.109375" style="15"/>
    <col min="1028" max="1028" width="50.88671875" style="15" customWidth="1"/>
    <col min="1029" max="1029" width="17" style="15" customWidth="1"/>
    <col min="1030" max="1030" width="37.109375" style="15" customWidth="1"/>
    <col min="1031" max="1033" width="15.6640625" style="15" customWidth="1"/>
    <col min="1034" max="1034" width="25.5546875" style="15" customWidth="1"/>
    <col min="1035" max="1035" width="9.33203125" style="15" customWidth="1"/>
    <col min="1036" max="1036" width="12.109375" style="15" customWidth="1"/>
    <col min="1037" max="1037" width="13.44140625" style="15" customWidth="1"/>
    <col min="1038" max="1038" width="13.88671875" style="15" bestFit="1" customWidth="1"/>
    <col min="1039" max="1039" width="16.33203125" style="15" bestFit="1" customWidth="1"/>
    <col min="1040" max="1040" width="11" style="15" customWidth="1"/>
    <col min="1041" max="1053" width="13.6640625" style="15" customWidth="1"/>
    <col min="1054" max="1283" width="9.109375" style="15"/>
    <col min="1284" max="1284" width="50.88671875" style="15" customWidth="1"/>
    <col min="1285" max="1285" width="17" style="15" customWidth="1"/>
    <col min="1286" max="1286" width="37.109375" style="15" customWidth="1"/>
    <col min="1287" max="1289" width="15.6640625" style="15" customWidth="1"/>
    <col min="1290" max="1290" width="25.5546875" style="15" customWidth="1"/>
    <col min="1291" max="1291" width="9.33203125" style="15" customWidth="1"/>
    <col min="1292" max="1292" width="12.109375" style="15" customWidth="1"/>
    <col min="1293" max="1293" width="13.44140625" style="15" customWidth="1"/>
    <col min="1294" max="1294" width="13.88671875" style="15" bestFit="1" customWidth="1"/>
    <col min="1295" max="1295" width="16.33203125" style="15" bestFit="1" customWidth="1"/>
    <col min="1296" max="1296" width="11" style="15" customWidth="1"/>
    <col min="1297" max="1309" width="13.6640625" style="15" customWidth="1"/>
    <col min="1310" max="1539" width="9.109375" style="15"/>
    <col min="1540" max="1540" width="50.88671875" style="15" customWidth="1"/>
    <col min="1541" max="1541" width="17" style="15" customWidth="1"/>
    <col min="1542" max="1542" width="37.109375" style="15" customWidth="1"/>
    <col min="1543" max="1545" width="15.6640625" style="15" customWidth="1"/>
    <col min="1546" max="1546" width="25.5546875" style="15" customWidth="1"/>
    <col min="1547" max="1547" width="9.33203125" style="15" customWidth="1"/>
    <col min="1548" max="1548" width="12.109375" style="15" customWidth="1"/>
    <col min="1549" max="1549" width="13.44140625" style="15" customWidth="1"/>
    <col min="1550" max="1550" width="13.88671875" style="15" bestFit="1" customWidth="1"/>
    <col min="1551" max="1551" width="16.33203125" style="15" bestFit="1" customWidth="1"/>
    <col min="1552" max="1552" width="11" style="15" customWidth="1"/>
    <col min="1553" max="1565" width="13.6640625" style="15" customWidth="1"/>
    <col min="1566" max="1795" width="9.109375" style="15"/>
    <col min="1796" max="1796" width="50.88671875" style="15" customWidth="1"/>
    <col min="1797" max="1797" width="17" style="15" customWidth="1"/>
    <col min="1798" max="1798" width="37.109375" style="15" customWidth="1"/>
    <col min="1799" max="1801" width="15.6640625" style="15" customWidth="1"/>
    <col min="1802" max="1802" width="25.5546875" style="15" customWidth="1"/>
    <col min="1803" max="1803" width="9.33203125" style="15" customWidth="1"/>
    <col min="1804" max="1804" width="12.109375" style="15" customWidth="1"/>
    <col min="1805" max="1805" width="13.44140625" style="15" customWidth="1"/>
    <col min="1806" max="1806" width="13.88671875" style="15" bestFit="1" customWidth="1"/>
    <col min="1807" max="1807" width="16.33203125" style="15" bestFit="1" customWidth="1"/>
    <col min="1808" max="1808" width="11" style="15" customWidth="1"/>
    <col min="1809" max="1821" width="13.6640625" style="15" customWidth="1"/>
    <col min="1822" max="2051" width="9.109375" style="15"/>
    <col min="2052" max="2052" width="50.88671875" style="15" customWidth="1"/>
    <col min="2053" max="2053" width="17" style="15" customWidth="1"/>
    <col min="2054" max="2054" width="37.109375" style="15" customWidth="1"/>
    <col min="2055" max="2057" width="15.6640625" style="15" customWidth="1"/>
    <col min="2058" max="2058" width="25.5546875" style="15" customWidth="1"/>
    <col min="2059" max="2059" width="9.33203125" style="15" customWidth="1"/>
    <col min="2060" max="2060" width="12.109375" style="15" customWidth="1"/>
    <col min="2061" max="2061" width="13.44140625" style="15" customWidth="1"/>
    <col min="2062" max="2062" width="13.88671875" style="15" bestFit="1" customWidth="1"/>
    <col min="2063" max="2063" width="16.33203125" style="15" bestFit="1" customWidth="1"/>
    <col min="2064" max="2064" width="11" style="15" customWidth="1"/>
    <col min="2065" max="2077" width="13.6640625" style="15" customWidth="1"/>
    <col min="2078" max="2307" width="9.109375" style="15"/>
    <col min="2308" max="2308" width="50.88671875" style="15" customWidth="1"/>
    <col min="2309" max="2309" width="17" style="15" customWidth="1"/>
    <col min="2310" max="2310" width="37.109375" style="15" customWidth="1"/>
    <col min="2311" max="2313" width="15.6640625" style="15" customWidth="1"/>
    <col min="2314" max="2314" width="25.5546875" style="15" customWidth="1"/>
    <col min="2315" max="2315" width="9.33203125" style="15" customWidth="1"/>
    <col min="2316" max="2316" width="12.109375" style="15" customWidth="1"/>
    <col min="2317" max="2317" width="13.44140625" style="15" customWidth="1"/>
    <col min="2318" max="2318" width="13.88671875" style="15" bestFit="1" customWidth="1"/>
    <col min="2319" max="2319" width="16.33203125" style="15" bestFit="1" customWidth="1"/>
    <col min="2320" max="2320" width="11" style="15" customWidth="1"/>
    <col min="2321" max="2333" width="13.6640625" style="15" customWidth="1"/>
    <col min="2334" max="2563" width="9.109375" style="15"/>
    <col min="2564" max="2564" width="50.88671875" style="15" customWidth="1"/>
    <col min="2565" max="2565" width="17" style="15" customWidth="1"/>
    <col min="2566" max="2566" width="37.109375" style="15" customWidth="1"/>
    <col min="2567" max="2569" width="15.6640625" style="15" customWidth="1"/>
    <col min="2570" max="2570" width="25.5546875" style="15" customWidth="1"/>
    <col min="2571" max="2571" width="9.33203125" style="15" customWidth="1"/>
    <col min="2572" max="2572" width="12.109375" style="15" customWidth="1"/>
    <col min="2573" max="2573" width="13.44140625" style="15" customWidth="1"/>
    <col min="2574" max="2574" width="13.88671875" style="15" bestFit="1" customWidth="1"/>
    <col min="2575" max="2575" width="16.33203125" style="15" bestFit="1" customWidth="1"/>
    <col min="2576" max="2576" width="11" style="15" customWidth="1"/>
    <col min="2577" max="2589" width="13.6640625" style="15" customWidth="1"/>
    <col min="2590" max="2819" width="9.109375" style="15"/>
    <col min="2820" max="2820" width="50.88671875" style="15" customWidth="1"/>
    <col min="2821" max="2821" width="17" style="15" customWidth="1"/>
    <col min="2822" max="2822" width="37.109375" style="15" customWidth="1"/>
    <col min="2823" max="2825" width="15.6640625" style="15" customWidth="1"/>
    <col min="2826" max="2826" width="25.5546875" style="15" customWidth="1"/>
    <col min="2827" max="2827" width="9.33203125" style="15" customWidth="1"/>
    <col min="2828" max="2828" width="12.109375" style="15" customWidth="1"/>
    <col min="2829" max="2829" width="13.44140625" style="15" customWidth="1"/>
    <col min="2830" max="2830" width="13.88671875" style="15" bestFit="1" customWidth="1"/>
    <col min="2831" max="2831" width="16.33203125" style="15" bestFit="1" customWidth="1"/>
    <col min="2832" max="2832" width="11" style="15" customWidth="1"/>
    <col min="2833" max="2845" width="13.6640625" style="15" customWidth="1"/>
    <col min="2846" max="3075" width="9.109375" style="15"/>
    <col min="3076" max="3076" width="50.88671875" style="15" customWidth="1"/>
    <col min="3077" max="3077" width="17" style="15" customWidth="1"/>
    <col min="3078" max="3078" width="37.109375" style="15" customWidth="1"/>
    <col min="3079" max="3081" width="15.6640625" style="15" customWidth="1"/>
    <col min="3082" max="3082" width="25.5546875" style="15" customWidth="1"/>
    <col min="3083" max="3083" width="9.33203125" style="15" customWidth="1"/>
    <col min="3084" max="3084" width="12.109375" style="15" customWidth="1"/>
    <col min="3085" max="3085" width="13.44140625" style="15" customWidth="1"/>
    <col min="3086" max="3086" width="13.88671875" style="15" bestFit="1" customWidth="1"/>
    <col min="3087" max="3087" width="16.33203125" style="15" bestFit="1" customWidth="1"/>
    <col min="3088" max="3088" width="11" style="15" customWidth="1"/>
    <col min="3089" max="3101" width="13.6640625" style="15" customWidth="1"/>
    <col min="3102" max="3331" width="9.109375" style="15"/>
    <col min="3332" max="3332" width="50.88671875" style="15" customWidth="1"/>
    <col min="3333" max="3333" width="17" style="15" customWidth="1"/>
    <col min="3334" max="3334" width="37.109375" style="15" customWidth="1"/>
    <col min="3335" max="3337" width="15.6640625" style="15" customWidth="1"/>
    <col min="3338" max="3338" width="25.5546875" style="15" customWidth="1"/>
    <col min="3339" max="3339" width="9.33203125" style="15" customWidth="1"/>
    <col min="3340" max="3340" width="12.109375" style="15" customWidth="1"/>
    <col min="3341" max="3341" width="13.44140625" style="15" customWidth="1"/>
    <col min="3342" max="3342" width="13.88671875" style="15" bestFit="1" customWidth="1"/>
    <col min="3343" max="3343" width="16.33203125" style="15" bestFit="1" customWidth="1"/>
    <col min="3344" max="3344" width="11" style="15" customWidth="1"/>
    <col min="3345" max="3357" width="13.6640625" style="15" customWidth="1"/>
    <col min="3358" max="3587" width="9.109375" style="15"/>
    <col min="3588" max="3588" width="50.88671875" style="15" customWidth="1"/>
    <col min="3589" max="3589" width="17" style="15" customWidth="1"/>
    <col min="3590" max="3590" width="37.109375" style="15" customWidth="1"/>
    <col min="3591" max="3593" width="15.6640625" style="15" customWidth="1"/>
    <col min="3594" max="3594" width="25.5546875" style="15" customWidth="1"/>
    <col min="3595" max="3595" width="9.33203125" style="15" customWidth="1"/>
    <col min="3596" max="3596" width="12.109375" style="15" customWidth="1"/>
    <col min="3597" max="3597" width="13.44140625" style="15" customWidth="1"/>
    <col min="3598" max="3598" width="13.88671875" style="15" bestFit="1" customWidth="1"/>
    <col min="3599" max="3599" width="16.33203125" style="15" bestFit="1" customWidth="1"/>
    <col min="3600" max="3600" width="11" style="15" customWidth="1"/>
    <col min="3601" max="3613" width="13.6640625" style="15" customWidth="1"/>
    <col min="3614" max="3843" width="9.109375" style="15"/>
    <col min="3844" max="3844" width="50.88671875" style="15" customWidth="1"/>
    <col min="3845" max="3845" width="17" style="15" customWidth="1"/>
    <col min="3846" max="3846" width="37.109375" style="15" customWidth="1"/>
    <col min="3847" max="3849" width="15.6640625" style="15" customWidth="1"/>
    <col min="3850" max="3850" width="25.5546875" style="15" customWidth="1"/>
    <col min="3851" max="3851" width="9.33203125" style="15" customWidth="1"/>
    <col min="3852" max="3852" width="12.109375" style="15" customWidth="1"/>
    <col min="3853" max="3853" width="13.44140625" style="15" customWidth="1"/>
    <col min="3854" max="3854" width="13.88671875" style="15" bestFit="1" customWidth="1"/>
    <col min="3855" max="3855" width="16.33203125" style="15" bestFit="1" customWidth="1"/>
    <col min="3856" max="3856" width="11" style="15" customWidth="1"/>
    <col min="3857" max="3869" width="13.6640625" style="15" customWidth="1"/>
    <col min="3870" max="4099" width="9.109375" style="15"/>
    <col min="4100" max="4100" width="50.88671875" style="15" customWidth="1"/>
    <col min="4101" max="4101" width="17" style="15" customWidth="1"/>
    <col min="4102" max="4102" width="37.109375" style="15" customWidth="1"/>
    <col min="4103" max="4105" width="15.6640625" style="15" customWidth="1"/>
    <col min="4106" max="4106" width="25.5546875" style="15" customWidth="1"/>
    <col min="4107" max="4107" width="9.33203125" style="15" customWidth="1"/>
    <col min="4108" max="4108" width="12.109375" style="15" customWidth="1"/>
    <col min="4109" max="4109" width="13.44140625" style="15" customWidth="1"/>
    <col min="4110" max="4110" width="13.88671875" style="15" bestFit="1" customWidth="1"/>
    <col min="4111" max="4111" width="16.33203125" style="15" bestFit="1" customWidth="1"/>
    <col min="4112" max="4112" width="11" style="15" customWidth="1"/>
    <col min="4113" max="4125" width="13.6640625" style="15" customWidth="1"/>
    <col min="4126" max="4355" width="9.109375" style="15"/>
    <col min="4356" max="4356" width="50.88671875" style="15" customWidth="1"/>
    <col min="4357" max="4357" width="17" style="15" customWidth="1"/>
    <col min="4358" max="4358" width="37.109375" style="15" customWidth="1"/>
    <col min="4359" max="4361" width="15.6640625" style="15" customWidth="1"/>
    <col min="4362" max="4362" width="25.5546875" style="15" customWidth="1"/>
    <col min="4363" max="4363" width="9.33203125" style="15" customWidth="1"/>
    <col min="4364" max="4364" width="12.109375" style="15" customWidth="1"/>
    <col min="4365" max="4365" width="13.44140625" style="15" customWidth="1"/>
    <col min="4366" max="4366" width="13.88671875" style="15" bestFit="1" customWidth="1"/>
    <col min="4367" max="4367" width="16.33203125" style="15" bestFit="1" customWidth="1"/>
    <col min="4368" max="4368" width="11" style="15" customWidth="1"/>
    <col min="4369" max="4381" width="13.6640625" style="15" customWidth="1"/>
    <col min="4382" max="4611" width="9.109375" style="15"/>
    <col min="4612" max="4612" width="50.88671875" style="15" customWidth="1"/>
    <col min="4613" max="4613" width="17" style="15" customWidth="1"/>
    <col min="4614" max="4614" width="37.109375" style="15" customWidth="1"/>
    <col min="4615" max="4617" width="15.6640625" style="15" customWidth="1"/>
    <col min="4618" max="4618" width="25.5546875" style="15" customWidth="1"/>
    <col min="4619" max="4619" width="9.33203125" style="15" customWidth="1"/>
    <col min="4620" max="4620" width="12.109375" style="15" customWidth="1"/>
    <col min="4621" max="4621" width="13.44140625" style="15" customWidth="1"/>
    <col min="4622" max="4622" width="13.88671875" style="15" bestFit="1" customWidth="1"/>
    <col min="4623" max="4623" width="16.33203125" style="15" bestFit="1" customWidth="1"/>
    <col min="4624" max="4624" width="11" style="15" customWidth="1"/>
    <col min="4625" max="4637" width="13.6640625" style="15" customWidth="1"/>
    <col min="4638" max="4867" width="9.109375" style="15"/>
    <col min="4868" max="4868" width="50.88671875" style="15" customWidth="1"/>
    <col min="4869" max="4869" width="17" style="15" customWidth="1"/>
    <col min="4870" max="4870" width="37.109375" style="15" customWidth="1"/>
    <col min="4871" max="4873" width="15.6640625" style="15" customWidth="1"/>
    <col min="4874" max="4874" width="25.5546875" style="15" customWidth="1"/>
    <col min="4875" max="4875" width="9.33203125" style="15" customWidth="1"/>
    <col min="4876" max="4876" width="12.109375" style="15" customWidth="1"/>
    <col min="4877" max="4877" width="13.44140625" style="15" customWidth="1"/>
    <col min="4878" max="4878" width="13.88671875" style="15" bestFit="1" customWidth="1"/>
    <col min="4879" max="4879" width="16.33203125" style="15" bestFit="1" customWidth="1"/>
    <col min="4880" max="4880" width="11" style="15" customWidth="1"/>
    <col min="4881" max="4893" width="13.6640625" style="15" customWidth="1"/>
    <col min="4894" max="5123" width="9.109375" style="15"/>
    <col min="5124" max="5124" width="50.88671875" style="15" customWidth="1"/>
    <col min="5125" max="5125" width="17" style="15" customWidth="1"/>
    <col min="5126" max="5126" width="37.109375" style="15" customWidth="1"/>
    <col min="5127" max="5129" width="15.6640625" style="15" customWidth="1"/>
    <col min="5130" max="5130" width="25.5546875" style="15" customWidth="1"/>
    <col min="5131" max="5131" width="9.33203125" style="15" customWidth="1"/>
    <col min="5132" max="5132" width="12.109375" style="15" customWidth="1"/>
    <col min="5133" max="5133" width="13.44140625" style="15" customWidth="1"/>
    <col min="5134" max="5134" width="13.88671875" style="15" bestFit="1" customWidth="1"/>
    <col min="5135" max="5135" width="16.33203125" style="15" bestFit="1" customWidth="1"/>
    <col min="5136" max="5136" width="11" style="15" customWidth="1"/>
    <col min="5137" max="5149" width="13.6640625" style="15" customWidth="1"/>
    <col min="5150" max="5379" width="9.109375" style="15"/>
    <col min="5380" max="5380" width="50.88671875" style="15" customWidth="1"/>
    <col min="5381" max="5381" width="17" style="15" customWidth="1"/>
    <col min="5382" max="5382" width="37.109375" style="15" customWidth="1"/>
    <col min="5383" max="5385" width="15.6640625" style="15" customWidth="1"/>
    <col min="5386" max="5386" width="25.5546875" style="15" customWidth="1"/>
    <col min="5387" max="5387" width="9.33203125" style="15" customWidth="1"/>
    <col min="5388" max="5388" width="12.109375" style="15" customWidth="1"/>
    <col min="5389" max="5389" width="13.44140625" style="15" customWidth="1"/>
    <col min="5390" max="5390" width="13.88671875" style="15" bestFit="1" customWidth="1"/>
    <col min="5391" max="5391" width="16.33203125" style="15" bestFit="1" customWidth="1"/>
    <col min="5392" max="5392" width="11" style="15" customWidth="1"/>
    <col min="5393" max="5405" width="13.6640625" style="15" customWidth="1"/>
    <col min="5406" max="5635" width="9.109375" style="15"/>
    <col min="5636" max="5636" width="50.88671875" style="15" customWidth="1"/>
    <col min="5637" max="5637" width="17" style="15" customWidth="1"/>
    <col min="5638" max="5638" width="37.109375" style="15" customWidth="1"/>
    <col min="5639" max="5641" width="15.6640625" style="15" customWidth="1"/>
    <col min="5642" max="5642" width="25.5546875" style="15" customWidth="1"/>
    <col min="5643" max="5643" width="9.33203125" style="15" customWidth="1"/>
    <col min="5644" max="5644" width="12.109375" style="15" customWidth="1"/>
    <col min="5645" max="5645" width="13.44140625" style="15" customWidth="1"/>
    <col min="5646" max="5646" width="13.88671875" style="15" bestFit="1" customWidth="1"/>
    <col min="5647" max="5647" width="16.33203125" style="15" bestFit="1" customWidth="1"/>
    <col min="5648" max="5648" width="11" style="15" customWidth="1"/>
    <col min="5649" max="5661" width="13.6640625" style="15" customWidth="1"/>
    <col min="5662" max="5891" width="9.109375" style="15"/>
    <col min="5892" max="5892" width="50.88671875" style="15" customWidth="1"/>
    <col min="5893" max="5893" width="17" style="15" customWidth="1"/>
    <col min="5894" max="5894" width="37.109375" style="15" customWidth="1"/>
    <col min="5895" max="5897" width="15.6640625" style="15" customWidth="1"/>
    <col min="5898" max="5898" width="25.5546875" style="15" customWidth="1"/>
    <col min="5899" max="5899" width="9.33203125" style="15" customWidth="1"/>
    <col min="5900" max="5900" width="12.109375" style="15" customWidth="1"/>
    <col min="5901" max="5901" width="13.44140625" style="15" customWidth="1"/>
    <col min="5902" max="5902" width="13.88671875" style="15" bestFit="1" customWidth="1"/>
    <col min="5903" max="5903" width="16.33203125" style="15" bestFit="1" customWidth="1"/>
    <col min="5904" max="5904" width="11" style="15" customWidth="1"/>
    <col min="5905" max="5917" width="13.6640625" style="15" customWidth="1"/>
    <col min="5918" max="6147" width="9.109375" style="15"/>
    <col min="6148" max="6148" width="50.88671875" style="15" customWidth="1"/>
    <col min="6149" max="6149" width="17" style="15" customWidth="1"/>
    <col min="6150" max="6150" width="37.109375" style="15" customWidth="1"/>
    <col min="6151" max="6153" width="15.6640625" style="15" customWidth="1"/>
    <col min="6154" max="6154" width="25.5546875" style="15" customWidth="1"/>
    <col min="6155" max="6155" width="9.33203125" style="15" customWidth="1"/>
    <col min="6156" max="6156" width="12.109375" style="15" customWidth="1"/>
    <col min="6157" max="6157" width="13.44140625" style="15" customWidth="1"/>
    <col min="6158" max="6158" width="13.88671875" style="15" bestFit="1" customWidth="1"/>
    <col min="6159" max="6159" width="16.33203125" style="15" bestFit="1" customWidth="1"/>
    <col min="6160" max="6160" width="11" style="15" customWidth="1"/>
    <col min="6161" max="6173" width="13.6640625" style="15" customWidth="1"/>
    <col min="6174" max="6403" width="9.109375" style="15"/>
    <col min="6404" max="6404" width="50.88671875" style="15" customWidth="1"/>
    <col min="6405" max="6405" width="17" style="15" customWidth="1"/>
    <col min="6406" max="6406" width="37.109375" style="15" customWidth="1"/>
    <col min="6407" max="6409" width="15.6640625" style="15" customWidth="1"/>
    <col min="6410" max="6410" width="25.5546875" style="15" customWidth="1"/>
    <col min="6411" max="6411" width="9.33203125" style="15" customWidth="1"/>
    <col min="6412" max="6412" width="12.109375" style="15" customWidth="1"/>
    <col min="6413" max="6413" width="13.44140625" style="15" customWidth="1"/>
    <col min="6414" max="6414" width="13.88671875" style="15" bestFit="1" customWidth="1"/>
    <col min="6415" max="6415" width="16.33203125" style="15" bestFit="1" customWidth="1"/>
    <col min="6416" max="6416" width="11" style="15" customWidth="1"/>
    <col min="6417" max="6429" width="13.6640625" style="15" customWidth="1"/>
    <col min="6430" max="6659" width="9.109375" style="15"/>
    <col min="6660" max="6660" width="50.88671875" style="15" customWidth="1"/>
    <col min="6661" max="6661" width="17" style="15" customWidth="1"/>
    <col min="6662" max="6662" width="37.109375" style="15" customWidth="1"/>
    <col min="6663" max="6665" width="15.6640625" style="15" customWidth="1"/>
    <col min="6666" max="6666" width="25.5546875" style="15" customWidth="1"/>
    <col min="6667" max="6667" width="9.33203125" style="15" customWidth="1"/>
    <col min="6668" max="6668" width="12.109375" style="15" customWidth="1"/>
    <col min="6669" max="6669" width="13.44140625" style="15" customWidth="1"/>
    <col min="6670" max="6670" width="13.88671875" style="15" bestFit="1" customWidth="1"/>
    <col min="6671" max="6671" width="16.33203125" style="15" bestFit="1" customWidth="1"/>
    <col min="6672" max="6672" width="11" style="15" customWidth="1"/>
    <col min="6673" max="6685" width="13.6640625" style="15" customWidth="1"/>
    <col min="6686" max="6915" width="9.109375" style="15"/>
    <col min="6916" max="6916" width="50.88671875" style="15" customWidth="1"/>
    <col min="6917" max="6917" width="17" style="15" customWidth="1"/>
    <col min="6918" max="6918" width="37.109375" style="15" customWidth="1"/>
    <col min="6919" max="6921" width="15.6640625" style="15" customWidth="1"/>
    <col min="6922" max="6922" width="25.5546875" style="15" customWidth="1"/>
    <col min="6923" max="6923" width="9.33203125" style="15" customWidth="1"/>
    <col min="6924" max="6924" width="12.109375" style="15" customWidth="1"/>
    <col min="6925" max="6925" width="13.44140625" style="15" customWidth="1"/>
    <col min="6926" max="6926" width="13.88671875" style="15" bestFit="1" customWidth="1"/>
    <col min="6927" max="6927" width="16.33203125" style="15" bestFit="1" customWidth="1"/>
    <col min="6928" max="6928" width="11" style="15" customWidth="1"/>
    <col min="6929" max="6941" width="13.6640625" style="15" customWidth="1"/>
    <col min="6942" max="7171" width="9.109375" style="15"/>
    <col min="7172" max="7172" width="50.88671875" style="15" customWidth="1"/>
    <col min="7173" max="7173" width="17" style="15" customWidth="1"/>
    <col min="7174" max="7174" width="37.109375" style="15" customWidth="1"/>
    <col min="7175" max="7177" width="15.6640625" style="15" customWidth="1"/>
    <col min="7178" max="7178" width="25.5546875" style="15" customWidth="1"/>
    <col min="7179" max="7179" width="9.33203125" style="15" customWidth="1"/>
    <col min="7180" max="7180" width="12.109375" style="15" customWidth="1"/>
    <col min="7181" max="7181" width="13.44140625" style="15" customWidth="1"/>
    <col min="7182" max="7182" width="13.88671875" style="15" bestFit="1" customWidth="1"/>
    <col min="7183" max="7183" width="16.33203125" style="15" bestFit="1" customWidth="1"/>
    <col min="7184" max="7184" width="11" style="15" customWidth="1"/>
    <col min="7185" max="7197" width="13.6640625" style="15" customWidth="1"/>
    <col min="7198" max="7427" width="9.109375" style="15"/>
    <col min="7428" max="7428" width="50.88671875" style="15" customWidth="1"/>
    <col min="7429" max="7429" width="17" style="15" customWidth="1"/>
    <col min="7430" max="7430" width="37.109375" style="15" customWidth="1"/>
    <col min="7431" max="7433" width="15.6640625" style="15" customWidth="1"/>
    <col min="7434" max="7434" width="25.5546875" style="15" customWidth="1"/>
    <col min="7435" max="7435" width="9.33203125" style="15" customWidth="1"/>
    <col min="7436" max="7436" width="12.109375" style="15" customWidth="1"/>
    <col min="7437" max="7437" width="13.44140625" style="15" customWidth="1"/>
    <col min="7438" max="7438" width="13.88671875" style="15" bestFit="1" customWidth="1"/>
    <col min="7439" max="7439" width="16.33203125" style="15" bestFit="1" customWidth="1"/>
    <col min="7440" max="7440" width="11" style="15" customWidth="1"/>
    <col min="7441" max="7453" width="13.6640625" style="15" customWidth="1"/>
    <col min="7454" max="7683" width="9.109375" style="15"/>
    <col min="7684" max="7684" width="50.88671875" style="15" customWidth="1"/>
    <col min="7685" max="7685" width="17" style="15" customWidth="1"/>
    <col min="7686" max="7686" width="37.109375" style="15" customWidth="1"/>
    <col min="7687" max="7689" width="15.6640625" style="15" customWidth="1"/>
    <col min="7690" max="7690" width="25.5546875" style="15" customWidth="1"/>
    <col min="7691" max="7691" width="9.33203125" style="15" customWidth="1"/>
    <col min="7692" max="7692" width="12.109375" style="15" customWidth="1"/>
    <col min="7693" max="7693" width="13.44140625" style="15" customWidth="1"/>
    <col min="7694" max="7694" width="13.88671875" style="15" bestFit="1" customWidth="1"/>
    <col min="7695" max="7695" width="16.33203125" style="15" bestFit="1" customWidth="1"/>
    <col min="7696" max="7696" width="11" style="15" customWidth="1"/>
    <col min="7697" max="7709" width="13.6640625" style="15" customWidth="1"/>
    <col min="7710" max="7939" width="9.109375" style="15"/>
    <col min="7940" max="7940" width="50.88671875" style="15" customWidth="1"/>
    <col min="7941" max="7941" width="17" style="15" customWidth="1"/>
    <col min="7942" max="7942" width="37.109375" style="15" customWidth="1"/>
    <col min="7943" max="7945" width="15.6640625" style="15" customWidth="1"/>
    <col min="7946" max="7946" width="25.5546875" style="15" customWidth="1"/>
    <col min="7947" max="7947" width="9.33203125" style="15" customWidth="1"/>
    <col min="7948" max="7948" width="12.109375" style="15" customWidth="1"/>
    <col min="7949" max="7949" width="13.44140625" style="15" customWidth="1"/>
    <col min="7950" max="7950" width="13.88671875" style="15" bestFit="1" customWidth="1"/>
    <col min="7951" max="7951" width="16.33203125" style="15" bestFit="1" customWidth="1"/>
    <col min="7952" max="7952" width="11" style="15" customWidth="1"/>
    <col min="7953" max="7965" width="13.6640625" style="15" customWidth="1"/>
    <col min="7966" max="8195" width="9.109375" style="15"/>
    <col min="8196" max="8196" width="50.88671875" style="15" customWidth="1"/>
    <col min="8197" max="8197" width="17" style="15" customWidth="1"/>
    <col min="8198" max="8198" width="37.109375" style="15" customWidth="1"/>
    <col min="8199" max="8201" width="15.6640625" style="15" customWidth="1"/>
    <col min="8202" max="8202" width="25.5546875" style="15" customWidth="1"/>
    <col min="8203" max="8203" width="9.33203125" style="15" customWidth="1"/>
    <col min="8204" max="8204" width="12.109375" style="15" customWidth="1"/>
    <col min="8205" max="8205" width="13.44140625" style="15" customWidth="1"/>
    <col min="8206" max="8206" width="13.88671875" style="15" bestFit="1" customWidth="1"/>
    <col min="8207" max="8207" width="16.33203125" style="15" bestFit="1" customWidth="1"/>
    <col min="8208" max="8208" width="11" style="15" customWidth="1"/>
    <col min="8209" max="8221" width="13.6640625" style="15" customWidth="1"/>
    <col min="8222" max="8451" width="9.109375" style="15"/>
    <col min="8452" max="8452" width="50.88671875" style="15" customWidth="1"/>
    <col min="8453" max="8453" width="17" style="15" customWidth="1"/>
    <col min="8454" max="8454" width="37.109375" style="15" customWidth="1"/>
    <col min="8455" max="8457" width="15.6640625" style="15" customWidth="1"/>
    <col min="8458" max="8458" width="25.5546875" style="15" customWidth="1"/>
    <col min="8459" max="8459" width="9.33203125" style="15" customWidth="1"/>
    <col min="8460" max="8460" width="12.109375" style="15" customWidth="1"/>
    <col min="8461" max="8461" width="13.44140625" style="15" customWidth="1"/>
    <col min="8462" max="8462" width="13.88671875" style="15" bestFit="1" customWidth="1"/>
    <col min="8463" max="8463" width="16.33203125" style="15" bestFit="1" customWidth="1"/>
    <col min="8464" max="8464" width="11" style="15" customWidth="1"/>
    <col min="8465" max="8477" width="13.6640625" style="15" customWidth="1"/>
    <col min="8478" max="8707" width="9.109375" style="15"/>
    <col min="8708" max="8708" width="50.88671875" style="15" customWidth="1"/>
    <col min="8709" max="8709" width="17" style="15" customWidth="1"/>
    <col min="8710" max="8710" width="37.109375" style="15" customWidth="1"/>
    <col min="8711" max="8713" width="15.6640625" style="15" customWidth="1"/>
    <col min="8714" max="8714" width="25.5546875" style="15" customWidth="1"/>
    <col min="8715" max="8715" width="9.33203125" style="15" customWidth="1"/>
    <col min="8716" max="8716" width="12.109375" style="15" customWidth="1"/>
    <col min="8717" max="8717" width="13.44140625" style="15" customWidth="1"/>
    <col min="8718" max="8718" width="13.88671875" style="15" bestFit="1" customWidth="1"/>
    <col min="8719" max="8719" width="16.33203125" style="15" bestFit="1" customWidth="1"/>
    <col min="8720" max="8720" width="11" style="15" customWidth="1"/>
    <col min="8721" max="8733" width="13.6640625" style="15" customWidth="1"/>
    <col min="8734" max="8963" width="9.109375" style="15"/>
    <col min="8964" max="8964" width="50.88671875" style="15" customWidth="1"/>
    <col min="8965" max="8965" width="17" style="15" customWidth="1"/>
    <col min="8966" max="8966" width="37.109375" style="15" customWidth="1"/>
    <col min="8967" max="8969" width="15.6640625" style="15" customWidth="1"/>
    <col min="8970" max="8970" width="25.5546875" style="15" customWidth="1"/>
    <col min="8971" max="8971" width="9.33203125" style="15" customWidth="1"/>
    <col min="8972" max="8972" width="12.109375" style="15" customWidth="1"/>
    <col min="8973" max="8973" width="13.44140625" style="15" customWidth="1"/>
    <col min="8974" max="8974" width="13.88671875" style="15" bestFit="1" customWidth="1"/>
    <col min="8975" max="8975" width="16.33203125" style="15" bestFit="1" customWidth="1"/>
    <col min="8976" max="8976" width="11" style="15" customWidth="1"/>
    <col min="8977" max="8989" width="13.6640625" style="15" customWidth="1"/>
    <col min="8990" max="9219" width="9.109375" style="15"/>
    <col min="9220" max="9220" width="50.88671875" style="15" customWidth="1"/>
    <col min="9221" max="9221" width="17" style="15" customWidth="1"/>
    <col min="9222" max="9222" width="37.109375" style="15" customWidth="1"/>
    <col min="9223" max="9225" width="15.6640625" style="15" customWidth="1"/>
    <col min="9226" max="9226" width="25.5546875" style="15" customWidth="1"/>
    <col min="9227" max="9227" width="9.33203125" style="15" customWidth="1"/>
    <col min="9228" max="9228" width="12.109375" style="15" customWidth="1"/>
    <col min="9229" max="9229" width="13.44140625" style="15" customWidth="1"/>
    <col min="9230" max="9230" width="13.88671875" style="15" bestFit="1" customWidth="1"/>
    <col min="9231" max="9231" width="16.33203125" style="15" bestFit="1" customWidth="1"/>
    <col min="9232" max="9232" width="11" style="15" customWidth="1"/>
    <col min="9233" max="9245" width="13.6640625" style="15" customWidth="1"/>
    <col min="9246" max="9475" width="9.109375" style="15"/>
    <col min="9476" max="9476" width="50.88671875" style="15" customWidth="1"/>
    <col min="9477" max="9477" width="17" style="15" customWidth="1"/>
    <col min="9478" max="9478" width="37.109375" style="15" customWidth="1"/>
    <col min="9479" max="9481" width="15.6640625" style="15" customWidth="1"/>
    <col min="9482" max="9482" width="25.5546875" style="15" customWidth="1"/>
    <col min="9483" max="9483" width="9.33203125" style="15" customWidth="1"/>
    <col min="9484" max="9484" width="12.109375" style="15" customWidth="1"/>
    <col min="9485" max="9485" width="13.44140625" style="15" customWidth="1"/>
    <col min="9486" max="9486" width="13.88671875" style="15" bestFit="1" customWidth="1"/>
    <col min="9487" max="9487" width="16.33203125" style="15" bestFit="1" customWidth="1"/>
    <col min="9488" max="9488" width="11" style="15" customWidth="1"/>
    <col min="9489" max="9501" width="13.6640625" style="15" customWidth="1"/>
    <col min="9502" max="9731" width="9.109375" style="15"/>
    <col min="9732" max="9732" width="50.88671875" style="15" customWidth="1"/>
    <col min="9733" max="9733" width="17" style="15" customWidth="1"/>
    <col min="9734" max="9734" width="37.109375" style="15" customWidth="1"/>
    <col min="9735" max="9737" width="15.6640625" style="15" customWidth="1"/>
    <col min="9738" max="9738" width="25.5546875" style="15" customWidth="1"/>
    <col min="9739" max="9739" width="9.33203125" style="15" customWidth="1"/>
    <col min="9740" max="9740" width="12.109375" style="15" customWidth="1"/>
    <col min="9741" max="9741" width="13.44140625" style="15" customWidth="1"/>
    <col min="9742" max="9742" width="13.88671875" style="15" bestFit="1" customWidth="1"/>
    <col min="9743" max="9743" width="16.33203125" style="15" bestFit="1" customWidth="1"/>
    <col min="9744" max="9744" width="11" style="15" customWidth="1"/>
    <col min="9745" max="9757" width="13.6640625" style="15" customWidth="1"/>
    <col min="9758" max="9987" width="9.109375" style="15"/>
    <col min="9988" max="9988" width="50.88671875" style="15" customWidth="1"/>
    <col min="9989" max="9989" width="17" style="15" customWidth="1"/>
    <col min="9990" max="9990" width="37.109375" style="15" customWidth="1"/>
    <col min="9991" max="9993" width="15.6640625" style="15" customWidth="1"/>
    <col min="9994" max="9994" width="25.5546875" style="15" customWidth="1"/>
    <col min="9995" max="9995" width="9.33203125" style="15" customWidth="1"/>
    <col min="9996" max="9996" width="12.109375" style="15" customWidth="1"/>
    <col min="9997" max="9997" width="13.44140625" style="15" customWidth="1"/>
    <col min="9998" max="9998" width="13.88671875" style="15" bestFit="1" customWidth="1"/>
    <col min="9999" max="9999" width="16.33203125" style="15" bestFit="1" customWidth="1"/>
    <col min="10000" max="10000" width="11" style="15" customWidth="1"/>
    <col min="10001" max="10013" width="13.6640625" style="15" customWidth="1"/>
    <col min="10014" max="10243" width="9.109375" style="15"/>
    <col min="10244" max="10244" width="50.88671875" style="15" customWidth="1"/>
    <col min="10245" max="10245" width="17" style="15" customWidth="1"/>
    <col min="10246" max="10246" width="37.109375" style="15" customWidth="1"/>
    <col min="10247" max="10249" width="15.6640625" style="15" customWidth="1"/>
    <col min="10250" max="10250" width="25.5546875" style="15" customWidth="1"/>
    <col min="10251" max="10251" width="9.33203125" style="15" customWidth="1"/>
    <col min="10252" max="10252" width="12.109375" style="15" customWidth="1"/>
    <col min="10253" max="10253" width="13.44140625" style="15" customWidth="1"/>
    <col min="10254" max="10254" width="13.88671875" style="15" bestFit="1" customWidth="1"/>
    <col min="10255" max="10255" width="16.33203125" style="15" bestFit="1" customWidth="1"/>
    <col min="10256" max="10256" width="11" style="15" customWidth="1"/>
    <col min="10257" max="10269" width="13.6640625" style="15" customWidth="1"/>
    <col min="10270" max="10499" width="9.109375" style="15"/>
    <col min="10500" max="10500" width="50.88671875" style="15" customWidth="1"/>
    <col min="10501" max="10501" width="17" style="15" customWidth="1"/>
    <col min="10502" max="10502" width="37.109375" style="15" customWidth="1"/>
    <col min="10503" max="10505" width="15.6640625" style="15" customWidth="1"/>
    <col min="10506" max="10506" width="25.5546875" style="15" customWidth="1"/>
    <col min="10507" max="10507" width="9.33203125" style="15" customWidth="1"/>
    <col min="10508" max="10508" width="12.109375" style="15" customWidth="1"/>
    <col min="10509" max="10509" width="13.44140625" style="15" customWidth="1"/>
    <col min="10510" max="10510" width="13.88671875" style="15" bestFit="1" customWidth="1"/>
    <col min="10511" max="10511" width="16.33203125" style="15" bestFit="1" customWidth="1"/>
    <col min="10512" max="10512" width="11" style="15" customWidth="1"/>
    <col min="10513" max="10525" width="13.6640625" style="15" customWidth="1"/>
    <col min="10526" max="10755" width="9.109375" style="15"/>
    <col min="10756" max="10756" width="50.88671875" style="15" customWidth="1"/>
    <col min="10757" max="10757" width="17" style="15" customWidth="1"/>
    <col min="10758" max="10758" width="37.109375" style="15" customWidth="1"/>
    <col min="10759" max="10761" width="15.6640625" style="15" customWidth="1"/>
    <col min="10762" max="10762" width="25.5546875" style="15" customWidth="1"/>
    <col min="10763" max="10763" width="9.33203125" style="15" customWidth="1"/>
    <col min="10764" max="10764" width="12.109375" style="15" customWidth="1"/>
    <col min="10765" max="10765" width="13.44140625" style="15" customWidth="1"/>
    <col min="10766" max="10766" width="13.88671875" style="15" bestFit="1" customWidth="1"/>
    <col min="10767" max="10767" width="16.33203125" style="15" bestFit="1" customWidth="1"/>
    <col min="10768" max="10768" width="11" style="15" customWidth="1"/>
    <col min="10769" max="10781" width="13.6640625" style="15" customWidth="1"/>
    <col min="10782" max="11011" width="9.109375" style="15"/>
    <col min="11012" max="11012" width="50.88671875" style="15" customWidth="1"/>
    <col min="11013" max="11013" width="17" style="15" customWidth="1"/>
    <col min="11014" max="11014" width="37.109375" style="15" customWidth="1"/>
    <col min="11015" max="11017" width="15.6640625" style="15" customWidth="1"/>
    <col min="11018" max="11018" width="25.5546875" style="15" customWidth="1"/>
    <col min="11019" max="11019" width="9.33203125" style="15" customWidth="1"/>
    <col min="11020" max="11020" width="12.109375" style="15" customWidth="1"/>
    <col min="11021" max="11021" width="13.44140625" style="15" customWidth="1"/>
    <col min="11022" max="11022" width="13.88671875" style="15" bestFit="1" customWidth="1"/>
    <col min="11023" max="11023" width="16.33203125" style="15" bestFit="1" customWidth="1"/>
    <col min="11024" max="11024" width="11" style="15" customWidth="1"/>
    <col min="11025" max="11037" width="13.6640625" style="15" customWidth="1"/>
    <col min="11038" max="11267" width="9.109375" style="15"/>
    <col min="11268" max="11268" width="50.88671875" style="15" customWidth="1"/>
    <col min="11269" max="11269" width="17" style="15" customWidth="1"/>
    <col min="11270" max="11270" width="37.109375" style="15" customWidth="1"/>
    <col min="11271" max="11273" width="15.6640625" style="15" customWidth="1"/>
    <col min="11274" max="11274" width="25.5546875" style="15" customWidth="1"/>
    <col min="11275" max="11275" width="9.33203125" style="15" customWidth="1"/>
    <col min="11276" max="11276" width="12.109375" style="15" customWidth="1"/>
    <col min="11277" max="11277" width="13.44140625" style="15" customWidth="1"/>
    <col min="11278" max="11278" width="13.88671875" style="15" bestFit="1" customWidth="1"/>
    <col min="11279" max="11279" width="16.33203125" style="15" bestFit="1" customWidth="1"/>
    <col min="11280" max="11280" width="11" style="15" customWidth="1"/>
    <col min="11281" max="11293" width="13.6640625" style="15" customWidth="1"/>
    <col min="11294" max="11523" width="9.109375" style="15"/>
    <col min="11524" max="11524" width="50.88671875" style="15" customWidth="1"/>
    <col min="11525" max="11525" width="17" style="15" customWidth="1"/>
    <col min="11526" max="11526" width="37.109375" style="15" customWidth="1"/>
    <col min="11527" max="11529" width="15.6640625" style="15" customWidth="1"/>
    <col min="11530" max="11530" width="25.5546875" style="15" customWidth="1"/>
    <col min="11531" max="11531" width="9.33203125" style="15" customWidth="1"/>
    <col min="11532" max="11532" width="12.109375" style="15" customWidth="1"/>
    <col min="11533" max="11533" width="13.44140625" style="15" customWidth="1"/>
    <col min="11534" max="11534" width="13.88671875" style="15" bestFit="1" customWidth="1"/>
    <col min="11535" max="11535" width="16.33203125" style="15" bestFit="1" customWidth="1"/>
    <col min="11536" max="11536" width="11" style="15" customWidth="1"/>
    <col min="11537" max="11549" width="13.6640625" style="15" customWidth="1"/>
    <col min="11550" max="11779" width="9.109375" style="15"/>
    <col min="11780" max="11780" width="50.88671875" style="15" customWidth="1"/>
    <col min="11781" max="11781" width="17" style="15" customWidth="1"/>
    <col min="11782" max="11782" width="37.109375" style="15" customWidth="1"/>
    <col min="11783" max="11785" width="15.6640625" style="15" customWidth="1"/>
    <col min="11786" max="11786" width="25.5546875" style="15" customWidth="1"/>
    <col min="11787" max="11787" width="9.33203125" style="15" customWidth="1"/>
    <col min="11788" max="11788" width="12.109375" style="15" customWidth="1"/>
    <col min="11789" max="11789" width="13.44140625" style="15" customWidth="1"/>
    <col min="11790" max="11790" width="13.88671875" style="15" bestFit="1" customWidth="1"/>
    <col min="11791" max="11791" width="16.33203125" style="15" bestFit="1" customWidth="1"/>
    <col min="11792" max="11792" width="11" style="15" customWidth="1"/>
    <col min="11793" max="11805" width="13.6640625" style="15" customWidth="1"/>
    <col min="11806" max="12035" width="9.109375" style="15"/>
    <col min="12036" max="12036" width="50.88671875" style="15" customWidth="1"/>
    <col min="12037" max="12037" width="17" style="15" customWidth="1"/>
    <col min="12038" max="12038" width="37.109375" style="15" customWidth="1"/>
    <col min="12039" max="12041" width="15.6640625" style="15" customWidth="1"/>
    <col min="12042" max="12042" width="25.5546875" style="15" customWidth="1"/>
    <col min="12043" max="12043" width="9.33203125" style="15" customWidth="1"/>
    <col min="12044" max="12044" width="12.109375" style="15" customWidth="1"/>
    <col min="12045" max="12045" width="13.44140625" style="15" customWidth="1"/>
    <col min="12046" max="12046" width="13.88671875" style="15" bestFit="1" customWidth="1"/>
    <col min="12047" max="12047" width="16.33203125" style="15" bestFit="1" customWidth="1"/>
    <col min="12048" max="12048" width="11" style="15" customWidth="1"/>
    <col min="12049" max="12061" width="13.6640625" style="15" customWidth="1"/>
    <col min="12062" max="12291" width="9.109375" style="15"/>
    <col min="12292" max="12292" width="50.88671875" style="15" customWidth="1"/>
    <col min="12293" max="12293" width="17" style="15" customWidth="1"/>
    <col min="12294" max="12294" width="37.109375" style="15" customWidth="1"/>
    <col min="12295" max="12297" width="15.6640625" style="15" customWidth="1"/>
    <col min="12298" max="12298" width="25.5546875" style="15" customWidth="1"/>
    <col min="12299" max="12299" width="9.33203125" style="15" customWidth="1"/>
    <col min="12300" max="12300" width="12.109375" style="15" customWidth="1"/>
    <col min="12301" max="12301" width="13.44140625" style="15" customWidth="1"/>
    <col min="12302" max="12302" width="13.88671875" style="15" bestFit="1" customWidth="1"/>
    <col min="12303" max="12303" width="16.33203125" style="15" bestFit="1" customWidth="1"/>
    <col min="12304" max="12304" width="11" style="15" customWidth="1"/>
    <col min="12305" max="12317" width="13.6640625" style="15" customWidth="1"/>
    <col min="12318" max="12547" width="9.109375" style="15"/>
    <col min="12548" max="12548" width="50.88671875" style="15" customWidth="1"/>
    <col min="12549" max="12549" width="17" style="15" customWidth="1"/>
    <col min="12550" max="12550" width="37.109375" style="15" customWidth="1"/>
    <col min="12551" max="12553" width="15.6640625" style="15" customWidth="1"/>
    <col min="12554" max="12554" width="25.5546875" style="15" customWidth="1"/>
    <col min="12555" max="12555" width="9.33203125" style="15" customWidth="1"/>
    <col min="12556" max="12556" width="12.109375" style="15" customWidth="1"/>
    <col min="12557" max="12557" width="13.44140625" style="15" customWidth="1"/>
    <col min="12558" max="12558" width="13.88671875" style="15" bestFit="1" customWidth="1"/>
    <col min="12559" max="12559" width="16.33203125" style="15" bestFit="1" customWidth="1"/>
    <col min="12560" max="12560" width="11" style="15" customWidth="1"/>
    <col min="12561" max="12573" width="13.6640625" style="15" customWidth="1"/>
    <col min="12574" max="12803" width="9.109375" style="15"/>
    <col min="12804" max="12804" width="50.88671875" style="15" customWidth="1"/>
    <col min="12805" max="12805" width="17" style="15" customWidth="1"/>
    <col min="12806" max="12806" width="37.109375" style="15" customWidth="1"/>
    <col min="12807" max="12809" width="15.6640625" style="15" customWidth="1"/>
    <col min="12810" max="12810" width="25.5546875" style="15" customWidth="1"/>
    <col min="12811" max="12811" width="9.33203125" style="15" customWidth="1"/>
    <col min="12812" max="12812" width="12.109375" style="15" customWidth="1"/>
    <col min="12813" max="12813" width="13.44140625" style="15" customWidth="1"/>
    <col min="12814" max="12814" width="13.88671875" style="15" bestFit="1" customWidth="1"/>
    <col min="12815" max="12815" width="16.33203125" style="15" bestFit="1" customWidth="1"/>
    <col min="12816" max="12816" width="11" style="15" customWidth="1"/>
    <col min="12817" max="12829" width="13.6640625" style="15" customWidth="1"/>
    <col min="12830" max="13059" width="9.109375" style="15"/>
    <col min="13060" max="13060" width="50.88671875" style="15" customWidth="1"/>
    <col min="13061" max="13061" width="17" style="15" customWidth="1"/>
    <col min="13062" max="13062" width="37.109375" style="15" customWidth="1"/>
    <col min="13063" max="13065" width="15.6640625" style="15" customWidth="1"/>
    <col min="13066" max="13066" width="25.5546875" style="15" customWidth="1"/>
    <col min="13067" max="13067" width="9.33203125" style="15" customWidth="1"/>
    <col min="13068" max="13068" width="12.109375" style="15" customWidth="1"/>
    <col min="13069" max="13069" width="13.44140625" style="15" customWidth="1"/>
    <col min="13070" max="13070" width="13.88671875" style="15" bestFit="1" customWidth="1"/>
    <col min="13071" max="13071" width="16.33203125" style="15" bestFit="1" customWidth="1"/>
    <col min="13072" max="13072" width="11" style="15" customWidth="1"/>
    <col min="13073" max="13085" width="13.6640625" style="15" customWidth="1"/>
    <col min="13086" max="13315" width="9.109375" style="15"/>
    <col min="13316" max="13316" width="50.88671875" style="15" customWidth="1"/>
    <col min="13317" max="13317" width="17" style="15" customWidth="1"/>
    <col min="13318" max="13318" width="37.109375" style="15" customWidth="1"/>
    <col min="13319" max="13321" width="15.6640625" style="15" customWidth="1"/>
    <col min="13322" max="13322" width="25.5546875" style="15" customWidth="1"/>
    <col min="13323" max="13323" width="9.33203125" style="15" customWidth="1"/>
    <col min="13324" max="13324" width="12.109375" style="15" customWidth="1"/>
    <col min="13325" max="13325" width="13.44140625" style="15" customWidth="1"/>
    <col min="13326" max="13326" width="13.88671875" style="15" bestFit="1" customWidth="1"/>
    <col min="13327" max="13327" width="16.33203125" style="15" bestFit="1" customWidth="1"/>
    <col min="13328" max="13328" width="11" style="15" customWidth="1"/>
    <col min="13329" max="13341" width="13.6640625" style="15" customWidth="1"/>
    <col min="13342" max="13571" width="9.109375" style="15"/>
    <col min="13572" max="13572" width="50.88671875" style="15" customWidth="1"/>
    <col min="13573" max="13573" width="17" style="15" customWidth="1"/>
    <col min="13574" max="13574" width="37.109375" style="15" customWidth="1"/>
    <col min="13575" max="13577" width="15.6640625" style="15" customWidth="1"/>
    <col min="13578" max="13578" width="25.5546875" style="15" customWidth="1"/>
    <col min="13579" max="13579" width="9.33203125" style="15" customWidth="1"/>
    <col min="13580" max="13580" width="12.109375" style="15" customWidth="1"/>
    <col min="13581" max="13581" width="13.44140625" style="15" customWidth="1"/>
    <col min="13582" max="13582" width="13.88671875" style="15" bestFit="1" customWidth="1"/>
    <col min="13583" max="13583" width="16.33203125" style="15" bestFit="1" customWidth="1"/>
    <col min="13584" max="13584" width="11" style="15" customWidth="1"/>
    <col min="13585" max="13597" width="13.6640625" style="15" customWidth="1"/>
    <col min="13598" max="13827" width="9.109375" style="15"/>
    <col min="13828" max="13828" width="50.88671875" style="15" customWidth="1"/>
    <col min="13829" max="13829" width="17" style="15" customWidth="1"/>
    <col min="13830" max="13830" width="37.109375" style="15" customWidth="1"/>
    <col min="13831" max="13833" width="15.6640625" style="15" customWidth="1"/>
    <col min="13834" max="13834" width="25.5546875" style="15" customWidth="1"/>
    <col min="13835" max="13835" width="9.33203125" style="15" customWidth="1"/>
    <col min="13836" max="13836" width="12.109375" style="15" customWidth="1"/>
    <col min="13837" max="13837" width="13.44140625" style="15" customWidth="1"/>
    <col min="13838" max="13838" width="13.88671875" style="15" bestFit="1" customWidth="1"/>
    <col min="13839" max="13839" width="16.33203125" style="15" bestFit="1" customWidth="1"/>
    <col min="13840" max="13840" width="11" style="15" customWidth="1"/>
    <col min="13841" max="13853" width="13.6640625" style="15" customWidth="1"/>
    <col min="13854" max="14083" width="9.109375" style="15"/>
    <col min="14084" max="14084" width="50.88671875" style="15" customWidth="1"/>
    <col min="14085" max="14085" width="17" style="15" customWidth="1"/>
    <col min="14086" max="14086" width="37.109375" style="15" customWidth="1"/>
    <col min="14087" max="14089" width="15.6640625" style="15" customWidth="1"/>
    <col min="14090" max="14090" width="25.5546875" style="15" customWidth="1"/>
    <col min="14091" max="14091" width="9.33203125" style="15" customWidth="1"/>
    <col min="14092" max="14092" width="12.109375" style="15" customWidth="1"/>
    <col min="14093" max="14093" width="13.44140625" style="15" customWidth="1"/>
    <col min="14094" max="14094" width="13.88671875" style="15" bestFit="1" customWidth="1"/>
    <col min="14095" max="14095" width="16.33203125" style="15" bestFit="1" customWidth="1"/>
    <col min="14096" max="14096" width="11" style="15" customWidth="1"/>
    <col min="14097" max="14109" width="13.6640625" style="15" customWidth="1"/>
    <col min="14110" max="14339" width="9.109375" style="15"/>
    <col min="14340" max="14340" width="50.88671875" style="15" customWidth="1"/>
    <col min="14341" max="14341" width="17" style="15" customWidth="1"/>
    <col min="14342" max="14342" width="37.109375" style="15" customWidth="1"/>
    <col min="14343" max="14345" width="15.6640625" style="15" customWidth="1"/>
    <col min="14346" max="14346" width="25.5546875" style="15" customWidth="1"/>
    <col min="14347" max="14347" width="9.33203125" style="15" customWidth="1"/>
    <col min="14348" max="14348" width="12.109375" style="15" customWidth="1"/>
    <col min="14349" max="14349" width="13.44140625" style="15" customWidth="1"/>
    <col min="14350" max="14350" width="13.88671875" style="15" bestFit="1" customWidth="1"/>
    <col min="14351" max="14351" width="16.33203125" style="15" bestFit="1" customWidth="1"/>
    <col min="14352" max="14352" width="11" style="15" customWidth="1"/>
    <col min="14353" max="14365" width="13.6640625" style="15" customWidth="1"/>
    <col min="14366" max="14595" width="9.109375" style="15"/>
    <col min="14596" max="14596" width="50.88671875" style="15" customWidth="1"/>
    <col min="14597" max="14597" width="17" style="15" customWidth="1"/>
    <col min="14598" max="14598" width="37.109375" style="15" customWidth="1"/>
    <col min="14599" max="14601" width="15.6640625" style="15" customWidth="1"/>
    <col min="14602" max="14602" width="25.5546875" style="15" customWidth="1"/>
    <col min="14603" max="14603" width="9.33203125" style="15" customWidth="1"/>
    <col min="14604" max="14604" width="12.109375" style="15" customWidth="1"/>
    <col min="14605" max="14605" width="13.44140625" style="15" customWidth="1"/>
    <col min="14606" max="14606" width="13.88671875" style="15" bestFit="1" customWidth="1"/>
    <col min="14607" max="14607" width="16.33203125" style="15" bestFit="1" customWidth="1"/>
    <col min="14608" max="14608" width="11" style="15" customWidth="1"/>
    <col min="14609" max="14621" width="13.6640625" style="15" customWidth="1"/>
    <col min="14622" max="14851" width="9.109375" style="15"/>
    <col min="14852" max="14852" width="50.88671875" style="15" customWidth="1"/>
    <col min="14853" max="14853" width="17" style="15" customWidth="1"/>
    <col min="14854" max="14854" width="37.109375" style="15" customWidth="1"/>
    <col min="14855" max="14857" width="15.6640625" style="15" customWidth="1"/>
    <col min="14858" max="14858" width="25.5546875" style="15" customWidth="1"/>
    <col min="14859" max="14859" width="9.33203125" style="15" customWidth="1"/>
    <col min="14860" max="14860" width="12.109375" style="15" customWidth="1"/>
    <col min="14861" max="14861" width="13.44140625" style="15" customWidth="1"/>
    <col min="14862" max="14862" width="13.88671875" style="15" bestFit="1" customWidth="1"/>
    <col min="14863" max="14863" width="16.33203125" style="15" bestFit="1" customWidth="1"/>
    <col min="14864" max="14864" width="11" style="15" customWidth="1"/>
    <col min="14865" max="14877" width="13.6640625" style="15" customWidth="1"/>
    <col min="14878" max="15107" width="9.109375" style="15"/>
    <col min="15108" max="15108" width="50.88671875" style="15" customWidth="1"/>
    <col min="15109" max="15109" width="17" style="15" customWidth="1"/>
    <col min="15110" max="15110" width="37.109375" style="15" customWidth="1"/>
    <col min="15111" max="15113" width="15.6640625" style="15" customWidth="1"/>
    <col min="15114" max="15114" width="25.5546875" style="15" customWidth="1"/>
    <col min="15115" max="15115" width="9.33203125" style="15" customWidth="1"/>
    <col min="15116" max="15116" width="12.109375" style="15" customWidth="1"/>
    <col min="15117" max="15117" width="13.44140625" style="15" customWidth="1"/>
    <col min="15118" max="15118" width="13.88671875" style="15" bestFit="1" customWidth="1"/>
    <col min="15119" max="15119" width="16.33203125" style="15" bestFit="1" customWidth="1"/>
    <col min="15120" max="15120" width="11" style="15" customWidth="1"/>
    <col min="15121" max="15133" width="13.6640625" style="15" customWidth="1"/>
    <col min="15134" max="15363" width="9.109375" style="15"/>
    <col min="15364" max="15364" width="50.88671875" style="15" customWidth="1"/>
    <col min="15365" max="15365" width="17" style="15" customWidth="1"/>
    <col min="15366" max="15366" width="37.109375" style="15" customWidth="1"/>
    <col min="15367" max="15369" width="15.6640625" style="15" customWidth="1"/>
    <col min="15370" max="15370" width="25.5546875" style="15" customWidth="1"/>
    <col min="15371" max="15371" width="9.33203125" style="15" customWidth="1"/>
    <col min="15372" max="15372" width="12.109375" style="15" customWidth="1"/>
    <col min="15373" max="15373" width="13.44140625" style="15" customWidth="1"/>
    <col min="15374" max="15374" width="13.88671875" style="15" bestFit="1" customWidth="1"/>
    <col min="15375" max="15375" width="16.33203125" style="15" bestFit="1" customWidth="1"/>
    <col min="15376" max="15376" width="11" style="15" customWidth="1"/>
    <col min="15377" max="15389" width="13.6640625" style="15" customWidth="1"/>
    <col min="15390" max="15619" width="9.109375" style="15"/>
    <col min="15620" max="15620" width="50.88671875" style="15" customWidth="1"/>
    <col min="15621" max="15621" width="17" style="15" customWidth="1"/>
    <col min="15622" max="15622" width="37.109375" style="15" customWidth="1"/>
    <col min="15623" max="15625" width="15.6640625" style="15" customWidth="1"/>
    <col min="15626" max="15626" width="25.5546875" style="15" customWidth="1"/>
    <col min="15627" max="15627" width="9.33203125" style="15" customWidth="1"/>
    <col min="15628" max="15628" width="12.109375" style="15" customWidth="1"/>
    <col min="15629" max="15629" width="13.44140625" style="15" customWidth="1"/>
    <col min="15630" max="15630" width="13.88671875" style="15" bestFit="1" customWidth="1"/>
    <col min="15631" max="15631" width="16.33203125" style="15" bestFit="1" customWidth="1"/>
    <col min="15632" max="15632" width="11" style="15" customWidth="1"/>
    <col min="15633" max="15645" width="13.6640625" style="15" customWidth="1"/>
    <col min="15646" max="15875" width="9.109375" style="15"/>
    <col min="15876" max="15876" width="50.88671875" style="15" customWidth="1"/>
    <col min="15877" max="15877" width="17" style="15" customWidth="1"/>
    <col min="15878" max="15878" width="37.109375" style="15" customWidth="1"/>
    <col min="15879" max="15881" width="15.6640625" style="15" customWidth="1"/>
    <col min="15882" max="15882" width="25.5546875" style="15" customWidth="1"/>
    <col min="15883" max="15883" width="9.33203125" style="15" customWidth="1"/>
    <col min="15884" max="15884" width="12.109375" style="15" customWidth="1"/>
    <col min="15885" max="15885" width="13.44140625" style="15" customWidth="1"/>
    <col min="15886" max="15886" width="13.88671875" style="15" bestFit="1" customWidth="1"/>
    <col min="15887" max="15887" width="16.33203125" style="15" bestFit="1" customWidth="1"/>
    <col min="15888" max="15888" width="11" style="15" customWidth="1"/>
    <col min="15889" max="15901" width="13.6640625" style="15" customWidth="1"/>
    <col min="15902" max="16131" width="9.109375" style="15"/>
    <col min="16132" max="16132" width="50.88671875" style="15" customWidth="1"/>
    <col min="16133" max="16133" width="17" style="15" customWidth="1"/>
    <col min="16134" max="16134" width="37.109375" style="15" customWidth="1"/>
    <col min="16135" max="16137" width="15.6640625" style="15" customWidth="1"/>
    <col min="16138" max="16138" width="25.5546875" style="15" customWidth="1"/>
    <col min="16139" max="16139" width="9.33203125" style="15" customWidth="1"/>
    <col min="16140" max="16140" width="12.109375" style="15" customWidth="1"/>
    <col min="16141" max="16141" width="13.44140625" style="15" customWidth="1"/>
    <col min="16142" max="16142" width="13.88671875" style="15" bestFit="1" customWidth="1"/>
    <col min="16143" max="16143" width="16.33203125" style="15" bestFit="1" customWidth="1"/>
    <col min="16144" max="16144" width="11" style="15" customWidth="1"/>
    <col min="16145" max="16157" width="13.6640625" style="15" customWidth="1"/>
    <col min="16158" max="16384" width="9.109375" style="15"/>
  </cols>
  <sheetData>
    <row r="1" spans="1:23" s="7" customFormat="1" ht="66" x14ac:dyDescent="0.25">
      <c r="A1" s="1" t="s">
        <v>0</v>
      </c>
      <c r="B1" s="1" t="s">
        <v>1</v>
      </c>
      <c r="C1" s="75" t="s">
        <v>326</v>
      </c>
      <c r="D1" s="1" t="s">
        <v>279</v>
      </c>
      <c r="E1" s="1" t="s">
        <v>280</v>
      </c>
      <c r="F1" s="1" t="s">
        <v>2</v>
      </c>
      <c r="G1" s="1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3" t="s">
        <v>9</v>
      </c>
      <c r="N1" s="4" t="s">
        <v>10</v>
      </c>
      <c r="O1" s="5" t="s">
        <v>332</v>
      </c>
      <c r="P1" s="6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1" t="s">
        <v>17</v>
      </c>
    </row>
    <row r="2" spans="1:23" x14ac:dyDescent="0.25">
      <c r="M2" s="11"/>
      <c r="N2" s="12"/>
      <c r="O2" s="13"/>
    </row>
    <row r="3" spans="1:23" x14ac:dyDescent="0.25">
      <c r="A3" s="8" t="s">
        <v>19</v>
      </c>
      <c r="B3" s="9" t="s">
        <v>20</v>
      </c>
      <c r="C3" s="76">
        <v>0</v>
      </c>
      <c r="D3" s="9" t="s">
        <v>281</v>
      </c>
      <c r="E3" s="9" t="s">
        <v>282</v>
      </c>
      <c r="F3" s="9" t="s">
        <v>21</v>
      </c>
      <c r="G3" s="9" t="s">
        <v>22</v>
      </c>
      <c r="H3" s="10">
        <v>45199</v>
      </c>
      <c r="I3" s="9" t="s">
        <v>23</v>
      </c>
      <c r="J3" s="9" t="s">
        <v>24</v>
      </c>
      <c r="K3" s="9" t="s">
        <v>25</v>
      </c>
      <c r="L3" s="9" t="s">
        <v>26</v>
      </c>
      <c r="M3" s="11"/>
      <c r="N3" s="12"/>
      <c r="O3" s="17"/>
      <c r="P3" s="18"/>
      <c r="Q3" s="19">
        <f>+O3</f>
        <v>0</v>
      </c>
      <c r="R3" s="19"/>
      <c r="S3" s="19"/>
      <c r="T3" s="19"/>
      <c r="U3" s="19"/>
      <c r="V3" s="19"/>
    </row>
    <row r="4" spans="1:23" ht="14.4" x14ac:dyDescent="0.3">
      <c r="A4" s="8" t="s">
        <v>36</v>
      </c>
      <c r="B4" s="9" t="s">
        <v>37</v>
      </c>
      <c r="C4" s="76">
        <v>0</v>
      </c>
      <c r="D4" s="9" t="s">
        <v>284</v>
      </c>
      <c r="E4" s="9" t="s">
        <v>283</v>
      </c>
      <c r="F4" s="9" t="s">
        <v>38</v>
      </c>
      <c r="G4" s="9" t="s">
        <v>22</v>
      </c>
      <c r="H4" s="10">
        <v>45291</v>
      </c>
      <c r="I4" s="9" t="s">
        <v>23</v>
      </c>
      <c r="J4" s="9" t="s">
        <v>24</v>
      </c>
      <c r="K4" s="9" t="s">
        <v>25</v>
      </c>
      <c r="L4" s="9" t="s">
        <v>26</v>
      </c>
      <c r="M4" s="11"/>
      <c r="N4" s="12"/>
      <c r="O4" s="17"/>
      <c r="P4" s="18"/>
      <c r="Q4" s="19">
        <f t="shared" ref="Q4:Q27" si="0">+O4</f>
        <v>0</v>
      </c>
      <c r="R4" s="20"/>
      <c r="S4" s="20"/>
      <c r="T4" s="20"/>
      <c r="U4" s="20"/>
      <c r="V4" s="20"/>
    </row>
    <row r="5" spans="1:23" ht="14.4" x14ac:dyDescent="0.3">
      <c r="A5" s="8" t="s">
        <v>43</v>
      </c>
      <c r="B5" s="9" t="s">
        <v>44</v>
      </c>
      <c r="C5" s="76">
        <v>0</v>
      </c>
      <c r="D5" s="9" t="s">
        <v>287</v>
      </c>
      <c r="E5" s="9" t="s">
        <v>289</v>
      </c>
      <c r="F5" s="9" t="s">
        <v>41</v>
      </c>
      <c r="G5" s="9" t="s">
        <v>22</v>
      </c>
      <c r="H5" s="10">
        <v>45016</v>
      </c>
      <c r="I5" s="9" t="s">
        <v>23</v>
      </c>
      <c r="J5" s="9" t="s">
        <v>24</v>
      </c>
      <c r="K5" s="9" t="s">
        <v>25</v>
      </c>
      <c r="L5" s="9" t="s">
        <v>26</v>
      </c>
      <c r="M5" s="11"/>
      <c r="N5" s="12"/>
      <c r="O5" s="17"/>
      <c r="P5" s="18"/>
      <c r="Q5" s="19">
        <f t="shared" si="0"/>
        <v>0</v>
      </c>
      <c r="R5" s="20"/>
      <c r="S5" s="20"/>
      <c r="T5" s="20"/>
      <c r="U5" s="20"/>
      <c r="V5" s="20"/>
    </row>
    <row r="6" spans="1:23" ht="14.4" x14ac:dyDescent="0.3">
      <c r="A6" s="8" t="s">
        <v>46</v>
      </c>
      <c r="B6" s="9" t="s">
        <v>47</v>
      </c>
      <c r="C6" s="76">
        <v>0</v>
      </c>
      <c r="D6" s="9" t="s">
        <v>287</v>
      </c>
      <c r="E6" s="9" t="s">
        <v>289</v>
      </c>
      <c r="F6" s="9" t="s">
        <v>48</v>
      </c>
      <c r="G6" s="9" t="s">
        <v>22</v>
      </c>
      <c r="H6" s="10">
        <v>45016</v>
      </c>
      <c r="I6" s="9" t="s">
        <v>23</v>
      </c>
      <c r="J6" s="9" t="s">
        <v>24</v>
      </c>
      <c r="K6" s="9" t="s">
        <v>25</v>
      </c>
      <c r="L6" s="9" t="s">
        <v>26</v>
      </c>
      <c r="M6" s="11"/>
      <c r="N6" s="12"/>
      <c r="O6" s="17"/>
      <c r="P6" s="18"/>
      <c r="Q6" s="19">
        <f t="shared" si="0"/>
        <v>0</v>
      </c>
      <c r="R6" s="20"/>
      <c r="S6" s="20"/>
      <c r="T6" s="20"/>
      <c r="U6" s="20"/>
      <c r="V6" s="20"/>
    </row>
    <row r="7" spans="1:23" ht="14.4" x14ac:dyDescent="0.3">
      <c r="A7" s="8" t="s">
        <v>62</v>
      </c>
      <c r="B7" s="9" t="s">
        <v>62</v>
      </c>
      <c r="C7" s="76">
        <v>0</v>
      </c>
      <c r="D7" s="9" t="s">
        <v>287</v>
      </c>
      <c r="E7" s="9" t="s">
        <v>289</v>
      </c>
      <c r="F7" s="9" t="s">
        <v>63</v>
      </c>
      <c r="G7" s="9" t="s">
        <v>22</v>
      </c>
      <c r="H7" s="10">
        <v>45016</v>
      </c>
      <c r="I7" s="9" t="s">
        <v>23</v>
      </c>
      <c r="J7" s="9" t="s">
        <v>24</v>
      </c>
      <c r="K7" s="9" t="s">
        <v>25</v>
      </c>
      <c r="L7" s="9" t="s">
        <v>26</v>
      </c>
      <c r="M7" s="11"/>
      <c r="N7" s="12"/>
      <c r="O7" s="17"/>
      <c r="P7" s="18"/>
      <c r="Q7" s="19">
        <f t="shared" si="0"/>
        <v>0</v>
      </c>
      <c r="R7" s="20"/>
      <c r="S7" s="20"/>
      <c r="T7" s="20"/>
      <c r="U7" s="20"/>
      <c r="V7" s="20"/>
    </row>
    <row r="8" spans="1:23" ht="27" x14ac:dyDescent="0.3">
      <c r="A8" s="8" t="s">
        <v>70</v>
      </c>
      <c r="B8" s="9" t="s">
        <v>71</v>
      </c>
      <c r="C8" s="76">
        <v>0</v>
      </c>
      <c r="D8" s="9" t="s">
        <v>290</v>
      </c>
      <c r="E8" s="9" t="s">
        <v>282</v>
      </c>
      <c r="F8" s="9" t="s">
        <v>72</v>
      </c>
      <c r="G8" s="9" t="s">
        <v>22</v>
      </c>
      <c r="H8" s="10">
        <v>45138</v>
      </c>
      <c r="I8" s="9" t="s">
        <v>23</v>
      </c>
      <c r="J8" s="9" t="s">
        <v>24</v>
      </c>
      <c r="K8" s="9" t="s">
        <v>25</v>
      </c>
      <c r="L8" s="9" t="s">
        <v>25</v>
      </c>
      <c r="M8" s="11"/>
      <c r="N8" s="12"/>
      <c r="O8" s="17"/>
      <c r="P8" s="18"/>
      <c r="Q8" s="19">
        <f t="shared" si="0"/>
        <v>0</v>
      </c>
      <c r="R8" s="20"/>
      <c r="S8" s="20"/>
      <c r="T8" s="20"/>
      <c r="U8" s="20"/>
      <c r="V8" s="20"/>
    </row>
    <row r="9" spans="1:23" x14ac:dyDescent="0.25">
      <c r="A9" s="8" t="s">
        <v>82</v>
      </c>
      <c r="B9" s="9" t="s">
        <v>83</v>
      </c>
      <c r="C9" s="76">
        <v>0</v>
      </c>
      <c r="D9" s="9" t="s">
        <v>283</v>
      </c>
      <c r="E9" s="9" t="s">
        <v>283</v>
      </c>
      <c r="F9" s="9" t="s">
        <v>84</v>
      </c>
      <c r="G9" s="9" t="s">
        <v>22</v>
      </c>
      <c r="H9" s="10">
        <v>45107</v>
      </c>
      <c r="I9" s="9" t="s">
        <v>23</v>
      </c>
      <c r="J9" s="9" t="s">
        <v>24</v>
      </c>
      <c r="K9" s="9" t="s">
        <v>25</v>
      </c>
      <c r="L9" s="9" t="s">
        <v>26</v>
      </c>
      <c r="M9" s="24"/>
      <c r="N9" s="25"/>
      <c r="O9" s="26"/>
      <c r="P9" s="18"/>
      <c r="Q9" s="27">
        <f t="shared" ref="Q9" si="1">+O9</f>
        <v>0</v>
      </c>
      <c r="R9" s="27"/>
      <c r="S9" s="27"/>
      <c r="T9" s="27"/>
      <c r="U9" s="27"/>
      <c r="V9" s="27"/>
      <c r="W9" s="28"/>
    </row>
    <row r="10" spans="1:23" ht="14.4" x14ac:dyDescent="0.3">
      <c r="A10" s="8" t="s">
        <v>85</v>
      </c>
      <c r="B10" s="9" t="s">
        <v>86</v>
      </c>
      <c r="C10" s="76">
        <v>0</v>
      </c>
      <c r="D10" s="9" t="s">
        <v>283</v>
      </c>
      <c r="E10" s="9" t="s">
        <v>283</v>
      </c>
      <c r="F10" s="9" t="s">
        <v>87</v>
      </c>
      <c r="G10" s="9" t="s">
        <v>22</v>
      </c>
      <c r="H10" s="10">
        <v>45107</v>
      </c>
      <c r="I10" s="9" t="s">
        <v>23</v>
      </c>
      <c r="J10" s="9" t="s">
        <v>24</v>
      </c>
      <c r="K10" s="9" t="s">
        <v>25</v>
      </c>
      <c r="L10" s="9" t="s">
        <v>26</v>
      </c>
      <c r="M10" s="11"/>
      <c r="N10" s="12"/>
      <c r="O10" s="17"/>
      <c r="P10" s="18"/>
      <c r="Q10" s="19">
        <f t="shared" si="0"/>
        <v>0</v>
      </c>
      <c r="R10" s="20"/>
      <c r="S10" s="20"/>
      <c r="T10" s="20"/>
      <c r="U10" s="20"/>
      <c r="V10" s="20"/>
    </row>
    <row r="11" spans="1:23" ht="27" x14ac:dyDescent="0.3">
      <c r="A11" s="8" t="s">
        <v>88</v>
      </c>
      <c r="B11" s="9" t="s">
        <v>89</v>
      </c>
      <c r="C11" s="76">
        <v>0</v>
      </c>
      <c r="D11" s="9" t="s">
        <v>283</v>
      </c>
      <c r="E11" s="9" t="s">
        <v>283</v>
      </c>
      <c r="F11" s="9" t="s">
        <v>90</v>
      </c>
      <c r="G11" s="9" t="s">
        <v>22</v>
      </c>
      <c r="H11" s="10">
        <v>45016</v>
      </c>
      <c r="I11" s="9" t="s">
        <v>23</v>
      </c>
      <c r="J11" s="9" t="s">
        <v>24</v>
      </c>
      <c r="K11" s="9" t="s">
        <v>25</v>
      </c>
      <c r="L11" s="9" t="s">
        <v>26</v>
      </c>
      <c r="M11" s="11"/>
      <c r="N11" s="12"/>
      <c r="O11" s="29"/>
      <c r="P11" s="18"/>
      <c r="Q11" s="19">
        <f t="shared" si="0"/>
        <v>0</v>
      </c>
      <c r="R11" s="20"/>
      <c r="S11" s="20"/>
      <c r="T11" s="20"/>
      <c r="U11" s="20"/>
      <c r="V11" s="20"/>
    </row>
    <row r="12" spans="1:23" ht="14.4" x14ac:dyDescent="0.3">
      <c r="A12" s="8" t="s">
        <v>95</v>
      </c>
      <c r="B12" s="9" t="s">
        <v>96</v>
      </c>
      <c r="C12" s="76">
        <v>0</v>
      </c>
      <c r="D12" s="9" t="s">
        <v>283</v>
      </c>
      <c r="E12" s="9" t="s">
        <v>283</v>
      </c>
      <c r="F12" s="9" t="s">
        <v>97</v>
      </c>
      <c r="G12" s="9" t="s">
        <v>22</v>
      </c>
      <c r="H12" s="10">
        <v>45107</v>
      </c>
      <c r="I12" s="9" t="s">
        <v>23</v>
      </c>
      <c r="J12" s="9" t="s">
        <v>24</v>
      </c>
      <c r="K12" s="9" t="s">
        <v>25</v>
      </c>
      <c r="L12" s="9" t="s">
        <v>26</v>
      </c>
      <c r="M12" s="11"/>
      <c r="N12" s="12"/>
      <c r="O12" s="29"/>
      <c r="P12" s="18"/>
      <c r="Q12" s="19">
        <f t="shared" si="0"/>
        <v>0</v>
      </c>
      <c r="R12" s="20"/>
      <c r="S12" s="20"/>
      <c r="T12" s="20"/>
      <c r="U12" s="20"/>
      <c r="V12" s="20"/>
    </row>
    <row r="13" spans="1:23" ht="14.4" x14ac:dyDescent="0.3">
      <c r="A13" s="8" t="s">
        <v>98</v>
      </c>
      <c r="B13" s="9" t="s">
        <v>98</v>
      </c>
      <c r="C13" s="76">
        <v>0</v>
      </c>
      <c r="D13" s="9" t="s">
        <v>283</v>
      </c>
      <c r="E13" s="9" t="s">
        <v>283</v>
      </c>
      <c r="F13" s="9" t="s">
        <v>99</v>
      </c>
      <c r="G13" s="9" t="s">
        <v>22</v>
      </c>
      <c r="H13" s="10">
        <v>45291</v>
      </c>
      <c r="I13" s="9" t="s">
        <v>23</v>
      </c>
      <c r="J13" s="9" t="s">
        <v>24</v>
      </c>
      <c r="K13" s="9" t="s">
        <v>25</v>
      </c>
      <c r="L13" s="9" t="s">
        <v>26</v>
      </c>
      <c r="M13" s="11"/>
      <c r="N13" s="12"/>
      <c r="O13" s="29"/>
      <c r="P13" s="18"/>
      <c r="Q13" s="19">
        <f t="shared" si="0"/>
        <v>0</v>
      </c>
      <c r="R13" s="20"/>
      <c r="S13" s="20"/>
      <c r="T13" s="20"/>
      <c r="U13" s="20"/>
      <c r="V13" s="20"/>
    </row>
    <row r="14" spans="1:23" ht="14.4" x14ac:dyDescent="0.3">
      <c r="A14" s="8" t="s">
        <v>100</v>
      </c>
      <c r="B14" s="9" t="s">
        <v>101</v>
      </c>
      <c r="C14" s="76">
        <v>0</v>
      </c>
      <c r="D14" s="9" t="s">
        <v>287</v>
      </c>
      <c r="E14" s="9" t="s">
        <v>293</v>
      </c>
      <c r="F14" s="9" t="s">
        <v>102</v>
      </c>
      <c r="G14" s="9" t="s">
        <v>22</v>
      </c>
      <c r="H14" s="10">
        <v>45291</v>
      </c>
      <c r="I14" s="9" t="s">
        <v>23</v>
      </c>
      <c r="J14" s="9" t="s">
        <v>24</v>
      </c>
      <c r="K14" s="9" t="s">
        <v>25</v>
      </c>
      <c r="L14" s="9" t="s">
        <v>26</v>
      </c>
      <c r="M14" s="11"/>
      <c r="N14" s="12"/>
      <c r="O14" s="17"/>
      <c r="P14" s="18"/>
      <c r="Q14" s="19">
        <f t="shared" si="0"/>
        <v>0</v>
      </c>
      <c r="R14" s="20"/>
      <c r="S14" s="20"/>
      <c r="T14" s="20"/>
      <c r="U14" s="20"/>
      <c r="V14" s="20"/>
    </row>
    <row r="15" spans="1:23" ht="14.4" x14ac:dyDescent="0.3">
      <c r="A15" s="8" t="s">
        <v>106</v>
      </c>
      <c r="B15" s="9" t="s">
        <v>107</v>
      </c>
      <c r="C15" s="76">
        <v>0</v>
      </c>
      <c r="D15" s="9" t="s">
        <v>294</v>
      </c>
      <c r="E15" s="9" t="s">
        <v>295</v>
      </c>
      <c r="F15" s="9" t="s">
        <v>108</v>
      </c>
      <c r="G15" s="9" t="s">
        <v>22</v>
      </c>
      <c r="H15" s="10">
        <v>45199</v>
      </c>
      <c r="I15" s="9" t="s">
        <v>23</v>
      </c>
      <c r="J15" s="9" t="s">
        <v>24</v>
      </c>
      <c r="K15" s="9" t="s">
        <v>25</v>
      </c>
      <c r="L15" s="9" t="s">
        <v>26</v>
      </c>
      <c r="M15" s="11"/>
      <c r="N15" s="12"/>
      <c r="O15" s="17"/>
      <c r="P15" s="18"/>
      <c r="Q15" s="19">
        <f t="shared" si="0"/>
        <v>0</v>
      </c>
      <c r="R15" s="20"/>
      <c r="S15" s="20"/>
      <c r="T15" s="20"/>
      <c r="U15" s="20"/>
      <c r="V15" s="20"/>
    </row>
    <row r="16" spans="1:23" s="28" customFormat="1" ht="26.4" x14ac:dyDescent="0.25">
      <c r="A16" s="8" t="s">
        <v>109</v>
      </c>
      <c r="B16" s="9" t="s">
        <v>110</v>
      </c>
      <c r="C16" s="76">
        <v>0</v>
      </c>
      <c r="D16" s="9" t="s">
        <v>283</v>
      </c>
      <c r="E16" s="9" t="s">
        <v>283</v>
      </c>
      <c r="F16" s="9" t="s">
        <v>111</v>
      </c>
      <c r="G16" s="9" t="s">
        <v>22</v>
      </c>
      <c r="H16" s="10">
        <v>45016</v>
      </c>
      <c r="I16" s="9" t="s">
        <v>23</v>
      </c>
      <c r="J16" s="9" t="s">
        <v>24</v>
      </c>
      <c r="K16" s="9" t="s">
        <v>25</v>
      </c>
      <c r="L16" s="9" t="s">
        <v>26</v>
      </c>
      <c r="M16" s="24"/>
      <c r="N16" s="25"/>
      <c r="O16" s="26"/>
      <c r="P16" s="18"/>
      <c r="Q16" s="27">
        <f>+O16</f>
        <v>0</v>
      </c>
      <c r="R16" s="27"/>
      <c r="S16" s="27"/>
      <c r="T16" s="27"/>
      <c r="U16" s="27"/>
      <c r="V16" s="27"/>
    </row>
    <row r="17" spans="1:22" s="28" customFormat="1" ht="26.4" x14ac:dyDescent="0.25">
      <c r="A17" s="8" t="s">
        <v>112</v>
      </c>
      <c r="B17" s="9" t="s">
        <v>113</v>
      </c>
      <c r="C17" s="76">
        <v>0</v>
      </c>
      <c r="D17" s="9" t="s">
        <v>296</v>
      </c>
      <c r="E17" s="9" t="s">
        <v>297</v>
      </c>
      <c r="F17" s="9" t="s">
        <v>114</v>
      </c>
      <c r="G17" s="9" t="s">
        <v>22</v>
      </c>
      <c r="H17" s="10">
        <v>45016</v>
      </c>
      <c r="I17" s="9" t="s">
        <v>23</v>
      </c>
      <c r="J17" s="9" t="s">
        <v>24</v>
      </c>
      <c r="K17" s="9" t="s">
        <v>25</v>
      </c>
      <c r="L17" s="9" t="s">
        <v>25</v>
      </c>
      <c r="M17" s="24"/>
      <c r="N17" s="25"/>
      <c r="O17" s="26"/>
      <c r="P17" s="18"/>
      <c r="Q17" s="27">
        <f t="shared" si="0"/>
        <v>0</v>
      </c>
      <c r="R17" s="27"/>
      <c r="S17" s="27"/>
      <c r="T17" s="27"/>
      <c r="U17" s="27"/>
      <c r="V17" s="27"/>
    </row>
    <row r="18" spans="1:22" ht="27" x14ac:dyDescent="0.3">
      <c r="A18" s="8" t="s">
        <v>115</v>
      </c>
      <c r="B18" s="9" t="s">
        <v>116</v>
      </c>
      <c r="C18" s="76">
        <v>0</v>
      </c>
      <c r="D18" s="9" t="s">
        <v>283</v>
      </c>
      <c r="E18" s="9" t="s">
        <v>283</v>
      </c>
      <c r="F18" s="9" t="s">
        <v>117</v>
      </c>
      <c r="G18" s="9" t="s">
        <v>22</v>
      </c>
      <c r="H18" s="10">
        <v>45107</v>
      </c>
      <c r="I18" s="9" t="s">
        <v>23</v>
      </c>
      <c r="J18" s="9" t="s">
        <v>24</v>
      </c>
      <c r="K18" s="9" t="s">
        <v>25</v>
      </c>
      <c r="L18" s="9" t="s">
        <v>26</v>
      </c>
      <c r="M18" s="11"/>
      <c r="N18" s="12"/>
      <c r="O18" s="17"/>
      <c r="P18" s="18"/>
      <c r="Q18" s="19">
        <f t="shared" si="0"/>
        <v>0</v>
      </c>
      <c r="R18" s="20"/>
      <c r="S18" s="20"/>
      <c r="T18" s="20"/>
      <c r="U18" s="20"/>
      <c r="V18" s="20"/>
    </row>
    <row r="19" spans="1:22" ht="40.200000000000003" x14ac:dyDescent="0.3">
      <c r="A19" s="8" t="s">
        <v>118</v>
      </c>
      <c r="B19" s="9" t="s">
        <v>119</v>
      </c>
      <c r="C19" s="76">
        <v>0</v>
      </c>
      <c r="D19" s="9" t="s">
        <v>287</v>
      </c>
      <c r="E19" s="9" t="s">
        <v>293</v>
      </c>
      <c r="F19" s="9" t="s">
        <v>120</v>
      </c>
      <c r="G19" s="9" t="s">
        <v>22</v>
      </c>
      <c r="H19" s="10">
        <v>45138</v>
      </c>
      <c r="I19" s="9" t="s">
        <v>23</v>
      </c>
      <c r="J19" s="9" t="s">
        <v>24</v>
      </c>
      <c r="K19" s="9" t="s">
        <v>25</v>
      </c>
      <c r="L19" s="9" t="s">
        <v>25</v>
      </c>
      <c r="M19" s="11"/>
      <c r="N19" s="12"/>
      <c r="O19" s="17"/>
      <c r="P19" s="18"/>
      <c r="Q19" s="19">
        <f t="shared" si="0"/>
        <v>0</v>
      </c>
      <c r="R19" s="20"/>
      <c r="S19" s="20"/>
      <c r="T19" s="20"/>
      <c r="U19" s="20"/>
      <c r="V19" s="20"/>
    </row>
    <row r="20" spans="1:22" ht="14.4" x14ac:dyDescent="0.3">
      <c r="A20" s="8" t="s">
        <v>124</v>
      </c>
      <c r="B20" s="9" t="s">
        <v>125</v>
      </c>
      <c r="C20" s="76">
        <v>0</v>
      </c>
      <c r="D20" s="9" t="s">
        <v>290</v>
      </c>
      <c r="E20" s="9" t="s">
        <v>297</v>
      </c>
      <c r="F20" s="9" t="s">
        <v>126</v>
      </c>
      <c r="G20" s="9" t="s">
        <v>22</v>
      </c>
      <c r="H20" s="10">
        <v>44926</v>
      </c>
      <c r="I20" s="9" t="s">
        <v>23</v>
      </c>
      <c r="J20" s="9" t="s">
        <v>24</v>
      </c>
      <c r="K20" s="9" t="s">
        <v>25</v>
      </c>
      <c r="L20" s="9" t="s">
        <v>25</v>
      </c>
      <c r="M20" s="11"/>
      <c r="N20" s="12"/>
      <c r="O20" s="17"/>
      <c r="P20" s="18"/>
      <c r="Q20" s="19">
        <f t="shared" si="0"/>
        <v>0</v>
      </c>
      <c r="R20" s="20"/>
      <c r="S20" s="20"/>
      <c r="T20" s="20"/>
      <c r="U20" s="20"/>
      <c r="V20" s="20"/>
    </row>
    <row r="21" spans="1:22" ht="14.4" x14ac:dyDescent="0.3">
      <c r="A21" s="8" t="s">
        <v>127</v>
      </c>
      <c r="B21" s="9" t="s">
        <v>127</v>
      </c>
      <c r="C21" s="76">
        <v>0</v>
      </c>
      <c r="D21" s="9" t="s">
        <v>298</v>
      </c>
      <c r="E21" s="9" t="s">
        <v>299</v>
      </c>
      <c r="F21" s="9" t="s">
        <v>128</v>
      </c>
      <c r="G21" s="9" t="s">
        <v>22</v>
      </c>
      <c r="H21" s="10">
        <v>45016</v>
      </c>
      <c r="I21" s="9" t="s">
        <v>23</v>
      </c>
      <c r="J21" s="9" t="s">
        <v>24</v>
      </c>
      <c r="K21" s="9" t="s">
        <v>25</v>
      </c>
      <c r="L21" s="9" t="s">
        <v>26</v>
      </c>
      <c r="M21" s="11"/>
      <c r="N21" s="12"/>
      <c r="O21" s="17"/>
      <c r="P21" s="18"/>
      <c r="Q21" s="19">
        <f t="shared" si="0"/>
        <v>0</v>
      </c>
      <c r="R21" s="20"/>
      <c r="S21" s="20"/>
      <c r="T21" s="20"/>
      <c r="U21" s="20"/>
      <c r="V21" s="20"/>
    </row>
    <row r="22" spans="1:22" s="31" customFormat="1" x14ac:dyDescent="0.25">
      <c r="A22" s="8" t="s">
        <v>129</v>
      </c>
      <c r="B22" s="9" t="s">
        <v>130</v>
      </c>
      <c r="C22" s="76">
        <v>0</v>
      </c>
      <c r="D22" s="9" t="s">
        <v>283</v>
      </c>
      <c r="E22" s="9" t="s">
        <v>283</v>
      </c>
      <c r="F22" s="9" t="s">
        <v>128</v>
      </c>
      <c r="G22" s="9" t="s">
        <v>22</v>
      </c>
      <c r="H22" s="10">
        <v>45016</v>
      </c>
      <c r="I22" s="9" t="s">
        <v>23</v>
      </c>
      <c r="J22" s="9" t="s">
        <v>24</v>
      </c>
      <c r="K22" s="9" t="s">
        <v>25</v>
      </c>
      <c r="L22" s="9" t="s">
        <v>25</v>
      </c>
      <c r="M22" s="11"/>
      <c r="N22" s="12"/>
      <c r="O22" s="17"/>
      <c r="P22" s="18"/>
      <c r="Q22" s="19">
        <f t="shared" si="0"/>
        <v>0</v>
      </c>
      <c r="R22" s="30"/>
      <c r="S22" s="30"/>
      <c r="T22" s="30"/>
      <c r="U22" s="30"/>
      <c r="V22" s="30"/>
    </row>
    <row r="23" spans="1:22" s="31" customFormat="1" x14ac:dyDescent="0.25">
      <c r="A23" s="8" t="s">
        <v>134</v>
      </c>
      <c r="B23" s="9" t="s">
        <v>135</v>
      </c>
      <c r="C23" s="76">
        <v>0</v>
      </c>
      <c r="D23" s="9" t="s">
        <v>283</v>
      </c>
      <c r="E23" s="9" t="s">
        <v>283</v>
      </c>
      <c r="F23" s="9" t="s">
        <v>136</v>
      </c>
      <c r="G23" s="9" t="s">
        <v>22</v>
      </c>
      <c r="H23" s="10">
        <v>45107</v>
      </c>
      <c r="I23" s="9" t="s">
        <v>23</v>
      </c>
      <c r="J23" s="9" t="s">
        <v>24</v>
      </c>
      <c r="K23" s="9" t="s">
        <v>25</v>
      </c>
      <c r="L23" s="9" t="s">
        <v>25</v>
      </c>
      <c r="M23" s="11"/>
      <c r="N23" s="12"/>
      <c r="O23" s="17"/>
      <c r="P23" s="18"/>
      <c r="Q23" s="19">
        <f t="shared" si="0"/>
        <v>0</v>
      </c>
      <c r="R23" s="30"/>
      <c r="S23" s="30"/>
      <c r="T23" s="30"/>
      <c r="U23" s="30"/>
      <c r="V23" s="30"/>
    </row>
    <row r="24" spans="1:22" ht="14.4" x14ac:dyDescent="0.3">
      <c r="A24" s="8" t="s">
        <v>137</v>
      </c>
      <c r="B24" s="9" t="s">
        <v>138</v>
      </c>
      <c r="C24" s="76">
        <v>0</v>
      </c>
      <c r="D24" s="9" t="s">
        <v>302</v>
      </c>
      <c r="E24" s="9" t="s">
        <v>302</v>
      </c>
      <c r="F24" s="9" t="s">
        <v>139</v>
      </c>
      <c r="G24" s="9" t="s">
        <v>42</v>
      </c>
      <c r="H24" s="10">
        <v>45291</v>
      </c>
      <c r="I24" s="9" t="s">
        <v>23</v>
      </c>
      <c r="J24" s="9" t="s">
        <v>24</v>
      </c>
      <c r="K24" s="9" t="s">
        <v>25</v>
      </c>
      <c r="L24" s="9" t="s">
        <v>26</v>
      </c>
      <c r="M24" s="11"/>
      <c r="N24" s="12"/>
      <c r="O24" s="17"/>
      <c r="P24" s="18"/>
      <c r="Q24" s="19">
        <f t="shared" si="0"/>
        <v>0</v>
      </c>
      <c r="R24" s="20"/>
      <c r="S24" s="20"/>
      <c r="T24" s="20"/>
      <c r="U24" s="20"/>
      <c r="V24" s="20"/>
    </row>
    <row r="25" spans="1:22" ht="14.4" x14ac:dyDescent="0.3">
      <c r="A25" s="8" t="s">
        <v>142</v>
      </c>
      <c r="B25" s="9" t="s">
        <v>143</v>
      </c>
      <c r="C25" s="76">
        <v>0</v>
      </c>
      <c r="D25" s="9" t="s">
        <v>283</v>
      </c>
      <c r="E25" s="9" t="s">
        <v>283</v>
      </c>
      <c r="F25" s="9" t="s">
        <v>144</v>
      </c>
      <c r="G25" s="9" t="s">
        <v>22</v>
      </c>
      <c r="H25" s="10">
        <v>45016</v>
      </c>
      <c r="I25" s="9" t="s">
        <v>23</v>
      </c>
      <c r="J25" s="9" t="s">
        <v>24</v>
      </c>
      <c r="K25" s="9" t="s">
        <v>25</v>
      </c>
      <c r="L25" s="9" t="s">
        <v>26</v>
      </c>
      <c r="M25" s="11"/>
      <c r="N25" s="12"/>
      <c r="O25" s="17"/>
      <c r="P25" s="18"/>
      <c r="Q25" s="19">
        <f t="shared" si="0"/>
        <v>0</v>
      </c>
      <c r="R25" s="20"/>
      <c r="S25" s="20"/>
      <c r="T25" s="20"/>
      <c r="U25" s="20"/>
      <c r="V25" s="20"/>
    </row>
    <row r="26" spans="1:22" ht="14.4" x14ac:dyDescent="0.3">
      <c r="A26" s="8" t="s">
        <v>149</v>
      </c>
      <c r="B26" s="9" t="s">
        <v>150</v>
      </c>
      <c r="C26" s="76">
        <v>0</v>
      </c>
      <c r="D26" s="9" t="s">
        <v>302</v>
      </c>
      <c r="E26" s="9" t="s">
        <v>302</v>
      </c>
      <c r="F26" s="9" t="s">
        <v>151</v>
      </c>
      <c r="G26" s="9" t="s">
        <v>42</v>
      </c>
      <c r="H26" s="10">
        <v>45199</v>
      </c>
      <c r="I26" s="9" t="s">
        <v>23</v>
      </c>
      <c r="J26" s="9" t="s">
        <v>24</v>
      </c>
      <c r="K26" s="9" t="s">
        <v>25</v>
      </c>
      <c r="L26" s="9" t="s">
        <v>26</v>
      </c>
      <c r="M26" s="11"/>
      <c r="N26" s="12"/>
      <c r="O26" s="17"/>
      <c r="P26" s="18"/>
      <c r="Q26" s="19">
        <f t="shared" si="0"/>
        <v>0</v>
      </c>
      <c r="R26" s="20"/>
      <c r="S26" s="20"/>
      <c r="T26" s="20"/>
      <c r="U26" s="20"/>
      <c r="V26" s="20"/>
    </row>
    <row r="27" spans="1:22" ht="27" x14ac:dyDescent="0.3">
      <c r="A27" s="8" t="s">
        <v>155</v>
      </c>
      <c r="B27" s="9" t="s">
        <v>156</v>
      </c>
      <c r="C27" s="76">
        <v>0</v>
      </c>
      <c r="D27" s="9" t="s">
        <v>305</v>
      </c>
      <c r="E27" s="9" t="s">
        <v>292</v>
      </c>
      <c r="F27" s="9" t="s">
        <v>157</v>
      </c>
      <c r="G27" s="9" t="s">
        <v>42</v>
      </c>
      <c r="H27" s="10">
        <v>45291</v>
      </c>
      <c r="I27" s="9" t="s">
        <v>23</v>
      </c>
      <c r="J27" s="9" t="s">
        <v>24</v>
      </c>
      <c r="K27" s="9" t="s">
        <v>25</v>
      </c>
      <c r="L27" s="9" t="s">
        <v>26</v>
      </c>
      <c r="M27" s="11"/>
      <c r="N27" s="12"/>
      <c r="O27" s="17"/>
      <c r="P27" s="18"/>
      <c r="Q27" s="19">
        <f t="shared" si="0"/>
        <v>0</v>
      </c>
      <c r="R27" s="20"/>
      <c r="S27" s="20"/>
      <c r="T27" s="20"/>
      <c r="U27" s="20"/>
      <c r="V27" s="20"/>
    </row>
    <row r="28" spans="1:22" ht="14.4" x14ac:dyDescent="0.3">
      <c r="A28" s="8" t="s">
        <v>158</v>
      </c>
      <c r="B28" s="9" t="s">
        <v>159</v>
      </c>
      <c r="C28" s="76">
        <v>0</v>
      </c>
      <c r="D28" s="9" t="s">
        <v>306</v>
      </c>
      <c r="E28" s="9" t="s">
        <v>283</v>
      </c>
      <c r="F28" s="9" t="s">
        <v>160</v>
      </c>
      <c r="G28" s="9" t="s">
        <v>42</v>
      </c>
      <c r="H28" s="10">
        <v>45291</v>
      </c>
      <c r="I28" s="9" t="s">
        <v>23</v>
      </c>
      <c r="J28" s="9" t="s">
        <v>24</v>
      </c>
      <c r="K28" s="9" t="s">
        <v>25</v>
      </c>
      <c r="L28" s="9" t="s">
        <v>26</v>
      </c>
      <c r="M28" s="11"/>
      <c r="N28" s="12"/>
      <c r="O28" s="17"/>
      <c r="P28" s="18"/>
      <c r="Q28" s="19"/>
      <c r="R28" s="20">
        <f t="shared" ref="R28:R46" si="2">+O28</f>
        <v>0</v>
      </c>
      <c r="S28" s="20"/>
      <c r="T28" s="20"/>
      <c r="U28" s="20"/>
      <c r="V28" s="20"/>
    </row>
    <row r="29" spans="1:22" ht="14.4" x14ac:dyDescent="0.3">
      <c r="A29" s="8" t="s">
        <v>182</v>
      </c>
      <c r="B29" s="9" t="s">
        <v>183</v>
      </c>
      <c r="C29" s="76">
        <v>0</v>
      </c>
      <c r="D29" s="9" t="s">
        <v>308</v>
      </c>
      <c r="E29" s="9" t="s">
        <v>283</v>
      </c>
      <c r="F29" s="9" t="s">
        <v>184</v>
      </c>
      <c r="G29" s="9" t="s">
        <v>42</v>
      </c>
      <c r="H29" s="10">
        <v>45107</v>
      </c>
      <c r="I29" s="9" t="s">
        <v>23</v>
      </c>
      <c r="J29" s="9" t="s">
        <v>24</v>
      </c>
      <c r="K29" s="9" t="s">
        <v>25</v>
      </c>
      <c r="L29" s="9" t="s">
        <v>26</v>
      </c>
      <c r="M29" s="11"/>
      <c r="N29" s="12"/>
      <c r="O29" s="17"/>
      <c r="P29" s="18"/>
      <c r="Q29" s="19"/>
      <c r="R29" s="20">
        <f t="shared" si="2"/>
        <v>0</v>
      </c>
      <c r="S29" s="20"/>
      <c r="T29" s="20"/>
      <c r="U29" s="20"/>
      <c r="V29" s="20"/>
    </row>
    <row r="30" spans="1:22" ht="14.4" x14ac:dyDescent="0.3">
      <c r="A30" s="8" t="s">
        <v>185</v>
      </c>
      <c r="B30" s="9" t="s">
        <v>186</v>
      </c>
      <c r="C30" s="76">
        <v>0</v>
      </c>
      <c r="D30" s="9" t="s">
        <v>292</v>
      </c>
      <c r="E30" s="9" t="s">
        <v>292</v>
      </c>
      <c r="F30" s="9" t="s">
        <v>187</v>
      </c>
      <c r="G30" s="9" t="s">
        <v>42</v>
      </c>
      <c r="H30" s="10">
        <v>44926</v>
      </c>
      <c r="I30" s="9" t="s">
        <v>23</v>
      </c>
      <c r="J30" s="9" t="s">
        <v>24</v>
      </c>
      <c r="K30" s="9" t="s">
        <v>25</v>
      </c>
      <c r="L30" s="9" t="s">
        <v>26</v>
      </c>
      <c r="M30" s="11"/>
      <c r="N30" s="12"/>
      <c r="O30" s="17"/>
      <c r="P30" s="18"/>
      <c r="Q30" s="19"/>
      <c r="R30" s="20">
        <f t="shared" si="2"/>
        <v>0</v>
      </c>
      <c r="S30" s="20"/>
      <c r="T30" s="20"/>
      <c r="U30" s="20"/>
      <c r="V30" s="20"/>
    </row>
    <row r="31" spans="1:22" ht="14.4" x14ac:dyDescent="0.3">
      <c r="A31" s="8" t="s">
        <v>212</v>
      </c>
      <c r="B31" s="9" t="s">
        <v>213</v>
      </c>
      <c r="C31" s="76">
        <v>0</v>
      </c>
      <c r="D31" s="9" t="s">
        <v>290</v>
      </c>
      <c r="E31" s="9" t="s">
        <v>311</v>
      </c>
      <c r="F31" s="9" t="s">
        <v>214</v>
      </c>
      <c r="G31" s="9" t="s">
        <v>42</v>
      </c>
      <c r="H31" s="10">
        <v>44926</v>
      </c>
      <c r="I31" s="9" t="s">
        <v>23</v>
      </c>
      <c r="J31" s="9" t="s">
        <v>24</v>
      </c>
      <c r="K31" s="9" t="s">
        <v>25</v>
      </c>
      <c r="L31" s="9" t="s">
        <v>26</v>
      </c>
      <c r="M31" s="11"/>
      <c r="N31" s="12"/>
      <c r="O31" s="17"/>
      <c r="P31" s="18"/>
      <c r="Q31" s="19"/>
      <c r="R31" s="20">
        <f t="shared" si="2"/>
        <v>0</v>
      </c>
      <c r="S31" s="20"/>
      <c r="T31" s="20"/>
      <c r="U31" s="20"/>
      <c r="V31" s="20"/>
    </row>
    <row r="32" spans="1:22" x14ac:dyDescent="0.25">
      <c r="A32" s="8" t="s">
        <v>222</v>
      </c>
      <c r="B32" s="9" t="s">
        <v>223</v>
      </c>
      <c r="C32" s="76">
        <v>0</v>
      </c>
      <c r="D32" s="9" t="s">
        <v>292</v>
      </c>
      <c r="E32" s="9" t="s">
        <v>292</v>
      </c>
      <c r="F32" s="9" t="s">
        <v>224</v>
      </c>
      <c r="G32" s="9" t="s">
        <v>42</v>
      </c>
      <c r="H32" s="10">
        <v>45291</v>
      </c>
      <c r="I32" s="9" t="s">
        <v>23</v>
      </c>
      <c r="J32" s="9" t="s">
        <v>24</v>
      </c>
      <c r="K32" s="9" t="s">
        <v>25</v>
      </c>
      <c r="L32" s="9" t="s">
        <v>25</v>
      </c>
      <c r="M32" s="11"/>
      <c r="N32" s="12"/>
      <c r="O32" s="17"/>
      <c r="P32" s="18"/>
      <c r="Q32" s="19"/>
      <c r="R32" s="19">
        <f t="shared" si="2"/>
        <v>0</v>
      </c>
      <c r="S32" s="19"/>
      <c r="T32" s="19"/>
      <c r="U32" s="19"/>
      <c r="V32" s="19"/>
    </row>
    <row r="33" spans="1:22" x14ac:dyDescent="0.25">
      <c r="A33" s="8" t="s">
        <v>249</v>
      </c>
      <c r="B33" s="9" t="s">
        <v>245</v>
      </c>
      <c r="C33" s="76">
        <v>0</v>
      </c>
      <c r="D33" s="9" t="s">
        <v>283</v>
      </c>
      <c r="E33" s="9" t="s">
        <v>283</v>
      </c>
      <c r="F33" s="9" t="s">
        <v>324</v>
      </c>
      <c r="G33" s="9" t="s">
        <v>246</v>
      </c>
      <c r="H33" s="10">
        <v>44926</v>
      </c>
      <c r="I33" s="9" t="s">
        <v>246</v>
      </c>
      <c r="J33" s="9" t="s">
        <v>24</v>
      </c>
      <c r="K33" s="9" t="s">
        <v>25</v>
      </c>
      <c r="L33" s="9" t="s">
        <v>26</v>
      </c>
      <c r="M33" s="11"/>
      <c r="N33" s="12"/>
      <c r="O33" s="17"/>
      <c r="P33" s="18"/>
      <c r="Q33" s="19"/>
      <c r="R33" s="19">
        <f t="shared" si="2"/>
        <v>0</v>
      </c>
      <c r="S33" s="19"/>
      <c r="T33" s="19"/>
      <c r="U33" s="19"/>
      <c r="V33" s="19"/>
    </row>
    <row r="34" spans="1:22" ht="14.4" x14ac:dyDescent="0.3">
      <c r="A34" s="8" t="s">
        <v>258</v>
      </c>
      <c r="B34" s="9" t="s">
        <v>259</v>
      </c>
      <c r="C34" s="76">
        <v>0</v>
      </c>
      <c r="D34" s="9" t="s">
        <v>290</v>
      </c>
      <c r="E34" s="9" t="s">
        <v>297</v>
      </c>
      <c r="F34" s="9" t="s">
        <v>260</v>
      </c>
      <c r="G34" s="9" t="s">
        <v>42</v>
      </c>
      <c r="H34" s="10">
        <v>44985</v>
      </c>
      <c r="I34" s="9" t="s">
        <v>23</v>
      </c>
      <c r="J34" s="9" t="s">
        <v>24</v>
      </c>
      <c r="K34" s="9" t="s">
        <v>25</v>
      </c>
      <c r="L34" s="9" t="s">
        <v>26</v>
      </c>
      <c r="M34" s="11"/>
      <c r="N34" s="12"/>
      <c r="O34" s="17"/>
      <c r="P34" s="18"/>
      <c r="Q34" s="19"/>
      <c r="R34" s="20">
        <f t="shared" si="2"/>
        <v>0</v>
      </c>
      <c r="S34" s="20"/>
      <c r="T34" s="20"/>
      <c r="U34" s="20"/>
      <c r="V34" s="20"/>
    </row>
    <row r="35" spans="1:22" ht="14.4" x14ac:dyDescent="0.3">
      <c r="A35" s="8" t="s">
        <v>266</v>
      </c>
      <c r="B35" s="9" t="s">
        <v>245</v>
      </c>
      <c r="C35" s="76">
        <v>0</v>
      </c>
      <c r="D35" s="9" t="s">
        <v>283</v>
      </c>
      <c r="E35" s="9" t="s">
        <v>283</v>
      </c>
      <c r="F35" s="9" t="s">
        <v>324</v>
      </c>
      <c r="G35" s="9" t="s">
        <v>246</v>
      </c>
      <c r="H35" s="10">
        <v>44926</v>
      </c>
      <c r="I35" s="9" t="s">
        <v>23</v>
      </c>
      <c r="J35" s="9" t="s">
        <v>24</v>
      </c>
      <c r="K35" s="9" t="s">
        <v>25</v>
      </c>
      <c r="L35" s="9" t="s">
        <v>26</v>
      </c>
      <c r="M35" s="11"/>
      <c r="N35" s="12"/>
      <c r="O35" s="17"/>
      <c r="P35" s="18"/>
      <c r="Q35" s="19"/>
      <c r="R35" s="20">
        <f t="shared" si="2"/>
        <v>0</v>
      </c>
      <c r="S35" s="20"/>
      <c r="T35" s="20"/>
      <c r="U35" s="20"/>
      <c r="V35" s="20"/>
    </row>
    <row r="36" spans="1:22" ht="14.4" x14ac:dyDescent="0.3">
      <c r="A36" s="8" t="s">
        <v>268</v>
      </c>
      <c r="B36" s="9" t="s">
        <v>245</v>
      </c>
      <c r="C36" s="76">
        <v>0</v>
      </c>
      <c r="D36" s="9" t="s">
        <v>283</v>
      </c>
      <c r="E36" s="9" t="s">
        <v>283</v>
      </c>
      <c r="F36" s="9" t="s">
        <v>324</v>
      </c>
      <c r="G36" s="9" t="s">
        <v>246</v>
      </c>
      <c r="H36" s="10">
        <v>44926</v>
      </c>
      <c r="I36" s="9" t="s">
        <v>23</v>
      </c>
      <c r="J36" s="9" t="s">
        <v>24</v>
      </c>
      <c r="K36" s="9" t="s">
        <v>25</v>
      </c>
      <c r="L36" s="9" t="s">
        <v>26</v>
      </c>
      <c r="M36" s="11"/>
      <c r="N36" s="12"/>
      <c r="O36" s="17"/>
      <c r="P36" s="18"/>
      <c r="Q36" s="19"/>
      <c r="R36" s="20">
        <f t="shared" si="2"/>
        <v>0</v>
      </c>
      <c r="S36" s="20"/>
      <c r="T36" s="20"/>
      <c r="U36" s="20"/>
      <c r="V36" s="20"/>
    </row>
    <row r="37" spans="1:22" ht="14.4" x14ac:dyDescent="0.3">
      <c r="A37" s="8" t="s">
        <v>269</v>
      </c>
      <c r="B37" s="9" t="s">
        <v>245</v>
      </c>
      <c r="C37" s="76">
        <v>0</v>
      </c>
      <c r="D37" s="9" t="s">
        <v>283</v>
      </c>
      <c r="E37" s="9" t="s">
        <v>283</v>
      </c>
      <c r="F37" s="9" t="s">
        <v>324</v>
      </c>
      <c r="G37" s="9" t="s">
        <v>246</v>
      </c>
      <c r="H37" s="10">
        <v>44926</v>
      </c>
      <c r="I37" s="9" t="s">
        <v>23</v>
      </c>
      <c r="J37" s="9" t="s">
        <v>24</v>
      </c>
      <c r="K37" s="9" t="s">
        <v>25</v>
      </c>
      <c r="L37" s="9" t="s">
        <v>26</v>
      </c>
      <c r="M37" s="11"/>
      <c r="N37" s="12"/>
      <c r="O37" s="17"/>
      <c r="P37" s="18"/>
      <c r="Q37" s="19"/>
      <c r="R37" s="20">
        <f t="shared" si="2"/>
        <v>0</v>
      </c>
      <c r="S37" s="20"/>
      <c r="T37" s="20"/>
      <c r="U37" s="20"/>
      <c r="V37" s="20"/>
    </row>
    <row r="38" spans="1:22" ht="14.4" x14ac:dyDescent="0.3">
      <c r="A38" s="8" t="s">
        <v>271</v>
      </c>
      <c r="B38" s="9" t="s">
        <v>245</v>
      </c>
      <c r="C38" s="76">
        <v>0</v>
      </c>
      <c r="D38" s="9" t="s">
        <v>292</v>
      </c>
      <c r="E38" s="9" t="s">
        <v>297</v>
      </c>
      <c r="F38" s="9" t="s">
        <v>324</v>
      </c>
      <c r="G38" s="9" t="s">
        <v>246</v>
      </c>
      <c r="H38" s="10">
        <v>44926</v>
      </c>
      <c r="I38" s="9" t="s">
        <v>23</v>
      </c>
      <c r="J38" s="9" t="s">
        <v>24</v>
      </c>
      <c r="K38" s="9" t="s">
        <v>25</v>
      </c>
      <c r="L38" s="9" t="s">
        <v>26</v>
      </c>
      <c r="M38" s="11"/>
      <c r="N38" s="12"/>
      <c r="O38" s="17"/>
      <c r="P38" s="18"/>
      <c r="Q38" s="19"/>
      <c r="R38" s="20">
        <f t="shared" si="2"/>
        <v>0</v>
      </c>
      <c r="S38" s="20"/>
      <c r="T38" s="20"/>
      <c r="U38" s="20"/>
      <c r="V38" s="20"/>
    </row>
    <row r="39" spans="1:22" ht="14.4" x14ac:dyDescent="0.3">
      <c r="A39" s="8" t="s">
        <v>327</v>
      </c>
      <c r="B39" s="73" t="s">
        <v>319</v>
      </c>
      <c r="C39" s="80">
        <v>0</v>
      </c>
      <c r="D39" s="9" t="s">
        <v>290</v>
      </c>
      <c r="E39" s="9" t="s">
        <v>297</v>
      </c>
      <c r="F39" s="9" t="s">
        <v>320</v>
      </c>
      <c r="G39" s="9" t="s">
        <v>42</v>
      </c>
      <c r="H39" s="10">
        <v>44926</v>
      </c>
      <c r="I39" s="9" t="s">
        <v>23</v>
      </c>
      <c r="J39" s="9" t="s">
        <v>24</v>
      </c>
      <c r="K39" s="9" t="s">
        <v>25</v>
      </c>
      <c r="L39" s="9" t="s">
        <v>26</v>
      </c>
      <c r="M39" s="11"/>
      <c r="N39" s="12"/>
      <c r="O39" s="17"/>
      <c r="P39" s="18"/>
      <c r="Q39" s="19"/>
      <c r="R39" s="20">
        <f t="shared" si="2"/>
        <v>0</v>
      </c>
      <c r="S39" s="20"/>
      <c r="T39" s="20"/>
      <c r="U39" s="20"/>
      <c r="V39" s="20"/>
    </row>
    <row r="40" spans="1:22" ht="14.4" x14ac:dyDescent="0.3">
      <c r="A40" s="8" t="s">
        <v>265</v>
      </c>
      <c r="B40" s="9" t="s">
        <v>205</v>
      </c>
      <c r="C40" s="76">
        <v>0</v>
      </c>
      <c r="D40" s="9" t="s">
        <v>292</v>
      </c>
      <c r="E40" s="9" t="s">
        <v>292</v>
      </c>
      <c r="F40" s="9" t="s">
        <v>324</v>
      </c>
      <c r="G40" s="9" t="s">
        <v>246</v>
      </c>
      <c r="H40" s="10">
        <v>44926</v>
      </c>
      <c r="I40" s="9" t="s">
        <v>23</v>
      </c>
      <c r="J40" s="9" t="s">
        <v>24</v>
      </c>
      <c r="K40" s="9" t="s">
        <v>25</v>
      </c>
      <c r="L40" s="9" t="s">
        <v>26</v>
      </c>
      <c r="M40" s="11"/>
      <c r="N40" s="12"/>
      <c r="O40" s="17"/>
      <c r="P40" s="18"/>
      <c r="Q40" s="19"/>
      <c r="R40" s="20">
        <f t="shared" si="2"/>
        <v>0</v>
      </c>
      <c r="S40" s="20"/>
      <c r="T40" s="20"/>
      <c r="U40" s="20"/>
      <c r="V40" s="20"/>
    </row>
    <row r="41" spans="1:22" ht="14.4" x14ac:dyDescent="0.3">
      <c r="A41" s="8" t="s">
        <v>27</v>
      </c>
      <c r="B41" s="9" t="s">
        <v>28</v>
      </c>
      <c r="C41" s="76">
        <v>1</v>
      </c>
      <c r="D41" s="9" t="s">
        <v>283</v>
      </c>
      <c r="E41" s="9" t="s">
        <v>283</v>
      </c>
      <c r="F41" s="9" t="s">
        <v>29</v>
      </c>
      <c r="G41" s="9" t="s">
        <v>22</v>
      </c>
      <c r="H41" s="10">
        <v>45291</v>
      </c>
      <c r="I41" s="9" t="s">
        <v>23</v>
      </c>
      <c r="J41" s="9" t="s">
        <v>24</v>
      </c>
      <c r="K41" s="9" t="s">
        <v>25</v>
      </c>
      <c r="L41" s="9" t="s">
        <v>26</v>
      </c>
      <c r="M41" s="11"/>
      <c r="N41" s="12"/>
      <c r="O41" s="17"/>
      <c r="P41" s="18"/>
      <c r="Q41" s="19"/>
      <c r="R41" s="20">
        <f t="shared" si="2"/>
        <v>0</v>
      </c>
      <c r="S41" s="20"/>
      <c r="T41" s="20"/>
      <c r="U41" s="20"/>
      <c r="V41" s="20"/>
    </row>
    <row r="42" spans="1:22" ht="27" x14ac:dyDescent="0.3">
      <c r="A42" s="8" t="s">
        <v>64</v>
      </c>
      <c r="B42" s="9" t="s">
        <v>65</v>
      </c>
      <c r="C42" s="76">
        <v>1</v>
      </c>
      <c r="D42" s="9" t="s">
        <v>283</v>
      </c>
      <c r="E42" s="9" t="s">
        <v>283</v>
      </c>
      <c r="F42" s="9" t="s">
        <v>66</v>
      </c>
      <c r="G42" s="9" t="s">
        <v>22</v>
      </c>
      <c r="H42" s="10">
        <v>45016</v>
      </c>
      <c r="I42" s="9" t="s">
        <v>23</v>
      </c>
      <c r="J42" s="9" t="s">
        <v>24</v>
      </c>
      <c r="K42" s="9" t="s">
        <v>25</v>
      </c>
      <c r="L42" s="9" t="s">
        <v>26</v>
      </c>
      <c r="M42" s="11"/>
      <c r="N42" s="12"/>
      <c r="O42" s="17"/>
      <c r="P42" s="18"/>
      <c r="Q42" s="19"/>
      <c r="R42" s="20">
        <f t="shared" si="2"/>
        <v>0</v>
      </c>
      <c r="S42" s="20"/>
      <c r="T42" s="20"/>
      <c r="U42" s="20"/>
      <c r="V42" s="20"/>
    </row>
    <row r="43" spans="1:22" ht="27" x14ac:dyDescent="0.3">
      <c r="A43" s="8" t="s">
        <v>67</v>
      </c>
      <c r="B43" s="9" t="s">
        <v>68</v>
      </c>
      <c r="C43" s="76">
        <v>1</v>
      </c>
      <c r="D43" s="9" t="s">
        <v>283</v>
      </c>
      <c r="E43" s="9" t="s">
        <v>283</v>
      </c>
      <c r="F43" s="9" t="s">
        <v>69</v>
      </c>
      <c r="G43" s="9" t="s">
        <v>22</v>
      </c>
      <c r="H43" s="10">
        <v>45016</v>
      </c>
      <c r="I43" s="9" t="s">
        <v>23</v>
      </c>
      <c r="J43" s="9" t="s">
        <v>24</v>
      </c>
      <c r="K43" s="9" t="s">
        <v>25</v>
      </c>
      <c r="L43" s="9" t="s">
        <v>26</v>
      </c>
      <c r="M43" s="11"/>
      <c r="N43" s="12"/>
      <c r="O43" s="17"/>
      <c r="P43" s="18"/>
      <c r="Q43" s="19"/>
      <c r="R43" s="20">
        <f t="shared" si="2"/>
        <v>0</v>
      </c>
      <c r="S43" s="20"/>
      <c r="T43" s="20"/>
      <c r="U43" s="20"/>
      <c r="V43" s="20"/>
    </row>
    <row r="44" spans="1:22" ht="27" x14ac:dyDescent="0.3">
      <c r="A44" s="8" t="s">
        <v>79</v>
      </c>
      <c r="B44" s="9" t="s">
        <v>80</v>
      </c>
      <c r="C44" s="76">
        <v>1</v>
      </c>
      <c r="D44" s="9" t="s">
        <v>283</v>
      </c>
      <c r="E44" s="9" t="s">
        <v>283</v>
      </c>
      <c r="F44" s="9" t="s">
        <v>81</v>
      </c>
      <c r="G44" s="9" t="s">
        <v>22</v>
      </c>
      <c r="H44" s="10">
        <v>45016</v>
      </c>
      <c r="I44" s="9" t="s">
        <v>23</v>
      </c>
      <c r="J44" s="9" t="s">
        <v>24</v>
      </c>
      <c r="K44" s="9" t="s">
        <v>25</v>
      </c>
      <c r="L44" s="9" t="s">
        <v>25</v>
      </c>
      <c r="M44" s="11"/>
      <c r="N44" s="12"/>
      <c r="O44" s="29"/>
      <c r="P44" s="18"/>
      <c r="Q44" s="19"/>
      <c r="R44" s="20">
        <f t="shared" si="2"/>
        <v>0</v>
      </c>
      <c r="S44" s="20"/>
      <c r="T44" s="20"/>
      <c r="U44" s="20"/>
      <c r="V44" s="20"/>
    </row>
    <row r="45" spans="1:22" ht="14.4" x14ac:dyDescent="0.3">
      <c r="A45" s="8" t="s">
        <v>30</v>
      </c>
      <c r="B45" s="9" t="s">
        <v>31</v>
      </c>
      <c r="C45" s="76">
        <v>2</v>
      </c>
      <c r="D45" s="9" t="s">
        <v>283</v>
      </c>
      <c r="E45" s="9" t="s">
        <v>283</v>
      </c>
      <c r="F45" s="9" t="s">
        <v>32</v>
      </c>
      <c r="G45" s="9" t="s">
        <v>22</v>
      </c>
      <c r="H45" s="10">
        <v>45291</v>
      </c>
      <c r="I45" s="9" t="s">
        <v>23</v>
      </c>
      <c r="J45" s="9" t="s">
        <v>24</v>
      </c>
      <c r="K45" s="9" t="s">
        <v>25</v>
      </c>
      <c r="L45" s="9" t="s">
        <v>26</v>
      </c>
      <c r="M45" s="11"/>
      <c r="N45" s="12"/>
      <c r="O45" s="17"/>
      <c r="P45" s="18"/>
      <c r="Q45" s="19"/>
      <c r="R45" s="20">
        <f t="shared" si="2"/>
        <v>0</v>
      </c>
      <c r="S45" s="20"/>
      <c r="T45" s="20"/>
      <c r="U45" s="20"/>
      <c r="V45" s="20"/>
    </row>
    <row r="46" spans="1:22" ht="14.4" x14ac:dyDescent="0.3">
      <c r="A46" s="8" t="s">
        <v>54</v>
      </c>
      <c r="B46" s="9" t="s">
        <v>55</v>
      </c>
      <c r="C46" s="76">
        <v>2</v>
      </c>
      <c r="D46" s="9" t="s">
        <v>283</v>
      </c>
      <c r="E46" s="9" t="s">
        <v>283</v>
      </c>
      <c r="F46" s="9" t="s">
        <v>56</v>
      </c>
      <c r="G46" s="9" t="s">
        <v>22</v>
      </c>
      <c r="H46" s="10">
        <v>45107</v>
      </c>
      <c r="I46" s="9" t="s">
        <v>23</v>
      </c>
      <c r="J46" s="9" t="s">
        <v>24</v>
      </c>
      <c r="K46" s="9" t="s">
        <v>25</v>
      </c>
      <c r="L46" s="9" t="s">
        <v>26</v>
      </c>
      <c r="M46" s="11"/>
      <c r="N46" s="12"/>
      <c r="O46" s="17"/>
      <c r="P46" s="18"/>
      <c r="Q46" s="19"/>
      <c r="R46" s="20">
        <f t="shared" si="2"/>
        <v>0</v>
      </c>
      <c r="S46" s="20"/>
      <c r="T46" s="20"/>
      <c r="U46" s="20"/>
      <c r="V46" s="20"/>
    </row>
    <row r="47" spans="1:22" ht="14.4" x14ac:dyDescent="0.3">
      <c r="A47" s="8" t="s">
        <v>57</v>
      </c>
      <c r="B47" s="9" t="s">
        <v>58</v>
      </c>
      <c r="C47" s="76">
        <v>2</v>
      </c>
      <c r="D47" s="9" t="s">
        <v>283</v>
      </c>
      <c r="E47" s="9" t="s">
        <v>283</v>
      </c>
      <c r="F47" s="9" t="s">
        <v>56</v>
      </c>
      <c r="G47" s="9" t="s">
        <v>22</v>
      </c>
      <c r="H47" s="10">
        <v>45107</v>
      </c>
      <c r="I47" s="9" t="s">
        <v>23</v>
      </c>
      <c r="J47" s="9" t="s">
        <v>24</v>
      </c>
      <c r="K47" s="9" t="s">
        <v>25</v>
      </c>
      <c r="L47" s="9" t="s">
        <v>26</v>
      </c>
      <c r="M47" s="11"/>
      <c r="N47" s="12"/>
      <c r="O47" s="17"/>
      <c r="P47" s="18"/>
      <c r="Q47" s="19"/>
      <c r="R47" s="20"/>
      <c r="S47" s="20">
        <f t="shared" ref="S47:S78" si="3">+O47</f>
        <v>0</v>
      </c>
      <c r="T47" s="20"/>
      <c r="U47" s="20"/>
      <c r="V47" s="20"/>
    </row>
    <row r="48" spans="1:22" ht="14.4" x14ac:dyDescent="0.3">
      <c r="A48" s="21" t="s">
        <v>59</v>
      </c>
      <c r="B48" s="22" t="s">
        <v>60</v>
      </c>
      <c r="C48" s="77">
        <v>2</v>
      </c>
      <c r="D48" s="22" t="s">
        <v>283</v>
      </c>
      <c r="E48" s="22" t="s">
        <v>283</v>
      </c>
      <c r="F48" s="22" t="s">
        <v>56</v>
      </c>
      <c r="G48" s="22" t="s">
        <v>22</v>
      </c>
      <c r="H48" s="23">
        <v>45291</v>
      </c>
      <c r="I48" s="22" t="s">
        <v>23</v>
      </c>
      <c r="J48" s="22" t="s">
        <v>24</v>
      </c>
      <c r="K48" s="22" t="s">
        <v>25</v>
      </c>
      <c r="L48" s="22" t="s">
        <v>25</v>
      </c>
      <c r="M48" s="11"/>
      <c r="N48" s="12"/>
      <c r="O48" s="17"/>
      <c r="P48" s="18"/>
      <c r="Q48" s="19"/>
      <c r="R48" s="20"/>
      <c r="S48" s="20">
        <f t="shared" si="3"/>
        <v>0</v>
      </c>
      <c r="T48" s="20"/>
      <c r="U48" s="20"/>
      <c r="V48" s="20"/>
    </row>
    <row r="49" spans="1:22" ht="14.4" x14ac:dyDescent="0.3">
      <c r="A49" s="21" t="s">
        <v>61</v>
      </c>
      <c r="B49" s="22" t="s">
        <v>60</v>
      </c>
      <c r="C49" s="77">
        <v>2</v>
      </c>
      <c r="D49" s="22" t="s">
        <v>283</v>
      </c>
      <c r="E49" s="22" t="s">
        <v>283</v>
      </c>
      <c r="F49" s="22" t="str">
        <f>+F47</f>
        <v>Logements sociaux</v>
      </c>
      <c r="G49" s="22" t="s">
        <v>22</v>
      </c>
      <c r="H49" s="23">
        <v>45657</v>
      </c>
      <c r="I49" s="22" t="s">
        <v>23</v>
      </c>
      <c r="J49" s="22" t="s">
        <v>24</v>
      </c>
      <c r="K49" s="22" t="s">
        <v>25</v>
      </c>
      <c r="L49" s="22" t="s">
        <v>25</v>
      </c>
      <c r="M49" s="11"/>
      <c r="N49" s="12"/>
      <c r="O49" s="17"/>
      <c r="P49" s="18"/>
      <c r="Q49" s="19"/>
      <c r="R49" s="20"/>
      <c r="S49" s="20">
        <f t="shared" si="3"/>
        <v>0</v>
      </c>
      <c r="T49" s="20"/>
      <c r="U49" s="20"/>
      <c r="V49" s="20"/>
    </row>
    <row r="50" spans="1:22" ht="14.4" x14ac:dyDescent="0.3">
      <c r="A50" s="8" t="s">
        <v>33</v>
      </c>
      <c r="B50" s="9" t="s">
        <v>34</v>
      </c>
      <c r="C50" s="76">
        <v>3</v>
      </c>
      <c r="D50" s="9" t="s">
        <v>283</v>
      </c>
      <c r="E50" s="9" t="s">
        <v>283</v>
      </c>
      <c r="F50" s="9" t="s">
        <v>35</v>
      </c>
      <c r="G50" s="9" t="s">
        <v>22</v>
      </c>
      <c r="H50" s="10">
        <v>45230</v>
      </c>
      <c r="I50" s="9" t="s">
        <v>23</v>
      </c>
      <c r="J50" s="9" t="s">
        <v>24</v>
      </c>
      <c r="K50" s="9" t="s">
        <v>25</v>
      </c>
      <c r="L50" s="9" t="s">
        <v>26</v>
      </c>
      <c r="M50" s="11"/>
      <c r="N50" s="12"/>
      <c r="O50" s="17"/>
      <c r="P50" s="18"/>
      <c r="Q50" s="19"/>
      <c r="R50" s="20"/>
      <c r="S50" s="20">
        <f t="shared" si="3"/>
        <v>0</v>
      </c>
      <c r="T50" s="20"/>
      <c r="U50" s="20"/>
      <c r="V50" s="20"/>
    </row>
    <row r="51" spans="1:22" ht="14.4" x14ac:dyDescent="0.3">
      <c r="A51" s="8" t="s">
        <v>188</v>
      </c>
      <c r="B51" s="9" t="s">
        <v>189</v>
      </c>
      <c r="C51" s="76">
        <v>3</v>
      </c>
      <c r="D51" s="9" t="s">
        <v>292</v>
      </c>
      <c r="E51" s="9" t="s">
        <v>292</v>
      </c>
      <c r="F51" s="9" t="s">
        <v>190</v>
      </c>
      <c r="G51" s="9" t="s">
        <v>22</v>
      </c>
      <c r="H51" s="10">
        <v>45016</v>
      </c>
      <c r="I51" s="9" t="s">
        <v>23</v>
      </c>
      <c r="J51" s="9" t="s">
        <v>24</v>
      </c>
      <c r="K51" s="9" t="s">
        <v>25</v>
      </c>
      <c r="L51" s="9" t="s">
        <v>26</v>
      </c>
      <c r="M51" s="11"/>
      <c r="N51" s="12"/>
      <c r="O51" s="17"/>
      <c r="P51" s="18"/>
      <c r="Q51" s="19"/>
      <c r="R51" s="20"/>
      <c r="S51" s="20">
        <f t="shared" si="3"/>
        <v>0</v>
      </c>
      <c r="T51" s="20"/>
      <c r="U51" s="20"/>
      <c r="V51" s="20"/>
    </row>
    <row r="52" spans="1:22" ht="14.4" x14ac:dyDescent="0.3">
      <c r="A52" s="8" t="s">
        <v>39</v>
      </c>
      <c r="B52" s="9" t="s">
        <v>40</v>
      </c>
      <c r="C52" s="76">
        <v>4</v>
      </c>
      <c r="D52" s="9" t="s">
        <v>286</v>
      </c>
      <c r="E52" s="9" t="s">
        <v>285</v>
      </c>
      <c r="F52" s="9" t="s">
        <v>41</v>
      </c>
      <c r="G52" s="9" t="s">
        <v>42</v>
      </c>
      <c r="H52" s="10">
        <v>45016</v>
      </c>
      <c r="I52" s="9" t="s">
        <v>23</v>
      </c>
      <c r="J52" s="9" t="s">
        <v>24</v>
      </c>
      <c r="K52" s="9" t="s">
        <v>25</v>
      </c>
      <c r="L52" s="9" t="s">
        <v>26</v>
      </c>
      <c r="M52" s="11"/>
      <c r="N52" s="12"/>
      <c r="O52" s="29"/>
      <c r="P52" s="18"/>
      <c r="Q52" s="19"/>
      <c r="R52" s="20"/>
      <c r="S52" s="20">
        <f t="shared" si="3"/>
        <v>0</v>
      </c>
      <c r="T52" s="20"/>
      <c r="U52" s="20"/>
      <c r="V52" s="20"/>
    </row>
    <row r="53" spans="1:22" ht="14.4" x14ac:dyDescent="0.3">
      <c r="A53" s="21" t="s">
        <v>330</v>
      </c>
      <c r="B53" s="22" t="s">
        <v>278</v>
      </c>
      <c r="C53" s="77">
        <v>4</v>
      </c>
      <c r="D53" s="22" t="s">
        <v>288</v>
      </c>
      <c r="E53" s="22" t="s">
        <v>285</v>
      </c>
      <c r="F53" s="22" t="str">
        <f>+F52</f>
        <v>Garderie subventionnée</v>
      </c>
      <c r="G53" s="22" t="s">
        <v>22</v>
      </c>
      <c r="H53" s="23">
        <v>45016</v>
      </c>
      <c r="I53" s="22" t="s">
        <v>23</v>
      </c>
      <c r="J53" s="22" t="s">
        <v>24</v>
      </c>
      <c r="K53" s="22" t="s">
        <v>25</v>
      </c>
      <c r="L53" s="22" t="s">
        <v>25</v>
      </c>
      <c r="M53" s="11"/>
      <c r="N53" s="12"/>
      <c r="O53" s="29"/>
      <c r="P53" s="18"/>
      <c r="Q53" s="19"/>
      <c r="R53" s="20"/>
      <c r="S53" s="20">
        <f t="shared" si="3"/>
        <v>0</v>
      </c>
      <c r="T53" s="20"/>
      <c r="U53" s="20"/>
      <c r="V53" s="20"/>
    </row>
    <row r="54" spans="1:22" ht="14.4" x14ac:dyDescent="0.3">
      <c r="A54" s="8" t="s">
        <v>215</v>
      </c>
      <c r="B54" s="9" t="s">
        <v>313</v>
      </c>
      <c r="C54" s="76">
        <v>4</v>
      </c>
      <c r="D54" s="9" t="s">
        <v>286</v>
      </c>
      <c r="E54" s="9" t="s">
        <v>285</v>
      </c>
      <c r="F54" s="9" t="s">
        <v>216</v>
      </c>
      <c r="G54" s="9" t="s">
        <v>42</v>
      </c>
      <c r="H54" s="10">
        <v>45291</v>
      </c>
      <c r="I54" s="9" t="s">
        <v>23</v>
      </c>
      <c r="J54" s="9" t="s">
        <v>24</v>
      </c>
      <c r="K54" s="9" t="s">
        <v>25</v>
      </c>
      <c r="L54" s="9" t="s">
        <v>25</v>
      </c>
      <c r="M54" s="11"/>
      <c r="N54" s="12"/>
      <c r="O54" s="17"/>
      <c r="P54" s="18"/>
      <c r="Q54" s="19"/>
      <c r="R54" s="20"/>
      <c r="S54" s="20">
        <f t="shared" si="3"/>
        <v>0</v>
      </c>
      <c r="T54" s="20"/>
      <c r="U54" s="20"/>
      <c r="V54" s="20"/>
    </row>
    <row r="55" spans="1:22" ht="14.4" x14ac:dyDescent="0.3">
      <c r="A55" s="8" t="s">
        <v>217</v>
      </c>
      <c r="B55" s="9" t="s">
        <v>218</v>
      </c>
      <c r="C55" s="76">
        <v>4</v>
      </c>
      <c r="D55" s="9" t="s">
        <v>286</v>
      </c>
      <c r="E55" s="9" t="s">
        <v>285</v>
      </c>
      <c r="F55" s="9" t="s">
        <v>216</v>
      </c>
      <c r="G55" s="9" t="s">
        <v>42</v>
      </c>
      <c r="H55" s="10">
        <v>45291</v>
      </c>
      <c r="I55" s="9" t="s">
        <v>23</v>
      </c>
      <c r="J55" s="9" t="s">
        <v>24</v>
      </c>
      <c r="K55" s="9" t="s">
        <v>25</v>
      </c>
      <c r="L55" s="9" t="s">
        <v>25</v>
      </c>
      <c r="M55" s="11"/>
      <c r="N55" s="12"/>
      <c r="O55" s="17"/>
      <c r="P55" s="18"/>
      <c r="Q55" s="19"/>
      <c r="R55" s="20"/>
      <c r="S55" s="20">
        <f>+O55</f>
        <v>0</v>
      </c>
      <c r="T55" s="20"/>
      <c r="U55" s="20"/>
      <c r="V55" s="20"/>
    </row>
    <row r="56" spans="1:22" x14ac:dyDescent="0.25">
      <c r="A56" s="8" t="s">
        <v>219</v>
      </c>
      <c r="B56" s="9" t="s">
        <v>220</v>
      </c>
      <c r="C56" s="76">
        <v>4</v>
      </c>
      <c r="D56" s="9" t="s">
        <v>286</v>
      </c>
      <c r="E56" s="9" t="s">
        <v>285</v>
      </c>
      <c r="F56" s="9" t="s">
        <v>216</v>
      </c>
      <c r="G56" s="9" t="s">
        <v>42</v>
      </c>
      <c r="H56" s="10">
        <v>45291</v>
      </c>
      <c r="I56" s="9" t="s">
        <v>23</v>
      </c>
      <c r="J56" s="9" t="s">
        <v>24</v>
      </c>
      <c r="K56" s="9" t="s">
        <v>25</v>
      </c>
      <c r="L56" s="9" t="s">
        <v>25</v>
      </c>
      <c r="M56" s="11"/>
      <c r="N56" s="12"/>
      <c r="O56" s="17"/>
      <c r="P56" s="18"/>
      <c r="Q56" s="19"/>
      <c r="R56" s="19"/>
      <c r="S56" s="19">
        <f t="shared" si="3"/>
        <v>0</v>
      </c>
      <c r="T56" s="19"/>
      <c r="U56" s="19"/>
      <c r="V56" s="19"/>
    </row>
    <row r="57" spans="1:22" ht="14.4" x14ac:dyDescent="0.3">
      <c r="A57" s="8" t="s">
        <v>221</v>
      </c>
      <c r="B57" s="9" t="s">
        <v>316</v>
      </c>
      <c r="C57" s="76">
        <v>4</v>
      </c>
      <c r="D57" s="9" t="s">
        <v>286</v>
      </c>
      <c r="E57" s="9" t="s">
        <v>285</v>
      </c>
      <c r="F57" s="9" t="str">
        <f>+F24</f>
        <v>Production d'artistes et de spectacles</v>
      </c>
      <c r="G57" s="9" t="s">
        <v>42</v>
      </c>
      <c r="H57" s="10">
        <v>44773</v>
      </c>
      <c r="I57" s="9" t="s">
        <v>23</v>
      </c>
      <c r="J57" s="9" t="s">
        <v>24</v>
      </c>
      <c r="K57" s="9" t="s">
        <v>25</v>
      </c>
      <c r="L57" s="9" t="s">
        <v>25</v>
      </c>
      <c r="M57" s="11"/>
      <c r="N57" s="12"/>
      <c r="O57" s="17"/>
      <c r="P57" s="18"/>
      <c r="Q57" s="19"/>
      <c r="R57" s="20"/>
      <c r="S57" s="20">
        <f>+O57</f>
        <v>0</v>
      </c>
      <c r="T57" s="20"/>
      <c r="U57" s="20"/>
      <c r="V57" s="20"/>
    </row>
    <row r="58" spans="1:22" ht="14.4" x14ac:dyDescent="0.3">
      <c r="A58" s="8" t="s">
        <v>49</v>
      </c>
      <c r="B58" s="9" t="s">
        <v>50</v>
      </c>
      <c r="C58" s="76">
        <v>5</v>
      </c>
      <c r="D58" s="9" t="s">
        <v>287</v>
      </c>
      <c r="E58" s="9" t="s">
        <v>289</v>
      </c>
      <c r="F58" s="9" t="s">
        <v>41</v>
      </c>
      <c r="G58" s="9" t="s">
        <v>22</v>
      </c>
      <c r="H58" s="10">
        <v>45016</v>
      </c>
      <c r="I58" s="9" t="s">
        <v>23</v>
      </c>
      <c r="J58" s="9" t="s">
        <v>24</v>
      </c>
      <c r="K58" s="9" t="s">
        <v>25</v>
      </c>
      <c r="L58" s="9" t="s">
        <v>26</v>
      </c>
      <c r="M58" s="11"/>
      <c r="N58" s="12"/>
      <c r="O58" s="17"/>
      <c r="P58" s="18"/>
      <c r="Q58" s="19"/>
      <c r="R58" s="20"/>
      <c r="S58" s="20">
        <f>+O58</f>
        <v>0</v>
      </c>
      <c r="T58" s="20"/>
      <c r="U58" s="20"/>
      <c r="V58" s="20"/>
    </row>
    <row r="59" spans="1:22" x14ac:dyDescent="0.25">
      <c r="A59" s="8" t="s">
        <v>51</v>
      </c>
      <c r="B59" s="9" t="s">
        <v>52</v>
      </c>
      <c r="C59" s="76">
        <v>5</v>
      </c>
      <c r="D59" s="9" t="s">
        <v>287</v>
      </c>
      <c r="E59" s="9" t="s">
        <v>289</v>
      </c>
      <c r="F59" s="9" t="s">
        <v>53</v>
      </c>
      <c r="G59" s="9" t="s">
        <v>22</v>
      </c>
      <c r="H59" s="10">
        <v>45016</v>
      </c>
      <c r="I59" s="9" t="s">
        <v>23</v>
      </c>
      <c r="J59" s="9" t="s">
        <v>24</v>
      </c>
      <c r="K59" s="9" t="s">
        <v>25</v>
      </c>
      <c r="L59" s="9" t="s">
        <v>26</v>
      </c>
      <c r="M59" s="11"/>
      <c r="N59" s="12"/>
      <c r="O59" s="17"/>
      <c r="P59" s="18"/>
      <c r="Q59" s="19"/>
      <c r="R59" s="19"/>
      <c r="S59" s="19">
        <f t="shared" si="3"/>
        <v>0</v>
      </c>
      <c r="T59" s="19"/>
      <c r="U59" s="19"/>
      <c r="V59" s="19"/>
    </row>
    <row r="60" spans="1:22" ht="14.4" x14ac:dyDescent="0.3">
      <c r="A60" s="8" t="s">
        <v>241</v>
      </c>
      <c r="B60" s="9" t="s">
        <v>242</v>
      </c>
      <c r="C60" s="76">
        <v>5</v>
      </c>
      <c r="D60" s="9" t="s">
        <v>287</v>
      </c>
      <c r="E60" s="9" t="s">
        <v>310</v>
      </c>
      <c r="F60" s="9" t="s">
        <v>243</v>
      </c>
      <c r="G60" s="9" t="s">
        <v>22</v>
      </c>
      <c r="H60" s="10">
        <v>45016</v>
      </c>
      <c r="I60" s="9" t="s">
        <v>23</v>
      </c>
      <c r="J60" s="9" t="s">
        <v>24</v>
      </c>
      <c r="K60" s="9" t="s">
        <v>25</v>
      </c>
      <c r="L60" s="9" t="s">
        <v>26</v>
      </c>
      <c r="M60" s="11"/>
      <c r="N60" s="12"/>
      <c r="O60" s="17"/>
      <c r="P60" s="18"/>
      <c r="Q60" s="19"/>
      <c r="R60" s="20"/>
      <c r="S60" s="20">
        <f t="shared" si="3"/>
        <v>0</v>
      </c>
      <c r="T60" s="20"/>
      <c r="U60" s="20"/>
      <c r="V60" s="20"/>
    </row>
    <row r="61" spans="1:22" ht="27" x14ac:dyDescent="0.3">
      <c r="A61" s="8" t="s">
        <v>73</v>
      </c>
      <c r="B61" s="9" t="s">
        <v>74</v>
      </c>
      <c r="C61" s="76">
        <v>6</v>
      </c>
      <c r="D61" s="9" t="s">
        <v>290</v>
      </c>
      <c r="E61" s="9" t="s">
        <v>282</v>
      </c>
      <c r="F61" s="9" t="s">
        <v>75</v>
      </c>
      <c r="G61" s="9" t="s">
        <v>22</v>
      </c>
      <c r="H61" s="10">
        <v>45169</v>
      </c>
      <c r="I61" s="9" t="s">
        <v>23</v>
      </c>
      <c r="J61" s="9" t="s">
        <v>24</v>
      </c>
      <c r="K61" s="9" t="s">
        <v>25</v>
      </c>
      <c r="L61" s="9" t="s">
        <v>26</v>
      </c>
      <c r="M61" s="11"/>
      <c r="N61" s="12"/>
      <c r="O61" s="17"/>
      <c r="P61" s="18"/>
      <c r="Q61" s="19"/>
      <c r="R61" s="20"/>
      <c r="S61" s="20">
        <f t="shared" si="3"/>
        <v>0</v>
      </c>
      <c r="T61" s="20"/>
      <c r="U61" s="20"/>
      <c r="V61" s="20"/>
    </row>
    <row r="62" spans="1:22" ht="27" x14ac:dyDescent="0.3">
      <c r="A62" s="8" t="s">
        <v>76</v>
      </c>
      <c r="B62" s="9" t="s">
        <v>77</v>
      </c>
      <c r="C62" s="76">
        <v>6</v>
      </c>
      <c r="D62" s="9" t="s">
        <v>290</v>
      </c>
      <c r="E62" s="9" t="s">
        <v>282</v>
      </c>
      <c r="F62" s="9" t="s">
        <v>78</v>
      </c>
      <c r="G62" s="9" t="s">
        <v>22</v>
      </c>
      <c r="H62" s="10">
        <v>45016</v>
      </c>
      <c r="I62" s="9" t="s">
        <v>23</v>
      </c>
      <c r="J62" s="9" t="s">
        <v>24</v>
      </c>
      <c r="K62" s="9" t="s">
        <v>25</v>
      </c>
      <c r="L62" s="9" t="s">
        <v>25</v>
      </c>
      <c r="M62" s="11"/>
      <c r="N62" s="12"/>
      <c r="O62" s="17"/>
      <c r="P62" s="18"/>
      <c r="Q62" s="19"/>
      <c r="R62" s="20"/>
      <c r="S62" s="20">
        <f t="shared" si="3"/>
        <v>0</v>
      </c>
      <c r="T62" s="20"/>
      <c r="U62" s="20"/>
      <c r="V62" s="20"/>
    </row>
    <row r="63" spans="1:22" ht="27" x14ac:dyDescent="0.3">
      <c r="A63" s="8" t="s">
        <v>92</v>
      </c>
      <c r="B63" s="9" t="s">
        <v>93</v>
      </c>
      <c r="C63" s="76">
        <v>7</v>
      </c>
      <c r="D63" s="9" t="s">
        <v>291</v>
      </c>
      <c r="E63" s="9" t="s">
        <v>292</v>
      </c>
      <c r="F63" s="9" t="s">
        <v>94</v>
      </c>
      <c r="G63" s="9" t="s">
        <v>22</v>
      </c>
      <c r="H63" s="10">
        <v>45291</v>
      </c>
      <c r="I63" s="9" t="s">
        <v>23</v>
      </c>
      <c r="J63" s="9" t="s">
        <v>24</v>
      </c>
      <c r="K63" s="9" t="s">
        <v>25</v>
      </c>
      <c r="L63" s="9" t="s">
        <v>26</v>
      </c>
      <c r="M63" s="11"/>
      <c r="N63" s="12"/>
      <c r="O63" s="17"/>
      <c r="P63" s="18"/>
      <c r="Q63" s="19"/>
      <c r="R63" s="20"/>
      <c r="S63" s="20">
        <f t="shared" si="3"/>
        <v>0</v>
      </c>
      <c r="T63" s="20"/>
      <c r="U63" s="20"/>
      <c r="V63" s="20"/>
    </row>
    <row r="64" spans="1:22" ht="27" x14ac:dyDescent="0.3">
      <c r="A64" s="8" t="s">
        <v>103</v>
      </c>
      <c r="B64" s="9" t="s">
        <v>104</v>
      </c>
      <c r="C64" s="76">
        <v>7</v>
      </c>
      <c r="D64" s="9" t="s">
        <v>291</v>
      </c>
      <c r="E64" s="9" t="s">
        <v>292</v>
      </c>
      <c r="F64" s="9" t="s">
        <v>105</v>
      </c>
      <c r="G64" s="9" t="s">
        <v>42</v>
      </c>
      <c r="H64" s="10">
        <v>45016</v>
      </c>
      <c r="I64" s="9" t="s">
        <v>23</v>
      </c>
      <c r="J64" s="9" t="s">
        <v>24</v>
      </c>
      <c r="K64" s="9" t="s">
        <v>25</v>
      </c>
      <c r="L64" s="9" t="s">
        <v>26</v>
      </c>
      <c r="M64" s="11"/>
      <c r="N64" s="12"/>
      <c r="O64" s="17"/>
      <c r="P64" s="18"/>
      <c r="Q64" s="19"/>
      <c r="R64" s="20"/>
      <c r="S64" s="20">
        <f>+O64</f>
        <v>0</v>
      </c>
      <c r="T64" s="20"/>
      <c r="U64" s="20"/>
      <c r="V64" s="20"/>
    </row>
    <row r="65" spans="1:22" ht="27" x14ac:dyDescent="0.3">
      <c r="A65" s="8" t="s">
        <v>140</v>
      </c>
      <c r="B65" s="9" t="s">
        <v>331</v>
      </c>
      <c r="C65" s="76">
        <v>7</v>
      </c>
      <c r="D65" s="9" t="s">
        <v>291</v>
      </c>
      <c r="E65" s="9" t="s">
        <v>292</v>
      </c>
      <c r="F65" s="9" t="s">
        <v>139</v>
      </c>
      <c r="G65" s="9" t="s">
        <v>42</v>
      </c>
      <c r="H65" s="10">
        <v>44926</v>
      </c>
      <c r="I65" s="9" t="s">
        <v>23</v>
      </c>
      <c r="J65" s="9" t="s">
        <v>24</v>
      </c>
      <c r="K65" s="9" t="s">
        <v>25</v>
      </c>
      <c r="L65" s="9" t="s">
        <v>26</v>
      </c>
      <c r="M65" s="11"/>
      <c r="N65" s="12"/>
      <c r="O65" s="17"/>
      <c r="P65" s="18"/>
      <c r="Q65" s="19"/>
      <c r="R65" s="20"/>
      <c r="S65" s="20">
        <f t="shared" si="3"/>
        <v>0</v>
      </c>
      <c r="T65" s="20"/>
      <c r="U65" s="20"/>
      <c r="V65" s="20"/>
    </row>
    <row r="66" spans="1:22" ht="24.75" customHeight="1" x14ac:dyDescent="0.3">
      <c r="A66" s="8" t="s">
        <v>328</v>
      </c>
      <c r="B66" s="9" t="s">
        <v>141</v>
      </c>
      <c r="C66" s="76">
        <v>7</v>
      </c>
      <c r="D66" s="9" t="s">
        <v>291</v>
      </c>
      <c r="E66" s="9" t="s">
        <v>292</v>
      </c>
      <c r="F66" s="9" t="s">
        <v>139</v>
      </c>
      <c r="G66" s="9" t="s">
        <v>42</v>
      </c>
      <c r="H66" s="10">
        <v>44926</v>
      </c>
      <c r="I66" s="9" t="s">
        <v>23</v>
      </c>
      <c r="J66" s="9" t="s">
        <v>24</v>
      </c>
      <c r="K66" s="9" t="s">
        <v>25</v>
      </c>
      <c r="L66" s="9" t="s">
        <v>26</v>
      </c>
      <c r="O66" s="40"/>
      <c r="P66" s="18"/>
      <c r="Q66" s="41"/>
      <c r="R66" s="42"/>
      <c r="S66" s="42">
        <f t="shared" si="3"/>
        <v>0</v>
      </c>
      <c r="T66" s="42"/>
      <c r="U66" s="42"/>
      <c r="V66" s="42"/>
    </row>
    <row r="67" spans="1:22" ht="14.4" x14ac:dyDescent="0.3">
      <c r="A67" s="8" t="s">
        <v>121</v>
      </c>
      <c r="B67" s="9" t="s">
        <v>122</v>
      </c>
      <c r="C67" s="76">
        <v>8</v>
      </c>
      <c r="D67" s="9" t="s">
        <v>287</v>
      </c>
      <c r="E67" s="9" t="s">
        <v>293</v>
      </c>
      <c r="F67" s="9" t="s">
        <v>123</v>
      </c>
      <c r="G67" s="9" t="s">
        <v>22</v>
      </c>
      <c r="H67" s="10">
        <v>44985</v>
      </c>
      <c r="I67" s="9" t="s">
        <v>23</v>
      </c>
      <c r="J67" s="9" t="s">
        <v>24</v>
      </c>
      <c r="K67" s="9" t="s">
        <v>25</v>
      </c>
      <c r="L67" s="9" t="s">
        <v>26</v>
      </c>
      <c r="O67" s="40"/>
      <c r="P67" s="18"/>
      <c r="Q67" s="41"/>
      <c r="R67" s="42"/>
      <c r="S67" s="42">
        <f t="shared" si="3"/>
        <v>0</v>
      </c>
      <c r="T67" s="42"/>
      <c r="U67" s="42"/>
      <c r="V67" s="42"/>
    </row>
    <row r="68" spans="1:22" ht="14.4" x14ac:dyDescent="0.3">
      <c r="A68" s="8" t="s">
        <v>210</v>
      </c>
      <c r="B68" s="9" t="s">
        <v>210</v>
      </c>
      <c r="C68" s="76">
        <v>8</v>
      </c>
      <c r="D68" s="9" t="s">
        <v>287</v>
      </c>
      <c r="E68" s="9" t="s">
        <v>310</v>
      </c>
      <c r="F68" s="9" t="s">
        <v>211</v>
      </c>
      <c r="G68" s="9" t="s">
        <v>22</v>
      </c>
      <c r="H68" s="10">
        <v>45169</v>
      </c>
      <c r="I68" s="9" t="s">
        <v>23</v>
      </c>
      <c r="J68" s="9" t="s">
        <v>24</v>
      </c>
      <c r="K68" s="9" t="s">
        <v>25</v>
      </c>
      <c r="L68" s="9" t="s">
        <v>26</v>
      </c>
      <c r="M68" s="11"/>
      <c r="N68" s="12"/>
      <c r="O68" s="17"/>
      <c r="P68" s="18"/>
      <c r="Q68" s="19"/>
      <c r="R68" s="20"/>
      <c r="S68" s="20">
        <f t="shared" si="3"/>
        <v>0</v>
      </c>
      <c r="T68" s="20"/>
      <c r="U68" s="20"/>
      <c r="V68" s="20"/>
    </row>
    <row r="69" spans="1:22" ht="14.4" x14ac:dyDescent="0.3">
      <c r="A69" s="8" t="s">
        <v>244</v>
      </c>
      <c r="B69" s="9" t="s">
        <v>245</v>
      </c>
      <c r="C69" s="76">
        <v>8</v>
      </c>
      <c r="D69" s="9" t="s">
        <v>287</v>
      </c>
      <c r="E69" s="9" t="s">
        <v>289</v>
      </c>
      <c r="F69" s="9" t="s">
        <v>324</v>
      </c>
      <c r="G69" s="9" t="s">
        <v>246</v>
      </c>
      <c r="H69" s="10">
        <v>44926</v>
      </c>
      <c r="I69" s="9" t="s">
        <v>246</v>
      </c>
      <c r="J69" s="9" t="s">
        <v>24</v>
      </c>
      <c r="K69" s="9" t="s">
        <v>25</v>
      </c>
      <c r="L69" s="9" t="s">
        <v>26</v>
      </c>
      <c r="M69" s="11"/>
      <c r="N69" s="12"/>
      <c r="O69" s="17"/>
      <c r="P69" s="18"/>
      <c r="Q69" s="19"/>
      <c r="R69" s="20"/>
      <c r="S69" s="20">
        <f t="shared" si="3"/>
        <v>0</v>
      </c>
      <c r="T69" s="20"/>
      <c r="U69" s="20"/>
      <c r="V69" s="20"/>
    </row>
    <row r="70" spans="1:22" ht="14.4" x14ac:dyDescent="0.3">
      <c r="A70" s="8" t="s">
        <v>131</v>
      </c>
      <c r="B70" s="9" t="s">
        <v>132</v>
      </c>
      <c r="C70" s="76">
        <v>9</v>
      </c>
      <c r="D70" s="9" t="s">
        <v>300</v>
      </c>
      <c r="E70" s="9" t="s">
        <v>301</v>
      </c>
      <c r="F70" s="9" t="s">
        <v>133</v>
      </c>
      <c r="G70" s="9" t="s">
        <v>42</v>
      </c>
      <c r="H70" s="10">
        <v>45077</v>
      </c>
      <c r="I70" s="9" t="s">
        <v>23</v>
      </c>
      <c r="J70" s="9" t="s">
        <v>24</v>
      </c>
      <c r="K70" s="9" t="s">
        <v>25</v>
      </c>
      <c r="L70" s="9" t="s">
        <v>26</v>
      </c>
      <c r="M70" s="11"/>
      <c r="N70" s="12"/>
      <c r="O70" s="17"/>
      <c r="P70" s="18"/>
      <c r="Q70" s="19"/>
      <c r="R70" s="20"/>
      <c r="S70" s="20">
        <f t="shared" si="3"/>
        <v>0</v>
      </c>
      <c r="T70" s="20"/>
      <c r="U70" s="20"/>
      <c r="V70" s="20"/>
    </row>
    <row r="71" spans="1:22" ht="14.4" x14ac:dyDescent="0.3">
      <c r="A71" s="8" t="s">
        <v>172</v>
      </c>
      <c r="B71" s="9" t="s">
        <v>314</v>
      </c>
      <c r="C71" s="76">
        <v>9</v>
      </c>
      <c r="D71" s="9" t="s">
        <v>300</v>
      </c>
      <c r="E71" s="9" t="s">
        <v>301</v>
      </c>
      <c r="F71" s="9" t="s">
        <v>173</v>
      </c>
      <c r="G71" s="9" t="s">
        <v>42</v>
      </c>
      <c r="H71" s="10">
        <v>44895</v>
      </c>
      <c r="I71" s="9" t="s">
        <v>23</v>
      </c>
      <c r="J71" s="9" t="s">
        <v>24</v>
      </c>
      <c r="K71" s="9" t="s">
        <v>25</v>
      </c>
      <c r="L71" s="9" t="s">
        <v>26</v>
      </c>
      <c r="M71" s="11"/>
      <c r="N71" s="12"/>
      <c r="O71" s="17"/>
      <c r="P71" s="18"/>
      <c r="Q71" s="19"/>
      <c r="R71" s="20"/>
      <c r="S71" s="20">
        <f t="shared" si="3"/>
        <v>0</v>
      </c>
      <c r="T71" s="20"/>
      <c r="U71" s="20"/>
      <c r="V71" s="20"/>
    </row>
    <row r="72" spans="1:22" ht="14.4" x14ac:dyDescent="0.3">
      <c r="A72" s="8" t="s">
        <v>225</v>
      </c>
      <c r="B72" s="9" t="s">
        <v>226</v>
      </c>
      <c r="C72" s="76">
        <v>9</v>
      </c>
      <c r="D72" s="9" t="s">
        <v>300</v>
      </c>
      <c r="E72" s="9" t="s">
        <v>301</v>
      </c>
      <c r="F72" s="9" t="s">
        <v>227</v>
      </c>
      <c r="G72" s="9" t="s">
        <v>42</v>
      </c>
      <c r="H72" s="10">
        <v>45107</v>
      </c>
      <c r="I72" s="9" t="s">
        <v>23</v>
      </c>
      <c r="J72" s="9" t="s">
        <v>24</v>
      </c>
      <c r="K72" s="9" t="s">
        <v>25</v>
      </c>
      <c r="L72" s="9" t="s">
        <v>25</v>
      </c>
      <c r="M72" s="11"/>
      <c r="N72" s="12"/>
      <c r="O72" s="17"/>
      <c r="P72" s="18"/>
      <c r="Q72" s="19"/>
      <c r="R72" s="20"/>
      <c r="S72" s="20">
        <f t="shared" si="3"/>
        <v>0</v>
      </c>
      <c r="T72" s="20"/>
      <c r="U72" s="20"/>
      <c r="V72" s="20"/>
    </row>
    <row r="73" spans="1:22" ht="14.4" x14ac:dyDescent="0.3">
      <c r="A73" s="8" t="s">
        <v>228</v>
      </c>
      <c r="B73" s="9" t="s">
        <v>229</v>
      </c>
      <c r="C73" s="76">
        <v>9</v>
      </c>
      <c r="D73" s="9" t="s">
        <v>300</v>
      </c>
      <c r="E73" s="9" t="s">
        <v>301</v>
      </c>
      <c r="F73" s="9" t="s">
        <v>230</v>
      </c>
      <c r="G73" s="9" t="s">
        <v>42</v>
      </c>
      <c r="H73" s="10">
        <v>45077</v>
      </c>
      <c r="I73" s="9" t="s">
        <v>23</v>
      </c>
      <c r="J73" s="9" t="s">
        <v>24</v>
      </c>
      <c r="K73" s="9" t="s">
        <v>25</v>
      </c>
      <c r="L73" s="9" t="s">
        <v>25</v>
      </c>
      <c r="M73" s="11"/>
      <c r="N73" s="12"/>
      <c r="O73" s="17"/>
      <c r="P73" s="18"/>
      <c r="Q73" s="19"/>
      <c r="R73" s="20"/>
      <c r="S73" s="20">
        <f t="shared" si="3"/>
        <v>0</v>
      </c>
      <c r="T73" s="20"/>
      <c r="U73" s="20"/>
      <c r="V73" s="20"/>
    </row>
    <row r="74" spans="1:22" ht="14.4" x14ac:dyDescent="0.3">
      <c r="A74" s="8" t="s">
        <v>231</v>
      </c>
      <c r="B74" s="9" t="s">
        <v>232</v>
      </c>
      <c r="C74" s="76">
        <v>9</v>
      </c>
      <c r="D74" s="9" t="s">
        <v>300</v>
      </c>
      <c r="E74" s="9" t="s">
        <v>301</v>
      </c>
      <c r="F74" s="9" t="s">
        <v>200</v>
      </c>
      <c r="G74" s="9" t="s">
        <v>42</v>
      </c>
      <c r="H74" s="10">
        <v>44926</v>
      </c>
      <c r="I74" s="9" t="s">
        <v>23</v>
      </c>
      <c r="J74" s="9" t="s">
        <v>24</v>
      </c>
      <c r="K74" s="9" t="s">
        <v>25</v>
      </c>
      <c r="L74" s="9" t="s">
        <v>25</v>
      </c>
      <c r="M74" s="11"/>
      <c r="N74" s="12"/>
      <c r="O74" s="17"/>
      <c r="P74" s="18"/>
      <c r="Q74" s="19"/>
      <c r="R74" s="20"/>
      <c r="S74" s="20">
        <f t="shared" si="3"/>
        <v>0</v>
      </c>
      <c r="T74" s="20"/>
      <c r="U74" s="20"/>
      <c r="V74" s="20"/>
    </row>
    <row r="75" spans="1:22" ht="14.4" x14ac:dyDescent="0.3">
      <c r="A75" s="8" t="s">
        <v>236</v>
      </c>
      <c r="B75" s="9" t="s">
        <v>322</v>
      </c>
      <c r="C75" s="76">
        <v>9</v>
      </c>
      <c r="D75" s="9" t="s">
        <v>300</v>
      </c>
      <c r="E75" s="9" t="s">
        <v>301</v>
      </c>
      <c r="F75" s="9" t="s">
        <v>237</v>
      </c>
      <c r="G75" s="9" t="s">
        <v>42</v>
      </c>
      <c r="H75" s="10">
        <v>44926</v>
      </c>
      <c r="I75" s="9" t="s">
        <v>23</v>
      </c>
      <c r="J75" s="9" t="s">
        <v>24</v>
      </c>
      <c r="K75" s="9" t="s">
        <v>25</v>
      </c>
      <c r="L75" s="9" t="s">
        <v>25</v>
      </c>
      <c r="M75" s="11"/>
      <c r="N75" s="12"/>
      <c r="O75" s="17"/>
      <c r="P75" s="18"/>
      <c r="Q75" s="19"/>
      <c r="R75" s="20"/>
      <c r="S75" s="20">
        <f t="shared" si="3"/>
        <v>0</v>
      </c>
      <c r="T75" s="20"/>
      <c r="U75" s="20"/>
      <c r="V75" s="20"/>
    </row>
    <row r="76" spans="1:22" ht="14.4" x14ac:dyDescent="0.3">
      <c r="A76" s="8" t="s">
        <v>275</v>
      </c>
      <c r="B76" s="9" t="s">
        <v>132</v>
      </c>
      <c r="C76" s="76">
        <v>9</v>
      </c>
      <c r="D76" s="9" t="s">
        <v>300</v>
      </c>
      <c r="E76" s="9" t="s">
        <v>301</v>
      </c>
      <c r="F76" s="9" t="s">
        <v>324</v>
      </c>
      <c r="G76" s="9" t="s">
        <v>246</v>
      </c>
      <c r="H76" s="10">
        <v>44926</v>
      </c>
      <c r="I76" s="9" t="s">
        <v>23</v>
      </c>
      <c r="J76" s="9" t="s">
        <v>24</v>
      </c>
      <c r="K76" s="9" t="s">
        <v>25</v>
      </c>
      <c r="L76" s="9" t="s">
        <v>26</v>
      </c>
      <c r="M76" s="11"/>
      <c r="N76" s="12"/>
      <c r="O76" s="17"/>
      <c r="P76" s="18"/>
      <c r="Q76" s="19"/>
      <c r="R76" s="20"/>
      <c r="S76" s="20">
        <f t="shared" si="3"/>
        <v>0</v>
      </c>
      <c r="T76" s="20"/>
      <c r="U76" s="20"/>
      <c r="V76" s="20"/>
    </row>
    <row r="77" spans="1:22" ht="14.4" x14ac:dyDescent="0.3">
      <c r="A77" s="8" t="s">
        <v>233</v>
      </c>
      <c r="B77" s="9" t="s">
        <v>234</v>
      </c>
      <c r="C77" s="76">
        <v>9</v>
      </c>
      <c r="D77" s="9" t="s">
        <v>300</v>
      </c>
      <c r="E77" s="9" t="s">
        <v>301</v>
      </c>
      <c r="F77" s="9" t="s">
        <v>235</v>
      </c>
      <c r="G77" s="9" t="s">
        <v>42</v>
      </c>
      <c r="H77" s="10">
        <v>44926</v>
      </c>
      <c r="I77" s="9" t="s">
        <v>23</v>
      </c>
      <c r="J77" s="9" t="s">
        <v>24</v>
      </c>
      <c r="K77" s="9" t="s">
        <v>25</v>
      </c>
      <c r="L77" s="9" t="s">
        <v>25</v>
      </c>
      <c r="M77" s="11"/>
      <c r="N77" s="12"/>
      <c r="O77" s="17"/>
      <c r="P77" s="18"/>
      <c r="Q77" s="19"/>
      <c r="R77" s="20"/>
      <c r="S77" s="20">
        <f t="shared" si="3"/>
        <v>0</v>
      </c>
      <c r="T77" s="20"/>
      <c r="U77" s="20"/>
      <c r="V77" s="20"/>
    </row>
    <row r="78" spans="1:22" ht="27" x14ac:dyDescent="0.3">
      <c r="A78" s="8" t="s">
        <v>167</v>
      </c>
      <c r="B78" s="9" t="s">
        <v>168</v>
      </c>
      <c r="C78" s="76">
        <v>10</v>
      </c>
      <c r="D78" s="9" t="s">
        <v>307</v>
      </c>
      <c r="E78" s="9" t="s">
        <v>285</v>
      </c>
      <c r="F78" s="9" t="s">
        <v>169</v>
      </c>
      <c r="G78" s="9" t="s">
        <v>42</v>
      </c>
      <c r="H78" s="10">
        <v>45046</v>
      </c>
      <c r="I78" s="9" t="s">
        <v>23</v>
      </c>
      <c r="J78" s="9" t="s">
        <v>24</v>
      </c>
      <c r="K78" s="9" t="s">
        <v>25</v>
      </c>
      <c r="L78" s="9" t="s">
        <v>26</v>
      </c>
      <c r="M78" s="11"/>
      <c r="N78" s="12"/>
      <c r="O78" s="17"/>
      <c r="P78" s="18"/>
      <c r="Q78" s="19"/>
      <c r="R78" s="20"/>
      <c r="S78" s="20">
        <f t="shared" si="3"/>
        <v>0</v>
      </c>
      <c r="T78" s="20"/>
      <c r="U78" s="20"/>
      <c r="V78" s="20"/>
    </row>
    <row r="79" spans="1:22" ht="14.4" x14ac:dyDescent="0.3">
      <c r="A79" s="8" t="s">
        <v>170</v>
      </c>
      <c r="B79" s="9" t="s">
        <v>171</v>
      </c>
      <c r="C79" s="76">
        <v>10</v>
      </c>
      <c r="D79" s="9" t="s">
        <v>307</v>
      </c>
      <c r="E79" s="9" t="s">
        <v>285</v>
      </c>
      <c r="F79" s="9" t="s">
        <v>139</v>
      </c>
      <c r="G79" s="9" t="s">
        <v>42</v>
      </c>
      <c r="H79" s="10">
        <v>45016</v>
      </c>
      <c r="I79" s="9" t="s">
        <v>23</v>
      </c>
      <c r="J79" s="9" t="s">
        <v>24</v>
      </c>
      <c r="K79" s="9" t="s">
        <v>25</v>
      </c>
      <c r="L79" s="9" t="s">
        <v>26</v>
      </c>
      <c r="M79" s="11"/>
      <c r="N79" s="12"/>
      <c r="O79" s="29"/>
      <c r="P79" s="18"/>
      <c r="Q79" s="19"/>
      <c r="R79" s="20"/>
      <c r="S79" s="20">
        <f>+O79</f>
        <v>0</v>
      </c>
      <c r="T79" s="20"/>
      <c r="U79" s="20"/>
      <c r="V79" s="20"/>
    </row>
    <row r="80" spans="1:22" ht="14.4" x14ac:dyDescent="0.3">
      <c r="A80" s="8" t="s">
        <v>250</v>
      </c>
      <c r="B80" s="9" t="s">
        <v>168</v>
      </c>
      <c r="C80" s="76">
        <v>10</v>
      </c>
      <c r="D80" s="9" t="s">
        <v>307</v>
      </c>
      <c r="E80" s="9" t="s">
        <v>285</v>
      </c>
      <c r="F80" s="9" t="str">
        <f>+F79</f>
        <v>Production d'artistes et de spectacles</v>
      </c>
      <c r="G80" s="9" t="s">
        <v>246</v>
      </c>
      <c r="H80" s="10">
        <v>44926</v>
      </c>
      <c r="I80" s="9" t="s">
        <v>246</v>
      </c>
      <c r="J80" s="9" t="s">
        <v>24</v>
      </c>
      <c r="K80" s="9" t="s">
        <v>25</v>
      </c>
      <c r="L80" s="9" t="s">
        <v>26</v>
      </c>
      <c r="M80" s="11"/>
      <c r="N80" s="12"/>
      <c r="O80" s="29"/>
      <c r="P80" s="18"/>
      <c r="Q80" s="19"/>
      <c r="R80" s="20"/>
      <c r="S80" s="20">
        <f>+O80</f>
        <v>0</v>
      </c>
      <c r="T80" s="20"/>
      <c r="U80" s="20"/>
      <c r="V80" s="20"/>
    </row>
    <row r="81" spans="1:22" ht="14.4" x14ac:dyDescent="0.3">
      <c r="A81" s="8" t="s">
        <v>174</v>
      </c>
      <c r="B81" s="72" t="s">
        <v>175</v>
      </c>
      <c r="C81" s="79">
        <v>11</v>
      </c>
      <c r="D81" s="9" t="s">
        <v>302</v>
      </c>
      <c r="E81" s="9" t="s">
        <v>302</v>
      </c>
      <c r="F81" s="9" t="s">
        <v>176</v>
      </c>
      <c r="G81" s="9" t="s">
        <v>42</v>
      </c>
      <c r="H81" s="10">
        <v>44895</v>
      </c>
      <c r="I81" s="9" t="s">
        <v>23</v>
      </c>
      <c r="J81" s="9" t="s">
        <v>177</v>
      </c>
      <c r="K81" s="9" t="s">
        <v>25</v>
      </c>
      <c r="L81" s="9" t="s">
        <v>25</v>
      </c>
      <c r="M81" s="11"/>
      <c r="N81" s="12"/>
      <c r="O81" s="17"/>
      <c r="P81" s="18"/>
      <c r="Q81" s="19"/>
      <c r="R81" s="20"/>
      <c r="S81" s="20"/>
      <c r="T81" s="20"/>
      <c r="U81" s="20">
        <f>+O81</f>
        <v>0</v>
      </c>
      <c r="V81" s="20"/>
    </row>
    <row r="82" spans="1:22" ht="53.4" x14ac:dyDescent="0.3">
      <c r="A82" s="8" t="s">
        <v>178</v>
      </c>
      <c r="B82" s="72" t="s">
        <v>179</v>
      </c>
      <c r="C82" s="79">
        <v>11</v>
      </c>
      <c r="D82" s="9" t="s">
        <v>302</v>
      </c>
      <c r="E82" s="9" t="s">
        <v>302</v>
      </c>
      <c r="F82" s="9" t="s">
        <v>176</v>
      </c>
      <c r="G82" s="9" t="s">
        <v>42</v>
      </c>
      <c r="H82" s="10">
        <v>44895</v>
      </c>
      <c r="I82" s="9" t="s">
        <v>180</v>
      </c>
      <c r="J82" s="9" t="s">
        <v>181</v>
      </c>
      <c r="K82" s="9" t="s">
        <v>25</v>
      </c>
      <c r="L82" s="9" t="s">
        <v>25</v>
      </c>
      <c r="O82" s="40"/>
      <c r="P82" s="18"/>
      <c r="Q82" s="41"/>
      <c r="R82" s="42"/>
      <c r="S82" s="42"/>
      <c r="T82" s="42"/>
      <c r="U82" s="42">
        <f t="shared" ref="U82:U85" si="4">+O82</f>
        <v>0</v>
      </c>
      <c r="V82" s="42"/>
    </row>
    <row r="83" spans="1:22" ht="14.4" x14ac:dyDescent="0.3">
      <c r="A83" s="8" t="s">
        <v>194</v>
      </c>
      <c r="B83" s="9" t="s">
        <v>315</v>
      </c>
      <c r="C83" s="76">
        <v>12</v>
      </c>
      <c r="D83" s="9" t="s">
        <v>286</v>
      </c>
      <c r="E83" s="9" t="s">
        <v>285</v>
      </c>
      <c r="F83" s="9" t="s">
        <v>195</v>
      </c>
      <c r="G83" s="9" t="s">
        <v>42</v>
      </c>
      <c r="H83" s="10">
        <v>44957</v>
      </c>
      <c r="I83" s="9" t="s">
        <v>23</v>
      </c>
      <c r="J83" s="9" t="s">
        <v>24</v>
      </c>
      <c r="K83" s="9" t="s">
        <v>25</v>
      </c>
      <c r="L83" s="9" t="s">
        <v>25</v>
      </c>
      <c r="M83" s="11"/>
      <c r="N83" s="12"/>
      <c r="O83" s="17"/>
      <c r="P83" s="18"/>
      <c r="Q83" s="19"/>
      <c r="R83" s="20"/>
      <c r="S83" s="20"/>
      <c r="T83" s="20"/>
      <c r="U83" s="20">
        <f>+O83</f>
        <v>0</v>
      </c>
      <c r="V83" s="20"/>
    </row>
    <row r="84" spans="1:22" ht="14.4" x14ac:dyDescent="0.3">
      <c r="A84" s="8" t="s">
        <v>191</v>
      </c>
      <c r="B84" s="9" t="s">
        <v>192</v>
      </c>
      <c r="C84" s="76">
        <v>12</v>
      </c>
      <c r="D84" s="9" t="s">
        <v>304</v>
      </c>
      <c r="E84" s="9" t="s">
        <v>292</v>
      </c>
      <c r="F84" s="9" t="s">
        <v>193</v>
      </c>
      <c r="G84" s="9" t="s">
        <v>42</v>
      </c>
      <c r="H84" s="10">
        <v>44957</v>
      </c>
      <c r="I84" s="9" t="s">
        <v>23</v>
      </c>
      <c r="J84" s="9" t="s">
        <v>24</v>
      </c>
      <c r="K84" s="9" t="s">
        <v>25</v>
      </c>
      <c r="L84" s="9" t="s">
        <v>26</v>
      </c>
      <c r="M84" s="11"/>
      <c r="N84" s="12"/>
      <c r="O84" s="17"/>
      <c r="P84" s="18"/>
      <c r="Q84" s="19"/>
      <c r="R84" s="20"/>
      <c r="S84" s="20"/>
      <c r="T84" s="20"/>
      <c r="U84" s="20">
        <f t="shared" si="4"/>
        <v>0</v>
      </c>
      <c r="V84" s="20"/>
    </row>
    <row r="85" spans="1:22" ht="14.4" x14ac:dyDescent="0.3">
      <c r="A85" s="8" t="s">
        <v>276</v>
      </c>
      <c r="B85" s="9" t="s">
        <v>192</v>
      </c>
      <c r="C85" s="76">
        <v>12</v>
      </c>
      <c r="D85" s="9" t="s">
        <v>304</v>
      </c>
      <c r="E85" s="9" t="s">
        <v>292</v>
      </c>
      <c r="F85" s="9" t="s">
        <v>324</v>
      </c>
      <c r="G85" s="9" t="s">
        <v>246</v>
      </c>
      <c r="H85" s="10">
        <v>44926</v>
      </c>
      <c r="I85" s="9" t="s">
        <v>23</v>
      </c>
      <c r="J85" s="9" t="s">
        <v>24</v>
      </c>
      <c r="K85" s="9" t="s">
        <v>25</v>
      </c>
      <c r="L85" s="9" t="s">
        <v>26</v>
      </c>
      <c r="M85" s="11"/>
      <c r="N85" s="12"/>
      <c r="O85" s="17"/>
      <c r="P85" s="18"/>
      <c r="Q85" s="19"/>
      <c r="R85" s="20"/>
      <c r="S85" s="20"/>
      <c r="T85" s="20"/>
      <c r="U85" s="20">
        <f t="shared" si="4"/>
        <v>0</v>
      </c>
      <c r="V85" s="20"/>
    </row>
    <row r="86" spans="1:22" ht="14.4" x14ac:dyDescent="0.3">
      <c r="A86" s="8" t="s">
        <v>194</v>
      </c>
      <c r="B86" s="9" t="s">
        <v>317</v>
      </c>
      <c r="C86" s="76">
        <v>12</v>
      </c>
      <c r="D86" s="9" t="s">
        <v>304</v>
      </c>
      <c r="E86" s="9" t="s">
        <v>292</v>
      </c>
      <c r="F86" s="9" t="s">
        <v>195</v>
      </c>
      <c r="G86" s="9" t="s">
        <v>42</v>
      </c>
      <c r="H86" s="10">
        <v>44592</v>
      </c>
      <c r="I86" s="9" t="s">
        <v>23</v>
      </c>
      <c r="J86" s="9" t="s">
        <v>24</v>
      </c>
      <c r="K86" s="9" t="s">
        <v>25</v>
      </c>
      <c r="L86" s="9" t="s">
        <v>25</v>
      </c>
      <c r="M86" s="11"/>
      <c r="N86" s="12"/>
      <c r="O86" s="17"/>
      <c r="P86" s="18"/>
      <c r="Q86" s="19"/>
      <c r="R86" s="20"/>
      <c r="S86" s="20"/>
      <c r="T86" s="20">
        <f>+O86</f>
        <v>0</v>
      </c>
      <c r="U86" s="20"/>
      <c r="V86" s="20"/>
    </row>
    <row r="87" spans="1:22" ht="27" x14ac:dyDescent="0.3">
      <c r="A87" s="8" t="s">
        <v>196</v>
      </c>
      <c r="B87" s="9" t="s">
        <v>197</v>
      </c>
      <c r="C87" s="76">
        <v>13</v>
      </c>
      <c r="D87" s="9" t="s">
        <v>283</v>
      </c>
      <c r="E87" s="9" t="s">
        <v>283</v>
      </c>
      <c r="F87" s="9" t="s">
        <v>198</v>
      </c>
      <c r="G87" s="9" t="s">
        <v>42</v>
      </c>
      <c r="H87" s="10">
        <v>44895</v>
      </c>
      <c r="I87" s="9" t="s">
        <v>23</v>
      </c>
      <c r="J87" s="9" t="s">
        <v>24</v>
      </c>
      <c r="K87" s="9" t="s">
        <v>25</v>
      </c>
      <c r="L87" s="9" t="s">
        <v>26</v>
      </c>
      <c r="M87" s="11"/>
      <c r="N87" s="12"/>
      <c r="O87" s="17"/>
      <c r="P87" s="18"/>
      <c r="Q87" s="19"/>
      <c r="R87" s="20"/>
      <c r="S87" s="20"/>
      <c r="T87" s="20">
        <f>+O87</f>
        <v>0</v>
      </c>
      <c r="U87" s="20"/>
      <c r="V87" s="20"/>
    </row>
    <row r="88" spans="1:22" ht="14.4" x14ac:dyDescent="0.3">
      <c r="A88" s="8" t="s">
        <v>199</v>
      </c>
      <c r="B88" s="9" t="s">
        <v>321</v>
      </c>
      <c r="C88" s="76">
        <v>13</v>
      </c>
      <c r="D88" s="9" t="s">
        <v>283</v>
      </c>
      <c r="E88" s="9" t="s">
        <v>283</v>
      </c>
      <c r="F88" s="9" t="s">
        <v>200</v>
      </c>
      <c r="G88" s="9" t="s">
        <v>42</v>
      </c>
      <c r="H88" s="10">
        <v>44957</v>
      </c>
      <c r="I88" s="9" t="s">
        <v>23</v>
      </c>
      <c r="J88" s="9" t="s">
        <v>24</v>
      </c>
      <c r="K88" s="9" t="s">
        <v>25</v>
      </c>
      <c r="L88" s="9" t="s">
        <v>26</v>
      </c>
      <c r="M88" s="11"/>
      <c r="N88" s="12"/>
      <c r="O88" s="17"/>
      <c r="P88" s="18"/>
      <c r="Q88" s="19"/>
      <c r="R88" s="20"/>
      <c r="S88" s="20"/>
      <c r="T88" s="20"/>
      <c r="U88" s="20">
        <f>+O88</f>
        <v>0</v>
      </c>
      <c r="V88" s="20"/>
    </row>
    <row r="89" spans="1:22" ht="14.4" x14ac:dyDescent="0.3">
      <c r="A89" s="8" t="s">
        <v>253</v>
      </c>
      <c r="B89" s="9" t="s">
        <v>254</v>
      </c>
      <c r="C89" s="76">
        <v>13</v>
      </c>
      <c r="D89" s="9" t="s">
        <v>283</v>
      </c>
      <c r="E89" s="9" t="s">
        <v>283</v>
      </c>
      <c r="F89" s="9" t="s">
        <v>255</v>
      </c>
      <c r="G89" s="9" t="s">
        <v>42</v>
      </c>
      <c r="H89" s="10">
        <v>44895</v>
      </c>
      <c r="I89" s="9" t="s">
        <v>23</v>
      </c>
      <c r="J89" s="9" t="s">
        <v>24</v>
      </c>
      <c r="K89" s="9" t="s">
        <v>25</v>
      </c>
      <c r="L89" s="9" t="s">
        <v>25</v>
      </c>
      <c r="M89" s="11"/>
      <c r="N89" s="12"/>
      <c r="O89" s="17"/>
      <c r="P89" s="18"/>
      <c r="Q89" s="19"/>
      <c r="R89" s="20"/>
      <c r="S89" s="20"/>
      <c r="T89" s="20"/>
      <c r="U89" s="20">
        <f>+O89</f>
        <v>0</v>
      </c>
      <c r="V89" s="20"/>
    </row>
    <row r="90" spans="1:22" ht="14.4" x14ac:dyDescent="0.3">
      <c r="A90" s="8" t="s">
        <v>277</v>
      </c>
      <c r="B90" s="9" t="s">
        <v>197</v>
      </c>
      <c r="C90" s="76">
        <v>13</v>
      </c>
      <c r="D90" s="9" t="s">
        <v>283</v>
      </c>
      <c r="E90" s="9" t="s">
        <v>283</v>
      </c>
      <c r="F90" s="9" t="s">
        <v>324</v>
      </c>
      <c r="G90" s="9" t="s">
        <v>246</v>
      </c>
      <c r="H90" s="10">
        <v>44926</v>
      </c>
      <c r="I90" s="9" t="s">
        <v>23</v>
      </c>
      <c r="J90" s="9" t="s">
        <v>24</v>
      </c>
      <c r="K90" s="9" t="s">
        <v>25</v>
      </c>
      <c r="L90" s="9" t="s">
        <v>26</v>
      </c>
      <c r="M90" s="11"/>
      <c r="N90" s="12"/>
      <c r="O90" s="17"/>
      <c r="P90" s="18"/>
      <c r="Q90" s="19"/>
      <c r="R90" s="20"/>
      <c r="S90" s="20"/>
      <c r="T90" s="20">
        <f>+O90</f>
        <v>0</v>
      </c>
      <c r="U90" s="20"/>
      <c r="V90" s="20"/>
    </row>
    <row r="91" spans="1:22" ht="14.4" x14ac:dyDescent="0.3">
      <c r="A91" s="8" t="s">
        <v>204</v>
      </c>
      <c r="B91" s="9" t="s">
        <v>205</v>
      </c>
      <c r="C91" s="76">
        <v>14</v>
      </c>
      <c r="D91" s="9" t="s">
        <v>309</v>
      </c>
      <c r="E91" s="9" t="s">
        <v>297</v>
      </c>
      <c r="F91" s="9" t="s">
        <v>206</v>
      </c>
      <c r="G91" s="9" t="s">
        <v>42</v>
      </c>
      <c r="H91" s="10">
        <v>45138</v>
      </c>
      <c r="I91" s="9" t="s">
        <v>23</v>
      </c>
      <c r="J91" s="9" t="s">
        <v>24</v>
      </c>
      <c r="K91" s="9" t="s">
        <v>25</v>
      </c>
      <c r="L91" s="9" t="s">
        <v>26</v>
      </c>
      <c r="M91" s="11"/>
      <c r="N91" s="12"/>
      <c r="O91" s="17"/>
      <c r="P91" s="18"/>
      <c r="Q91" s="19"/>
      <c r="R91" s="20"/>
      <c r="S91" s="20"/>
      <c r="T91" s="20"/>
      <c r="U91" s="20">
        <f>+O91</f>
        <v>0</v>
      </c>
      <c r="V91" s="20"/>
    </row>
    <row r="92" spans="1:22" ht="14.4" x14ac:dyDescent="0.3">
      <c r="A92" s="8" t="s">
        <v>207</v>
      </c>
      <c r="B92" s="9" t="s">
        <v>208</v>
      </c>
      <c r="C92" s="76">
        <v>14</v>
      </c>
      <c r="D92" s="9" t="s">
        <v>309</v>
      </c>
      <c r="E92" s="9" t="s">
        <v>297</v>
      </c>
      <c r="F92" s="9" t="s">
        <v>209</v>
      </c>
      <c r="G92" s="9" t="s">
        <v>42</v>
      </c>
      <c r="H92" s="10">
        <v>45169</v>
      </c>
      <c r="I92" s="9" t="s">
        <v>23</v>
      </c>
      <c r="J92" s="9" t="s">
        <v>24</v>
      </c>
      <c r="K92" s="9" t="s">
        <v>25</v>
      </c>
      <c r="L92" s="9" t="s">
        <v>26</v>
      </c>
      <c r="M92" s="11"/>
      <c r="N92" s="12"/>
      <c r="O92" s="17"/>
      <c r="P92" s="18"/>
      <c r="Q92" s="19"/>
      <c r="R92" s="20"/>
      <c r="S92" s="20"/>
      <c r="T92" s="20"/>
      <c r="U92" s="20">
        <f t="shared" ref="U92:U102" si="5">+O92</f>
        <v>0</v>
      </c>
      <c r="V92" s="20"/>
    </row>
    <row r="93" spans="1:22" ht="14.4" x14ac:dyDescent="0.3">
      <c r="A93" s="8" t="s">
        <v>238</v>
      </c>
      <c r="B93" s="9" t="s">
        <v>239</v>
      </c>
      <c r="C93" s="76">
        <v>15</v>
      </c>
      <c r="D93" s="9" t="s">
        <v>312</v>
      </c>
      <c r="E93" s="9" t="s">
        <v>297</v>
      </c>
      <c r="F93" s="9" t="s">
        <v>240</v>
      </c>
      <c r="G93" s="9" t="s">
        <v>42</v>
      </c>
      <c r="H93" s="10" t="s">
        <v>325</v>
      </c>
      <c r="I93" s="9" t="s">
        <v>23</v>
      </c>
      <c r="J93" s="9" t="s">
        <v>24</v>
      </c>
      <c r="K93" s="9" t="s">
        <v>25</v>
      </c>
      <c r="L93" s="9" t="s">
        <v>25</v>
      </c>
      <c r="M93" s="11"/>
      <c r="N93" s="12"/>
      <c r="O93" s="17"/>
      <c r="P93" s="18"/>
      <c r="Q93" s="19"/>
      <c r="R93" s="20"/>
      <c r="S93" s="20"/>
      <c r="T93" s="20"/>
      <c r="U93" s="20">
        <f t="shared" si="5"/>
        <v>0</v>
      </c>
      <c r="V93" s="20"/>
    </row>
    <row r="94" spans="1:22" ht="14.4" x14ac:dyDescent="0.3">
      <c r="A94" s="8" t="s">
        <v>247</v>
      </c>
      <c r="B94" s="9" t="s">
        <v>239</v>
      </c>
      <c r="C94" s="76">
        <v>15</v>
      </c>
      <c r="D94" s="9" t="s">
        <v>312</v>
      </c>
      <c r="E94" s="9" t="s">
        <v>297</v>
      </c>
      <c r="F94" s="9" t="s">
        <v>324</v>
      </c>
      <c r="G94" s="9" t="s">
        <v>246</v>
      </c>
      <c r="H94" s="10">
        <v>44926</v>
      </c>
      <c r="I94" s="9" t="s">
        <v>246</v>
      </c>
      <c r="J94" s="9" t="s">
        <v>24</v>
      </c>
      <c r="K94" s="9" t="s">
        <v>25</v>
      </c>
      <c r="L94" s="9" t="s">
        <v>26</v>
      </c>
      <c r="M94" s="11"/>
      <c r="N94" s="12"/>
      <c r="O94" s="17"/>
      <c r="P94" s="18"/>
      <c r="Q94" s="19"/>
      <c r="R94" s="20"/>
      <c r="S94" s="20"/>
      <c r="T94" s="20"/>
      <c r="U94" s="20">
        <f t="shared" si="5"/>
        <v>0</v>
      </c>
      <c r="V94" s="20"/>
    </row>
    <row r="95" spans="1:22" ht="14.4" x14ac:dyDescent="0.3">
      <c r="A95" s="8" t="s">
        <v>248</v>
      </c>
      <c r="B95" s="9" t="s">
        <v>245</v>
      </c>
      <c r="C95" s="76">
        <v>15</v>
      </c>
      <c r="D95" s="9" t="s">
        <v>312</v>
      </c>
      <c r="E95" s="9" t="s">
        <v>297</v>
      </c>
      <c r="F95" s="9" t="s">
        <v>324</v>
      </c>
      <c r="G95" s="9" t="s">
        <v>246</v>
      </c>
      <c r="H95" s="10">
        <v>44926</v>
      </c>
      <c r="I95" s="9" t="s">
        <v>246</v>
      </c>
      <c r="J95" s="9" t="s">
        <v>24</v>
      </c>
      <c r="K95" s="9" t="s">
        <v>25</v>
      </c>
      <c r="L95" s="9" t="s">
        <v>26</v>
      </c>
      <c r="M95" s="11"/>
      <c r="N95" s="12"/>
      <c r="O95" s="17"/>
      <c r="P95" s="18"/>
      <c r="Q95" s="19"/>
      <c r="R95" s="20"/>
      <c r="S95" s="20"/>
      <c r="T95" s="20"/>
      <c r="U95" s="20">
        <f t="shared" si="5"/>
        <v>0</v>
      </c>
      <c r="V95" s="20"/>
    </row>
    <row r="96" spans="1:22" ht="14.4" x14ac:dyDescent="0.3">
      <c r="A96" s="8" t="s">
        <v>251</v>
      </c>
      <c r="B96" s="9" t="s">
        <v>252</v>
      </c>
      <c r="C96" s="76">
        <v>16</v>
      </c>
      <c r="D96" s="9" t="s">
        <v>318</v>
      </c>
      <c r="E96" s="9" t="s">
        <v>285</v>
      </c>
      <c r="F96" s="9" t="s">
        <v>323</v>
      </c>
      <c r="G96" s="9" t="s">
        <v>246</v>
      </c>
      <c r="H96" s="10">
        <v>44926</v>
      </c>
      <c r="I96" s="9" t="s">
        <v>246</v>
      </c>
      <c r="J96" s="9" t="s">
        <v>24</v>
      </c>
      <c r="K96" s="9" t="s">
        <v>25</v>
      </c>
      <c r="L96" s="9" t="s">
        <v>26</v>
      </c>
      <c r="M96" s="11"/>
      <c r="N96" s="12"/>
      <c r="O96" s="17"/>
      <c r="P96" s="18"/>
      <c r="Q96" s="19"/>
      <c r="R96" s="20"/>
      <c r="S96" s="20"/>
      <c r="T96" s="20"/>
      <c r="U96" s="20">
        <f t="shared" si="5"/>
        <v>0</v>
      </c>
      <c r="V96" s="20"/>
    </row>
    <row r="97" spans="1:22" ht="14.4" x14ac:dyDescent="0.3">
      <c r="A97" s="8" t="s">
        <v>274</v>
      </c>
      <c r="B97" s="9" t="s">
        <v>252</v>
      </c>
      <c r="C97" s="76">
        <v>16</v>
      </c>
      <c r="D97" s="9" t="s">
        <v>318</v>
      </c>
      <c r="E97" s="9" t="s">
        <v>285</v>
      </c>
      <c r="F97" s="9" t="s">
        <v>324</v>
      </c>
      <c r="G97" s="9" t="s">
        <v>246</v>
      </c>
      <c r="H97" s="10">
        <v>44926</v>
      </c>
      <c r="I97" s="9" t="s">
        <v>23</v>
      </c>
      <c r="J97" s="9" t="s">
        <v>24</v>
      </c>
      <c r="K97" s="9" t="s">
        <v>25</v>
      </c>
      <c r="L97" s="9" t="s">
        <v>26</v>
      </c>
      <c r="M97" s="11"/>
      <c r="N97" s="12"/>
      <c r="O97" s="17"/>
      <c r="P97" s="18"/>
      <c r="Q97" s="19"/>
      <c r="R97" s="20"/>
      <c r="S97" s="20"/>
      <c r="T97" s="20"/>
      <c r="U97" s="20">
        <f t="shared" si="5"/>
        <v>0</v>
      </c>
      <c r="V97" s="20"/>
    </row>
    <row r="98" spans="1:22" ht="14.4" x14ac:dyDescent="0.3">
      <c r="A98" s="8" t="s">
        <v>164</v>
      </c>
      <c r="B98" s="9" t="s">
        <v>165</v>
      </c>
      <c r="C98" s="76">
        <v>17</v>
      </c>
      <c r="D98" s="9" t="s">
        <v>304</v>
      </c>
      <c r="E98" s="9" t="s">
        <v>292</v>
      </c>
      <c r="F98" s="9" t="s">
        <v>166</v>
      </c>
      <c r="G98" s="9" t="s">
        <v>42</v>
      </c>
      <c r="H98" s="10">
        <v>45291</v>
      </c>
      <c r="I98" s="9" t="s">
        <v>23</v>
      </c>
      <c r="J98" s="9" t="s">
        <v>24</v>
      </c>
      <c r="K98" s="9" t="s">
        <v>25</v>
      </c>
      <c r="L98" s="9" t="s">
        <v>26</v>
      </c>
      <c r="M98" s="11"/>
      <c r="N98" s="12"/>
      <c r="O98" s="17"/>
      <c r="P98" s="18"/>
      <c r="Q98" s="19"/>
      <c r="R98" s="20"/>
      <c r="S98" s="20"/>
      <c r="T98" s="20"/>
      <c r="U98" s="20">
        <f t="shared" si="5"/>
        <v>0</v>
      </c>
      <c r="V98" s="20"/>
    </row>
    <row r="99" spans="1:22" ht="14.4" x14ac:dyDescent="0.3">
      <c r="A99" s="8" t="s">
        <v>256</v>
      </c>
      <c r="B99" s="9" t="s">
        <v>165</v>
      </c>
      <c r="C99" s="76">
        <v>17</v>
      </c>
      <c r="D99" s="9" t="s">
        <v>304</v>
      </c>
      <c r="E99" s="9" t="s">
        <v>292</v>
      </c>
      <c r="F99" s="9" t="s">
        <v>324</v>
      </c>
      <c r="G99" s="9" t="s">
        <v>246</v>
      </c>
      <c r="H99" s="10">
        <v>44926</v>
      </c>
      <c r="I99" s="9" t="s">
        <v>246</v>
      </c>
      <c r="J99" s="9" t="s">
        <v>24</v>
      </c>
      <c r="K99" s="9" t="s">
        <v>25</v>
      </c>
      <c r="L99" s="9" t="s">
        <v>26</v>
      </c>
      <c r="M99" s="11"/>
      <c r="N99" s="12"/>
      <c r="O99" s="17"/>
      <c r="P99" s="18"/>
      <c r="Q99" s="19"/>
      <c r="R99" s="20"/>
      <c r="S99" s="20"/>
      <c r="T99" s="20"/>
      <c r="U99" s="20">
        <f t="shared" si="5"/>
        <v>0</v>
      </c>
      <c r="V99" s="20"/>
    </row>
    <row r="100" spans="1:22" ht="14.4" x14ac:dyDescent="0.3">
      <c r="A100" s="8" t="s">
        <v>152</v>
      </c>
      <c r="B100" s="9" t="s">
        <v>153</v>
      </c>
      <c r="C100" s="76">
        <v>18</v>
      </c>
      <c r="D100" s="9" t="s">
        <v>304</v>
      </c>
      <c r="E100" s="9" t="s">
        <v>292</v>
      </c>
      <c r="F100" s="9" t="s">
        <v>154</v>
      </c>
      <c r="G100" s="9" t="s">
        <v>42</v>
      </c>
      <c r="H100" s="10">
        <v>45169</v>
      </c>
      <c r="I100" s="9" t="s">
        <v>23</v>
      </c>
      <c r="J100" s="9" t="s">
        <v>24</v>
      </c>
      <c r="K100" s="9" t="s">
        <v>25</v>
      </c>
      <c r="L100" s="9" t="s">
        <v>26</v>
      </c>
      <c r="M100" s="11"/>
      <c r="N100" s="12"/>
      <c r="O100" s="17"/>
      <c r="P100" s="18"/>
      <c r="Q100" s="19"/>
      <c r="R100" s="20"/>
      <c r="S100" s="20"/>
      <c r="T100" s="20"/>
      <c r="U100" s="20">
        <f t="shared" si="5"/>
        <v>0</v>
      </c>
      <c r="V100" s="20"/>
    </row>
    <row r="101" spans="1:22" ht="14.4" x14ac:dyDescent="0.3">
      <c r="A101" s="8" t="s">
        <v>257</v>
      </c>
      <c r="B101" s="9" t="s">
        <v>153</v>
      </c>
      <c r="C101" s="76">
        <v>18</v>
      </c>
      <c r="D101" s="9" t="s">
        <v>304</v>
      </c>
      <c r="E101" s="9" t="s">
        <v>292</v>
      </c>
      <c r="F101" s="9" t="s">
        <v>324</v>
      </c>
      <c r="G101" s="9" t="s">
        <v>246</v>
      </c>
      <c r="H101" s="10">
        <v>44926</v>
      </c>
      <c r="I101" s="9" t="s">
        <v>246</v>
      </c>
      <c r="J101" s="9" t="s">
        <v>24</v>
      </c>
      <c r="K101" s="9" t="s">
        <v>25</v>
      </c>
      <c r="L101" s="9" t="s">
        <v>26</v>
      </c>
      <c r="M101" s="11"/>
      <c r="N101" s="12"/>
      <c r="O101" s="17"/>
      <c r="P101" s="18"/>
      <c r="Q101" s="19"/>
      <c r="R101" s="20"/>
      <c r="S101" s="20"/>
      <c r="T101" s="20"/>
      <c r="U101" s="20">
        <f t="shared" si="5"/>
        <v>0</v>
      </c>
      <c r="V101" s="20"/>
    </row>
    <row r="102" spans="1:22" ht="14.4" x14ac:dyDescent="0.3">
      <c r="A102" s="8" t="s">
        <v>161</v>
      </c>
      <c r="B102" s="9" t="s">
        <v>162</v>
      </c>
      <c r="C102" s="76">
        <v>19</v>
      </c>
      <c r="D102" s="9" t="s">
        <v>292</v>
      </c>
      <c r="E102" s="9" t="s">
        <v>292</v>
      </c>
      <c r="F102" s="9" t="s">
        <v>163</v>
      </c>
      <c r="G102" s="9" t="s">
        <v>42</v>
      </c>
      <c r="H102" s="10">
        <v>45230</v>
      </c>
      <c r="I102" s="9" t="s">
        <v>23</v>
      </c>
      <c r="J102" s="9" t="s">
        <v>24</v>
      </c>
      <c r="K102" s="9" t="s">
        <v>25</v>
      </c>
      <c r="L102" s="9" t="s">
        <v>26</v>
      </c>
      <c r="M102" s="11"/>
      <c r="N102" s="12"/>
      <c r="O102" s="17"/>
      <c r="P102" s="18"/>
      <c r="Q102" s="19"/>
      <c r="R102" s="20"/>
      <c r="S102" s="20"/>
      <c r="T102" s="20"/>
      <c r="U102" s="20">
        <f t="shared" si="5"/>
        <v>0</v>
      </c>
      <c r="V102" s="20"/>
    </row>
    <row r="103" spans="1:22" ht="14.4" x14ac:dyDescent="0.3">
      <c r="A103" s="8" t="s">
        <v>267</v>
      </c>
      <c r="B103" s="9" t="s">
        <v>162</v>
      </c>
      <c r="C103" s="76">
        <v>19</v>
      </c>
      <c r="D103" s="9" t="s">
        <v>292</v>
      </c>
      <c r="E103" s="9" t="s">
        <v>292</v>
      </c>
      <c r="F103" s="9" t="s">
        <v>324</v>
      </c>
      <c r="G103" s="9" t="s">
        <v>246</v>
      </c>
      <c r="H103" s="10">
        <v>44926</v>
      </c>
      <c r="I103" s="9" t="s">
        <v>23</v>
      </c>
      <c r="J103" s="9" t="s">
        <v>24</v>
      </c>
      <c r="K103" s="9" t="s">
        <v>25</v>
      </c>
      <c r="L103" s="9" t="s">
        <v>26</v>
      </c>
      <c r="M103" s="11"/>
      <c r="N103" s="12"/>
      <c r="O103" s="17"/>
      <c r="P103" s="18"/>
      <c r="Q103" s="19"/>
      <c r="R103" s="20"/>
      <c r="T103" s="20">
        <f>+O103</f>
        <v>0</v>
      </c>
      <c r="U103" s="20"/>
      <c r="V103" s="20"/>
    </row>
    <row r="104" spans="1:22" ht="14.4" x14ac:dyDescent="0.3">
      <c r="A104" s="8" t="s">
        <v>201</v>
      </c>
      <c r="B104" s="9" t="s">
        <v>202</v>
      </c>
      <c r="C104" s="76">
        <v>20</v>
      </c>
      <c r="D104" s="9" t="s">
        <v>292</v>
      </c>
      <c r="E104" s="9" t="s">
        <v>292</v>
      </c>
      <c r="F104" s="9" t="s">
        <v>203</v>
      </c>
      <c r="G104" s="9" t="s">
        <v>42</v>
      </c>
      <c r="H104" s="10">
        <v>44957</v>
      </c>
      <c r="I104" s="9" t="s">
        <v>23</v>
      </c>
      <c r="J104" s="9" t="s">
        <v>24</v>
      </c>
      <c r="K104" s="9" t="s">
        <v>25</v>
      </c>
      <c r="L104" s="9" t="s">
        <v>26</v>
      </c>
      <c r="M104" s="11"/>
      <c r="N104" s="12"/>
      <c r="O104" s="17"/>
      <c r="P104" s="18"/>
      <c r="Q104" s="19"/>
      <c r="R104" s="20"/>
      <c r="T104" s="20">
        <f>+O104</f>
        <v>0</v>
      </c>
      <c r="U104" s="20"/>
      <c r="V104" s="20"/>
    </row>
    <row r="105" spans="1:22" ht="14.4" x14ac:dyDescent="0.3">
      <c r="A105" s="8" t="s">
        <v>270</v>
      </c>
      <c r="B105" s="9" t="s">
        <v>202</v>
      </c>
      <c r="C105" s="76">
        <v>20</v>
      </c>
      <c r="D105" s="9" t="s">
        <v>292</v>
      </c>
      <c r="E105" s="9" t="s">
        <v>329</v>
      </c>
      <c r="F105" s="9" t="s">
        <v>324</v>
      </c>
      <c r="G105" s="9" t="s">
        <v>246</v>
      </c>
      <c r="H105" s="10">
        <v>44926</v>
      </c>
      <c r="I105" s="9" t="s">
        <v>23</v>
      </c>
      <c r="J105" s="9" t="s">
        <v>24</v>
      </c>
      <c r="K105" s="9" t="s">
        <v>25</v>
      </c>
      <c r="L105" s="9" t="s">
        <v>26</v>
      </c>
      <c r="M105" s="11"/>
      <c r="N105" s="12"/>
      <c r="O105" s="17"/>
      <c r="P105" s="18"/>
      <c r="Q105" s="19"/>
      <c r="R105" s="20"/>
      <c r="T105" s="20">
        <f>+O105</f>
        <v>0</v>
      </c>
      <c r="U105" s="20"/>
      <c r="V105" s="20"/>
    </row>
    <row r="106" spans="1:22" ht="14.4" x14ac:dyDescent="0.3">
      <c r="A106" s="8" t="s">
        <v>146</v>
      </c>
      <c r="B106" s="9" t="s">
        <v>147</v>
      </c>
      <c r="C106" s="76">
        <v>21</v>
      </c>
      <c r="D106" s="9" t="s">
        <v>303</v>
      </c>
      <c r="E106" s="9" t="s">
        <v>297</v>
      </c>
      <c r="F106" s="9" t="s">
        <v>148</v>
      </c>
      <c r="G106" s="9" t="s">
        <v>42</v>
      </c>
      <c r="H106" s="10">
        <v>45107</v>
      </c>
      <c r="I106" s="9" t="s">
        <v>23</v>
      </c>
      <c r="J106" s="9" t="s">
        <v>24</v>
      </c>
      <c r="K106" s="9" t="s">
        <v>25</v>
      </c>
      <c r="L106" s="9" t="s">
        <v>26</v>
      </c>
      <c r="M106" s="11"/>
      <c r="N106" s="12"/>
      <c r="O106" s="17"/>
      <c r="P106" s="18"/>
      <c r="Q106" s="19"/>
      <c r="R106" s="20"/>
      <c r="T106" s="20">
        <f>+O106</f>
        <v>0</v>
      </c>
      <c r="U106" s="20"/>
      <c r="V106" s="20"/>
    </row>
    <row r="107" spans="1:22" ht="14.4" x14ac:dyDescent="0.3">
      <c r="A107" s="8" t="s">
        <v>272</v>
      </c>
      <c r="B107" s="9" t="s">
        <v>273</v>
      </c>
      <c r="C107" s="76">
        <v>21</v>
      </c>
      <c r="D107" s="9" t="s">
        <v>303</v>
      </c>
      <c r="E107" s="9" t="s">
        <v>297</v>
      </c>
      <c r="F107" s="9" t="s">
        <v>324</v>
      </c>
      <c r="G107" s="9" t="s">
        <v>246</v>
      </c>
      <c r="H107" s="10">
        <v>44926</v>
      </c>
      <c r="I107" s="9" t="s">
        <v>23</v>
      </c>
      <c r="J107" s="9" t="s">
        <v>24</v>
      </c>
      <c r="K107" s="9" t="s">
        <v>25</v>
      </c>
      <c r="L107" s="9" t="s">
        <v>26</v>
      </c>
      <c r="M107" s="11"/>
      <c r="N107" s="12"/>
      <c r="O107" s="17"/>
      <c r="P107" s="18"/>
      <c r="Q107" s="19"/>
      <c r="R107" s="20"/>
      <c r="S107" s="20"/>
      <c r="T107" s="20">
        <f>+O107</f>
        <v>0</v>
      </c>
      <c r="U107" s="20"/>
      <c r="V107" s="20"/>
    </row>
    <row r="108" spans="1:22" ht="14.4" x14ac:dyDescent="0.3">
      <c r="G108" s="9" t="s">
        <v>246</v>
      </c>
      <c r="H108" s="10">
        <v>44926</v>
      </c>
      <c r="I108" s="9" t="s">
        <v>23</v>
      </c>
      <c r="J108" s="9" t="s">
        <v>24</v>
      </c>
      <c r="K108" s="9" t="s">
        <v>25</v>
      </c>
      <c r="L108" s="9" t="s">
        <v>26</v>
      </c>
      <c r="M108" s="11"/>
      <c r="N108" s="12"/>
      <c r="O108" s="17"/>
      <c r="P108" s="18"/>
      <c r="Q108" s="19"/>
      <c r="R108" s="20"/>
      <c r="S108" s="20"/>
      <c r="T108" s="20"/>
      <c r="U108" s="20"/>
      <c r="V108" s="20"/>
    </row>
    <row r="109" spans="1:22" ht="14.4" x14ac:dyDescent="0.3">
      <c r="G109" s="9" t="s">
        <v>246</v>
      </c>
      <c r="H109" s="10">
        <v>44926</v>
      </c>
      <c r="I109" s="9" t="s">
        <v>23</v>
      </c>
      <c r="J109" s="9" t="s">
        <v>24</v>
      </c>
      <c r="K109" s="9" t="s">
        <v>25</v>
      </c>
      <c r="L109" s="9" t="s">
        <v>26</v>
      </c>
      <c r="M109" s="11"/>
      <c r="N109" s="12"/>
      <c r="O109" s="17"/>
      <c r="P109" s="18"/>
      <c r="Q109" s="19"/>
      <c r="R109" s="20"/>
      <c r="S109" s="20"/>
      <c r="T109" s="20"/>
      <c r="U109" s="20"/>
      <c r="V109" s="20"/>
    </row>
    <row r="110" spans="1:22" x14ac:dyDescent="0.25">
      <c r="M110" s="11"/>
      <c r="N110" s="12"/>
      <c r="O110" s="32"/>
      <c r="P110" s="33"/>
      <c r="Q110" s="34"/>
      <c r="R110" s="34"/>
      <c r="S110" s="34"/>
      <c r="T110" s="34"/>
      <c r="U110" s="34"/>
      <c r="V110" s="34"/>
    </row>
    <row r="111" spans="1:22" x14ac:dyDescent="0.25">
      <c r="M111" s="11"/>
      <c r="N111" s="35" t="e">
        <f>+O111/#REF!</f>
        <v>#REF!</v>
      </c>
      <c r="O111" s="43">
        <f>SUM(O3:O110)</f>
        <v>0</v>
      </c>
      <c r="P111" s="44">
        <f>SUM(P81:P110)</f>
        <v>0</v>
      </c>
      <c r="Q111" s="43">
        <f t="shared" ref="Q111:V111" si="6">SUM(Q3:Q110)</f>
        <v>0</v>
      </c>
      <c r="R111" s="43">
        <f t="shared" si="6"/>
        <v>0</v>
      </c>
      <c r="S111" s="43">
        <f t="shared" si="6"/>
        <v>0</v>
      </c>
      <c r="T111" s="43">
        <f t="shared" si="6"/>
        <v>0</v>
      </c>
      <c r="U111" s="43">
        <f t="shared" si="6"/>
        <v>0</v>
      </c>
      <c r="V111" s="43">
        <f t="shared" si="6"/>
        <v>0</v>
      </c>
    </row>
    <row r="112" spans="1:22" s="64" customFormat="1" x14ac:dyDescent="0.25">
      <c r="B112" s="63"/>
      <c r="C112" s="81"/>
      <c r="D112" s="63"/>
      <c r="E112" s="63"/>
      <c r="F112" s="60"/>
      <c r="G112" s="60"/>
      <c r="H112" s="61"/>
      <c r="I112" s="60"/>
      <c r="J112" s="60"/>
      <c r="K112" s="60"/>
      <c r="L112" s="60"/>
      <c r="M112" s="38"/>
      <c r="N112" s="62"/>
      <c r="O112" s="55" t="e">
        <f>+O111/$O$111</f>
        <v>#DIV/0!</v>
      </c>
      <c r="P112" s="57"/>
      <c r="Q112" s="55" t="e">
        <f t="shared" ref="Q112:V112" si="7">+Q111/$O$111</f>
        <v>#DIV/0!</v>
      </c>
      <c r="R112" s="55" t="e">
        <f t="shared" si="7"/>
        <v>#DIV/0!</v>
      </c>
      <c r="S112" s="55" t="e">
        <f t="shared" si="7"/>
        <v>#DIV/0!</v>
      </c>
      <c r="T112" s="55" t="e">
        <f t="shared" si="7"/>
        <v>#DIV/0!</v>
      </c>
      <c r="U112" s="55" t="e">
        <f t="shared" si="7"/>
        <v>#DIV/0!</v>
      </c>
      <c r="V112" s="55" t="e">
        <f t="shared" si="7"/>
        <v>#DIV/0!</v>
      </c>
    </row>
    <row r="113" spans="1:19" s="64" customFormat="1" x14ac:dyDescent="0.25">
      <c r="B113" s="63"/>
      <c r="C113" s="81"/>
      <c r="D113" s="63"/>
      <c r="E113" s="63"/>
      <c r="F113" s="60"/>
      <c r="G113" s="60"/>
      <c r="H113" s="61"/>
      <c r="I113" s="60"/>
      <c r="J113" s="60"/>
      <c r="K113" s="60"/>
      <c r="L113" s="60"/>
      <c r="M113" s="38"/>
      <c r="N113" s="62"/>
      <c r="O113" s="56"/>
      <c r="P113" s="57"/>
      <c r="Q113" s="58"/>
      <c r="R113" s="58"/>
      <c r="S113" s="58"/>
    </row>
    <row r="114" spans="1:19" s="64" customFormat="1" x14ac:dyDescent="0.25">
      <c r="B114" s="65" t="s">
        <v>262</v>
      </c>
      <c r="C114" s="78"/>
      <c r="D114" s="65"/>
      <c r="E114" s="65"/>
      <c r="F114" s="60"/>
      <c r="G114" s="60"/>
      <c r="H114" s="61"/>
      <c r="I114" s="60"/>
      <c r="J114" s="60"/>
      <c r="K114" s="60"/>
      <c r="L114" s="60"/>
      <c r="M114" s="38"/>
      <c r="N114" s="62"/>
      <c r="O114" s="51"/>
      <c r="P114" s="14"/>
      <c r="Q114" s="15"/>
      <c r="R114" s="63"/>
    </row>
    <row r="115" spans="1:19" s="64" customFormat="1" x14ac:dyDescent="0.25">
      <c r="B115" s="65" t="s">
        <v>263</v>
      </c>
      <c r="C115" s="78"/>
      <c r="D115" s="65"/>
      <c r="E115" s="65"/>
      <c r="F115" s="60"/>
      <c r="G115" s="60"/>
      <c r="H115" s="61"/>
      <c r="I115" s="60"/>
      <c r="J115" s="60"/>
      <c r="K115" s="60"/>
      <c r="L115" s="60"/>
      <c r="M115" s="38"/>
      <c r="N115" s="62"/>
      <c r="O115" s="51"/>
      <c r="P115" s="14"/>
      <c r="Q115" s="15"/>
      <c r="R115" s="63"/>
    </row>
    <row r="116" spans="1:19" s="64" customFormat="1" x14ac:dyDescent="0.25">
      <c r="A116" s="59"/>
      <c r="B116" s="60"/>
      <c r="C116" s="82"/>
      <c r="D116" s="60"/>
      <c r="E116" s="60"/>
      <c r="F116" s="60"/>
      <c r="G116" s="60"/>
      <c r="H116" s="61"/>
      <c r="I116" s="60"/>
      <c r="J116" s="60"/>
      <c r="K116" s="60"/>
      <c r="L116" s="60"/>
      <c r="M116" s="38"/>
      <c r="N116" s="62"/>
      <c r="O116" s="51"/>
      <c r="P116" s="14"/>
      <c r="Q116" s="15"/>
      <c r="R116" s="63"/>
    </row>
    <row r="117" spans="1:19" s="64" customFormat="1" x14ac:dyDescent="0.25">
      <c r="A117" s="59"/>
      <c r="B117" s="60"/>
      <c r="C117" s="82"/>
      <c r="D117" s="60"/>
      <c r="E117" s="60"/>
      <c r="F117" s="60"/>
      <c r="G117" s="60"/>
      <c r="H117" s="61"/>
      <c r="I117" s="60"/>
      <c r="J117" s="60"/>
      <c r="K117" s="60"/>
      <c r="L117" s="60"/>
      <c r="M117" s="38"/>
      <c r="N117" s="62"/>
      <c r="O117" s="51"/>
      <c r="P117" s="14"/>
      <c r="Q117" s="15"/>
      <c r="R117" s="63"/>
    </row>
    <row r="118" spans="1:19" s="64" customFormat="1" x14ac:dyDescent="0.25">
      <c r="A118" s="59"/>
      <c r="B118" s="60"/>
      <c r="C118" s="82"/>
      <c r="D118" s="60"/>
      <c r="E118" s="60"/>
      <c r="F118" s="60"/>
      <c r="G118" s="60"/>
      <c r="H118" s="61"/>
      <c r="I118" s="60"/>
      <c r="J118" s="60"/>
      <c r="K118" s="60"/>
      <c r="L118" s="60"/>
      <c r="M118" s="38"/>
      <c r="N118" s="62"/>
      <c r="O118" s="51"/>
      <c r="P118" s="14"/>
      <c r="Q118" s="15"/>
      <c r="R118" s="63"/>
    </row>
    <row r="119" spans="1:19" s="66" customFormat="1" x14ac:dyDescent="0.25">
      <c r="A119" s="8"/>
      <c r="B119" s="9"/>
      <c r="C119" s="76"/>
      <c r="D119" s="9"/>
      <c r="E119" s="9"/>
      <c r="F119" s="9"/>
      <c r="G119" s="9"/>
      <c r="H119" s="10"/>
      <c r="I119" s="9"/>
      <c r="J119" s="9"/>
      <c r="K119" s="9"/>
      <c r="L119" s="9"/>
      <c r="M119" s="38"/>
      <c r="N119" s="62"/>
      <c r="O119" s="51"/>
      <c r="P119" s="14"/>
      <c r="Q119" s="15"/>
      <c r="R119" s="15"/>
    </row>
    <row r="120" spans="1:19" s="66" customFormat="1" x14ac:dyDescent="0.25">
      <c r="A120" s="8"/>
      <c r="B120" s="9"/>
      <c r="C120" s="76"/>
      <c r="D120" s="9"/>
      <c r="E120" s="9"/>
      <c r="F120" s="9"/>
      <c r="G120" s="9"/>
      <c r="H120" s="10"/>
      <c r="I120" s="9"/>
      <c r="J120" s="9"/>
      <c r="K120" s="9"/>
      <c r="L120" s="9"/>
      <c r="M120" s="38"/>
      <c r="N120" s="62"/>
      <c r="O120" s="51"/>
      <c r="P120" s="14"/>
      <c r="Q120" s="15"/>
      <c r="R120" s="15"/>
    </row>
    <row r="121" spans="1:19" s="66" customFormat="1" x14ac:dyDescent="0.25">
      <c r="A121" s="8"/>
      <c r="B121" s="9"/>
      <c r="C121" s="76"/>
      <c r="D121" s="9"/>
      <c r="E121" s="9"/>
      <c r="F121" s="9"/>
      <c r="G121" s="9"/>
      <c r="H121" s="10"/>
      <c r="I121" s="9"/>
      <c r="J121" s="9"/>
      <c r="K121" s="9"/>
      <c r="L121" s="9"/>
      <c r="M121" s="38"/>
      <c r="N121" s="62"/>
      <c r="O121" s="51"/>
      <c r="P121" s="14"/>
      <c r="Q121" s="15"/>
      <c r="R121" s="15"/>
    </row>
    <row r="122" spans="1:19" s="66" customFormat="1" x14ac:dyDescent="0.25">
      <c r="A122" s="8"/>
      <c r="B122" s="9"/>
      <c r="C122" s="76"/>
      <c r="D122" s="9"/>
      <c r="E122" s="9"/>
      <c r="F122" s="9"/>
      <c r="G122" s="9"/>
      <c r="H122" s="10"/>
      <c r="I122" s="9"/>
      <c r="J122" s="9"/>
      <c r="K122" s="9"/>
      <c r="L122" s="9"/>
      <c r="M122" s="38"/>
      <c r="N122" s="62"/>
      <c r="O122" s="51"/>
      <c r="P122" s="14"/>
      <c r="Q122" s="15"/>
      <c r="R122" s="15"/>
    </row>
    <row r="123" spans="1:19" s="66" customFormat="1" x14ac:dyDescent="0.25">
      <c r="A123" s="8"/>
      <c r="B123" s="9"/>
      <c r="C123" s="76"/>
      <c r="D123" s="9"/>
      <c r="E123" s="9"/>
      <c r="F123" s="9"/>
      <c r="G123" s="9"/>
      <c r="H123" s="10"/>
      <c r="I123" s="9"/>
      <c r="J123" s="9"/>
      <c r="K123" s="9"/>
      <c r="L123" s="9"/>
      <c r="M123" s="38"/>
      <c r="N123" s="62"/>
      <c r="O123" s="51"/>
      <c r="P123" s="14"/>
      <c r="Q123" s="15"/>
      <c r="R123" s="15"/>
    </row>
    <row r="124" spans="1:19" s="66" customFormat="1" x14ac:dyDescent="0.25">
      <c r="A124" s="8"/>
      <c r="B124" s="9"/>
      <c r="C124" s="76"/>
      <c r="D124" s="9"/>
      <c r="E124" s="9"/>
      <c r="F124" s="9"/>
      <c r="G124" s="9"/>
      <c r="H124" s="10"/>
      <c r="I124" s="9"/>
      <c r="J124" s="9"/>
      <c r="K124" s="9"/>
      <c r="L124" s="9"/>
      <c r="M124" s="38"/>
      <c r="N124" s="62"/>
      <c r="O124" s="51"/>
      <c r="P124" s="14"/>
      <c r="Q124" s="15"/>
      <c r="R124" s="15"/>
    </row>
    <row r="125" spans="1:19" s="66" customFormat="1" x14ac:dyDescent="0.25">
      <c r="A125" s="8"/>
      <c r="B125" s="9"/>
      <c r="C125" s="76"/>
      <c r="D125" s="9"/>
      <c r="E125" s="9"/>
      <c r="F125" s="9"/>
      <c r="G125" s="9"/>
      <c r="H125" s="10"/>
      <c r="I125" s="9"/>
      <c r="J125" s="9"/>
      <c r="K125" s="9"/>
      <c r="L125" s="9"/>
      <c r="M125" s="38"/>
      <c r="N125" s="62"/>
      <c r="O125" s="51"/>
      <c r="P125" s="14"/>
      <c r="Q125" s="15"/>
      <c r="R125" s="15"/>
    </row>
    <row r="126" spans="1:19" s="66" customFormat="1" x14ac:dyDescent="0.25">
      <c r="A126" s="8"/>
      <c r="B126" s="9"/>
      <c r="C126" s="76"/>
      <c r="D126" s="9"/>
      <c r="E126" s="9"/>
      <c r="F126" s="9"/>
      <c r="G126" s="9"/>
      <c r="H126" s="10"/>
      <c r="I126" s="9"/>
      <c r="J126" s="9"/>
      <c r="K126" s="9"/>
      <c r="L126" s="9"/>
      <c r="M126" s="38"/>
      <c r="N126" s="62"/>
      <c r="O126" s="51"/>
      <c r="P126" s="14"/>
      <c r="Q126" s="15"/>
      <c r="R126" s="15"/>
    </row>
    <row r="127" spans="1:19" s="66" customFormat="1" x14ac:dyDescent="0.25">
      <c r="A127" s="8"/>
      <c r="B127" s="9"/>
      <c r="C127" s="76"/>
      <c r="D127" s="9"/>
      <c r="E127" s="9"/>
      <c r="F127" s="9"/>
      <c r="G127" s="9"/>
      <c r="H127" s="10"/>
      <c r="I127" s="9"/>
      <c r="J127" s="9"/>
      <c r="K127" s="9"/>
      <c r="L127" s="9"/>
      <c r="M127" s="38"/>
      <c r="N127" s="62"/>
      <c r="O127" s="51"/>
      <c r="P127" s="14"/>
      <c r="Q127" s="15"/>
      <c r="R127" s="15"/>
    </row>
    <row r="128" spans="1:19" s="66" customFormat="1" x14ac:dyDescent="0.25">
      <c r="A128" s="8"/>
      <c r="B128" s="9"/>
      <c r="C128" s="76"/>
      <c r="D128" s="9"/>
      <c r="E128" s="9"/>
      <c r="F128" s="9"/>
      <c r="G128" s="9"/>
      <c r="H128" s="10"/>
      <c r="I128" s="9"/>
      <c r="J128" s="9"/>
      <c r="K128" s="9"/>
      <c r="L128" s="9"/>
      <c r="M128" s="38"/>
      <c r="N128" s="62"/>
      <c r="O128" s="51"/>
      <c r="P128" s="14"/>
      <c r="Q128" s="15"/>
      <c r="R128" s="15"/>
    </row>
    <row r="129" spans="1:18" s="66" customFormat="1" x14ac:dyDescent="0.25">
      <c r="A129" s="8"/>
      <c r="B129" s="9"/>
      <c r="C129" s="76"/>
      <c r="D129" s="9"/>
      <c r="E129" s="9"/>
      <c r="F129" s="9"/>
      <c r="G129" s="9"/>
      <c r="H129" s="10"/>
      <c r="I129" s="9"/>
      <c r="J129" s="9"/>
      <c r="K129" s="9"/>
      <c r="L129" s="9"/>
      <c r="M129" s="38"/>
      <c r="N129" s="62"/>
      <c r="O129" s="51"/>
      <c r="P129" s="14"/>
      <c r="Q129" s="15"/>
      <c r="R129" s="15"/>
    </row>
    <row r="130" spans="1:18" s="66" customFormat="1" x14ac:dyDescent="0.25">
      <c r="A130" s="8"/>
      <c r="B130" s="9"/>
      <c r="C130" s="76"/>
      <c r="D130" s="9"/>
      <c r="E130" s="9"/>
      <c r="F130" s="9"/>
      <c r="G130" s="9"/>
      <c r="H130" s="10"/>
      <c r="I130" s="9"/>
      <c r="J130" s="9"/>
      <c r="K130" s="9"/>
      <c r="L130" s="9"/>
      <c r="M130" s="38"/>
      <c r="N130" s="62"/>
      <c r="O130" s="51"/>
      <c r="P130" s="14"/>
      <c r="Q130" s="15"/>
      <c r="R130" s="15"/>
    </row>
    <row r="131" spans="1:18" s="66" customFormat="1" x14ac:dyDescent="0.25">
      <c r="A131" s="8"/>
      <c r="B131" s="9"/>
      <c r="C131" s="76"/>
      <c r="D131" s="9"/>
      <c r="E131" s="9"/>
      <c r="F131" s="9"/>
      <c r="G131" s="9"/>
      <c r="H131" s="10"/>
      <c r="I131" s="9"/>
      <c r="J131" s="9"/>
      <c r="K131" s="9"/>
      <c r="L131" s="9"/>
      <c r="M131" s="38"/>
      <c r="N131" s="62"/>
      <c r="O131" s="51"/>
      <c r="P131" s="14"/>
      <c r="Q131" s="15"/>
      <c r="R131" s="15"/>
    </row>
    <row r="132" spans="1:18" s="66" customFormat="1" x14ac:dyDescent="0.25">
      <c r="A132" s="8"/>
      <c r="B132" s="9"/>
      <c r="C132" s="76"/>
      <c r="D132" s="9"/>
      <c r="E132" s="9"/>
      <c r="F132" s="9"/>
      <c r="G132" s="9"/>
      <c r="H132" s="10"/>
      <c r="I132" s="9"/>
      <c r="J132" s="9"/>
      <c r="K132" s="9"/>
      <c r="L132" s="9"/>
      <c r="M132" s="38"/>
      <c r="N132" s="62"/>
      <c r="O132" s="51"/>
      <c r="P132" s="14"/>
      <c r="Q132" s="15"/>
      <c r="R132" s="15"/>
    </row>
    <row r="133" spans="1:18" s="66" customFormat="1" x14ac:dyDescent="0.25">
      <c r="A133" s="8"/>
      <c r="B133" s="9"/>
      <c r="C133" s="76"/>
      <c r="D133" s="9"/>
      <c r="E133" s="9"/>
      <c r="F133" s="9"/>
      <c r="G133" s="9"/>
      <c r="H133" s="10"/>
      <c r="I133" s="9"/>
      <c r="J133" s="9"/>
      <c r="K133" s="9"/>
      <c r="L133" s="9"/>
      <c r="M133" s="38"/>
      <c r="N133" s="62"/>
      <c r="O133" s="51"/>
      <c r="P133" s="14"/>
      <c r="Q133" s="15"/>
      <c r="R133" s="15"/>
    </row>
    <row r="134" spans="1:18" s="66" customFormat="1" x14ac:dyDescent="0.25">
      <c r="A134" s="8"/>
      <c r="B134" s="9"/>
      <c r="C134" s="76"/>
      <c r="D134" s="9"/>
      <c r="E134" s="9"/>
      <c r="F134" s="9"/>
      <c r="G134" s="9"/>
      <c r="H134" s="10"/>
      <c r="I134" s="9"/>
      <c r="J134" s="9"/>
      <c r="K134" s="9"/>
      <c r="L134" s="9"/>
      <c r="M134" s="38"/>
      <c r="N134" s="62"/>
      <c r="O134" s="51"/>
      <c r="P134" s="14"/>
      <c r="Q134" s="15"/>
      <c r="R134" s="15"/>
    </row>
    <row r="135" spans="1:18" s="66" customFormat="1" x14ac:dyDescent="0.25">
      <c r="A135" s="8"/>
      <c r="B135" s="9"/>
      <c r="C135" s="76"/>
      <c r="D135" s="9"/>
      <c r="E135" s="9"/>
      <c r="F135" s="9"/>
      <c r="G135" s="9"/>
      <c r="H135" s="10"/>
      <c r="I135" s="9"/>
      <c r="J135" s="9"/>
      <c r="K135" s="9"/>
      <c r="L135" s="9"/>
      <c r="M135" s="38"/>
      <c r="N135" s="62"/>
      <c r="O135" s="51"/>
      <c r="P135" s="14"/>
      <c r="Q135" s="15"/>
      <c r="R135" s="15"/>
    </row>
    <row r="136" spans="1:18" s="66" customFormat="1" x14ac:dyDescent="0.25">
      <c r="A136" s="8"/>
      <c r="B136" s="9"/>
      <c r="C136" s="76"/>
      <c r="D136" s="9"/>
      <c r="E136" s="9"/>
      <c r="F136" s="9"/>
      <c r="G136" s="9"/>
      <c r="H136" s="10"/>
      <c r="I136" s="9"/>
      <c r="J136" s="9"/>
      <c r="K136" s="9"/>
      <c r="L136" s="9"/>
      <c r="M136" s="38"/>
      <c r="N136" s="62"/>
      <c r="O136" s="51"/>
      <c r="P136" s="14"/>
      <c r="Q136" s="15"/>
      <c r="R136" s="15"/>
    </row>
    <row r="137" spans="1:18" s="66" customFormat="1" x14ac:dyDescent="0.25">
      <c r="A137" s="8"/>
      <c r="B137" s="9"/>
      <c r="C137" s="76"/>
      <c r="D137" s="9"/>
      <c r="E137" s="9"/>
      <c r="F137" s="9"/>
      <c r="G137" s="9"/>
      <c r="H137" s="10"/>
      <c r="I137" s="9"/>
      <c r="J137" s="9"/>
      <c r="K137" s="9"/>
      <c r="L137" s="9"/>
      <c r="M137" s="38"/>
      <c r="N137" s="62"/>
      <c r="O137" s="51"/>
      <c r="P137" s="14"/>
      <c r="Q137" s="15"/>
      <c r="R137" s="15"/>
    </row>
    <row r="138" spans="1:18" s="66" customFormat="1" x14ac:dyDescent="0.25">
      <c r="A138" s="8"/>
      <c r="B138" s="9"/>
      <c r="C138" s="76"/>
      <c r="D138" s="9"/>
      <c r="E138" s="9"/>
      <c r="F138" s="9"/>
      <c r="G138" s="9"/>
      <c r="H138" s="10"/>
      <c r="I138" s="9"/>
      <c r="J138" s="9"/>
      <c r="K138" s="9"/>
      <c r="L138" s="9"/>
      <c r="M138" s="38"/>
      <c r="N138" s="62"/>
      <c r="O138" s="51"/>
      <c r="P138" s="14"/>
      <c r="Q138" s="15"/>
      <c r="R138" s="15"/>
    </row>
    <row r="139" spans="1:18" s="66" customFormat="1" x14ac:dyDescent="0.25">
      <c r="A139" s="8"/>
      <c r="B139" s="9"/>
      <c r="C139" s="76"/>
      <c r="D139" s="9"/>
      <c r="E139" s="9"/>
      <c r="F139" s="9"/>
      <c r="G139" s="9"/>
      <c r="H139" s="10"/>
      <c r="I139" s="9"/>
      <c r="J139" s="9"/>
      <c r="K139" s="9"/>
      <c r="L139" s="9"/>
      <c r="M139" s="38"/>
      <c r="N139" s="62"/>
      <c r="O139" s="51"/>
      <c r="P139" s="14"/>
      <c r="Q139" s="15"/>
      <c r="R139" s="15"/>
    </row>
    <row r="140" spans="1:18" s="66" customFormat="1" x14ac:dyDescent="0.25">
      <c r="A140" s="8"/>
      <c r="B140" s="9"/>
      <c r="C140" s="76"/>
      <c r="D140" s="9"/>
      <c r="E140" s="9"/>
      <c r="F140" s="9"/>
      <c r="G140" s="9"/>
      <c r="H140" s="10"/>
      <c r="I140" s="9"/>
      <c r="J140" s="9"/>
      <c r="K140" s="9"/>
      <c r="L140" s="9"/>
      <c r="M140" s="38"/>
      <c r="N140" s="62"/>
      <c r="O140" s="51"/>
      <c r="P140" s="14"/>
      <c r="Q140" s="15"/>
      <c r="R140" s="15"/>
    </row>
    <row r="141" spans="1:18" s="66" customFormat="1" x14ac:dyDescent="0.25">
      <c r="A141" s="8"/>
      <c r="B141" s="9"/>
      <c r="C141" s="76"/>
      <c r="D141" s="9"/>
      <c r="E141" s="9"/>
      <c r="F141" s="9"/>
      <c r="G141" s="9"/>
      <c r="H141" s="10"/>
      <c r="I141" s="9"/>
      <c r="J141" s="9"/>
      <c r="K141" s="9"/>
      <c r="L141" s="9"/>
      <c r="M141" s="38"/>
      <c r="N141" s="62"/>
      <c r="O141" s="51"/>
      <c r="P141" s="14"/>
      <c r="Q141" s="15"/>
      <c r="R141" s="15"/>
    </row>
    <row r="142" spans="1:18" s="66" customFormat="1" x14ac:dyDescent="0.25">
      <c r="A142" s="8"/>
      <c r="B142" s="9"/>
      <c r="C142" s="76"/>
      <c r="D142" s="9"/>
      <c r="E142" s="9"/>
      <c r="F142" s="9"/>
      <c r="G142" s="9"/>
      <c r="H142" s="10"/>
      <c r="I142" s="9"/>
      <c r="J142" s="9"/>
      <c r="K142" s="9"/>
      <c r="L142" s="9"/>
      <c r="M142" s="38"/>
      <c r="N142" s="62"/>
      <c r="O142" s="51"/>
      <c r="P142" s="14"/>
      <c r="Q142" s="15"/>
      <c r="R142" s="15"/>
    </row>
    <row r="143" spans="1:18" s="66" customFormat="1" x14ac:dyDescent="0.25">
      <c r="A143" s="8"/>
      <c r="B143" s="9"/>
      <c r="C143" s="76"/>
      <c r="D143" s="9"/>
      <c r="E143" s="9"/>
      <c r="F143" s="9"/>
      <c r="G143" s="9"/>
      <c r="H143" s="10"/>
      <c r="I143" s="9"/>
      <c r="J143" s="9"/>
      <c r="K143" s="9"/>
      <c r="L143" s="9"/>
      <c r="M143" s="38"/>
      <c r="N143" s="62"/>
      <c r="O143" s="51"/>
      <c r="P143" s="14"/>
      <c r="Q143" s="15"/>
      <c r="R143" s="15"/>
    </row>
    <row r="144" spans="1:18" s="66" customFormat="1" x14ac:dyDescent="0.25">
      <c r="A144" s="8"/>
      <c r="B144" s="9"/>
      <c r="C144" s="76"/>
      <c r="D144" s="9"/>
      <c r="E144" s="9"/>
      <c r="F144" s="9"/>
      <c r="G144" s="9"/>
      <c r="H144" s="10"/>
      <c r="I144" s="9"/>
      <c r="J144" s="9"/>
      <c r="K144" s="9"/>
      <c r="L144" s="9"/>
      <c r="M144" s="38"/>
      <c r="N144" s="62"/>
      <c r="O144" s="51"/>
      <c r="P144" s="14"/>
      <c r="Q144" s="15"/>
      <c r="R144" s="15"/>
    </row>
    <row r="145" spans="1:18" s="66" customFormat="1" x14ac:dyDescent="0.25">
      <c r="A145" s="8"/>
      <c r="B145" s="9"/>
      <c r="C145" s="76"/>
      <c r="D145" s="9"/>
      <c r="E145" s="9"/>
      <c r="F145" s="9"/>
      <c r="G145" s="9"/>
      <c r="H145" s="10"/>
      <c r="I145" s="9"/>
      <c r="J145" s="9"/>
      <c r="K145" s="9"/>
      <c r="L145" s="9"/>
      <c r="M145" s="38"/>
      <c r="N145" s="62"/>
      <c r="O145" s="51"/>
      <c r="P145" s="14"/>
      <c r="Q145" s="15"/>
      <c r="R145" s="15"/>
    </row>
    <row r="146" spans="1:18" s="66" customFormat="1" x14ac:dyDescent="0.25">
      <c r="A146" s="8"/>
      <c r="B146" s="9"/>
      <c r="C146" s="76"/>
      <c r="D146" s="9"/>
      <c r="E146" s="9"/>
      <c r="F146" s="9"/>
      <c r="G146" s="9"/>
      <c r="H146" s="10"/>
      <c r="I146" s="9"/>
      <c r="J146" s="9"/>
      <c r="K146" s="9"/>
      <c r="L146" s="9"/>
      <c r="M146" s="38"/>
      <c r="N146" s="62"/>
      <c r="O146" s="51"/>
      <c r="P146" s="14"/>
      <c r="Q146" s="15"/>
      <c r="R146" s="15"/>
    </row>
    <row r="147" spans="1:18" s="66" customFormat="1" x14ac:dyDescent="0.25">
      <c r="A147" s="8"/>
      <c r="B147" s="9"/>
      <c r="C147" s="76"/>
      <c r="D147" s="9"/>
      <c r="E147" s="9"/>
      <c r="F147" s="9"/>
      <c r="G147" s="9"/>
      <c r="H147" s="10"/>
      <c r="I147" s="9"/>
      <c r="J147" s="9"/>
      <c r="K147" s="9"/>
      <c r="L147" s="9"/>
      <c r="M147" s="38"/>
      <c r="N147" s="62"/>
      <c r="O147" s="51"/>
      <c r="P147" s="14"/>
      <c r="Q147" s="15"/>
      <c r="R147" s="15"/>
    </row>
    <row r="148" spans="1:18" s="66" customFormat="1" x14ac:dyDescent="0.25">
      <c r="A148" s="8"/>
      <c r="B148" s="9"/>
      <c r="C148" s="76"/>
      <c r="D148" s="9"/>
      <c r="E148" s="9"/>
      <c r="F148" s="9"/>
      <c r="G148" s="9"/>
      <c r="H148" s="10"/>
      <c r="I148" s="9"/>
      <c r="J148" s="9"/>
      <c r="K148" s="9"/>
      <c r="L148" s="9"/>
      <c r="M148" s="38"/>
      <c r="N148" s="62"/>
      <c r="O148" s="51"/>
      <c r="P148" s="14"/>
      <c r="Q148" s="15"/>
      <c r="R148" s="15"/>
    </row>
    <row r="149" spans="1:18" s="66" customFormat="1" x14ac:dyDescent="0.25">
      <c r="A149" s="8"/>
      <c r="B149" s="9"/>
      <c r="C149" s="76"/>
      <c r="D149" s="9"/>
      <c r="E149" s="9"/>
      <c r="F149" s="9"/>
      <c r="G149" s="9"/>
      <c r="H149" s="10"/>
      <c r="I149" s="9"/>
      <c r="J149" s="9"/>
      <c r="K149" s="9"/>
      <c r="L149" s="9"/>
      <c r="M149" s="38"/>
      <c r="N149" s="62"/>
      <c r="O149" s="51"/>
      <c r="P149" s="14"/>
      <c r="Q149" s="15"/>
      <c r="R149" s="15"/>
    </row>
    <row r="150" spans="1:18" s="66" customFormat="1" x14ac:dyDescent="0.25">
      <c r="A150" s="8"/>
      <c r="B150" s="9"/>
      <c r="C150" s="76"/>
      <c r="D150" s="9"/>
      <c r="E150" s="9"/>
      <c r="F150" s="9"/>
      <c r="G150" s="9"/>
      <c r="H150" s="10"/>
      <c r="I150" s="9"/>
      <c r="J150" s="9"/>
      <c r="K150" s="9"/>
      <c r="L150" s="9"/>
      <c r="M150" s="38"/>
      <c r="N150" s="62"/>
      <c r="O150" s="51"/>
      <c r="P150" s="14"/>
      <c r="Q150" s="15"/>
      <c r="R150" s="15"/>
    </row>
    <row r="151" spans="1:18" s="66" customFormat="1" x14ac:dyDescent="0.25">
      <c r="A151" s="8"/>
      <c r="B151" s="9"/>
      <c r="C151" s="76"/>
      <c r="D151" s="9"/>
      <c r="E151" s="9"/>
      <c r="F151" s="9"/>
      <c r="G151" s="9"/>
      <c r="H151" s="10"/>
      <c r="I151" s="9"/>
      <c r="J151" s="9"/>
      <c r="K151" s="9"/>
      <c r="L151" s="9"/>
      <c r="M151" s="38"/>
      <c r="N151" s="62"/>
      <c r="O151" s="51"/>
      <c r="P151" s="14"/>
      <c r="Q151" s="15"/>
      <c r="R151" s="15"/>
    </row>
    <row r="152" spans="1:18" s="66" customFormat="1" x14ac:dyDescent="0.25">
      <c r="A152" s="8"/>
      <c r="B152" s="9"/>
      <c r="C152" s="76"/>
      <c r="D152" s="9"/>
      <c r="E152" s="9"/>
      <c r="F152" s="9"/>
      <c r="G152" s="9"/>
      <c r="H152" s="10"/>
      <c r="I152" s="9"/>
      <c r="J152" s="9"/>
      <c r="K152" s="9"/>
      <c r="L152" s="9"/>
      <c r="M152" s="38"/>
      <c r="N152" s="62"/>
      <c r="O152" s="51"/>
      <c r="P152" s="14"/>
      <c r="Q152" s="15"/>
      <c r="R152" s="15"/>
    </row>
    <row r="153" spans="1:18" s="66" customFormat="1" x14ac:dyDescent="0.25">
      <c r="A153" s="8"/>
      <c r="B153" s="9"/>
      <c r="C153" s="76"/>
      <c r="D153" s="9"/>
      <c r="E153" s="9"/>
      <c r="F153" s="9"/>
      <c r="G153" s="9"/>
      <c r="H153" s="10"/>
      <c r="I153" s="9"/>
      <c r="J153" s="9"/>
      <c r="K153" s="9"/>
      <c r="L153" s="9"/>
      <c r="M153" s="38"/>
      <c r="N153" s="62"/>
      <c r="O153" s="51"/>
      <c r="P153" s="14"/>
      <c r="Q153" s="15"/>
      <c r="R153" s="15"/>
    </row>
    <row r="154" spans="1:18" s="66" customFormat="1" x14ac:dyDescent="0.25">
      <c r="A154" s="8"/>
      <c r="B154" s="9"/>
      <c r="C154" s="76"/>
      <c r="D154" s="9"/>
      <c r="E154" s="9"/>
      <c r="F154" s="9"/>
      <c r="G154" s="9"/>
      <c r="H154" s="10"/>
      <c r="I154" s="9"/>
      <c r="J154" s="9"/>
      <c r="K154" s="9"/>
      <c r="L154" s="9"/>
      <c r="M154" s="38"/>
      <c r="N154" s="62"/>
      <c r="O154" s="51"/>
      <c r="P154" s="14"/>
      <c r="Q154" s="15"/>
      <c r="R154" s="15"/>
    </row>
    <row r="155" spans="1:18" s="66" customFormat="1" x14ac:dyDescent="0.25">
      <c r="A155" s="8"/>
      <c r="B155" s="9"/>
      <c r="C155" s="76"/>
      <c r="D155" s="9"/>
      <c r="E155" s="9"/>
      <c r="F155" s="9"/>
      <c r="G155" s="9"/>
      <c r="H155" s="10"/>
      <c r="I155" s="9"/>
      <c r="J155" s="9"/>
      <c r="K155" s="9"/>
      <c r="L155" s="9"/>
      <c r="M155" s="38"/>
      <c r="N155" s="62"/>
      <c r="O155" s="51"/>
      <c r="P155" s="14"/>
      <c r="Q155" s="15"/>
      <c r="R155" s="15"/>
    </row>
    <row r="156" spans="1:18" s="66" customFormat="1" x14ac:dyDescent="0.25">
      <c r="A156" s="8"/>
      <c r="B156" s="9"/>
      <c r="C156" s="76"/>
      <c r="D156" s="9"/>
      <c r="E156" s="9"/>
      <c r="F156" s="9"/>
      <c r="G156" s="9"/>
      <c r="H156" s="10"/>
      <c r="I156" s="9"/>
      <c r="J156" s="9"/>
      <c r="K156" s="9"/>
      <c r="L156" s="9"/>
      <c r="M156" s="38"/>
      <c r="N156" s="62"/>
      <c r="O156" s="51"/>
      <c r="P156" s="14"/>
      <c r="Q156" s="15"/>
      <c r="R156" s="15"/>
    </row>
    <row r="157" spans="1:18" s="66" customFormat="1" x14ac:dyDescent="0.25">
      <c r="A157" s="8"/>
      <c r="B157" s="9"/>
      <c r="C157" s="76"/>
      <c r="D157" s="9"/>
      <c r="E157" s="9"/>
      <c r="F157" s="9"/>
      <c r="G157" s="9"/>
      <c r="H157" s="10"/>
      <c r="I157" s="9"/>
      <c r="J157" s="9"/>
      <c r="K157" s="9"/>
      <c r="L157" s="9"/>
      <c r="M157" s="38"/>
      <c r="N157" s="62"/>
      <c r="O157" s="51"/>
      <c r="P157" s="14"/>
      <c r="Q157" s="15"/>
      <c r="R157" s="15"/>
    </row>
    <row r="158" spans="1:18" s="66" customFormat="1" x14ac:dyDescent="0.25">
      <c r="A158" s="8"/>
      <c r="B158" s="9"/>
      <c r="C158" s="76"/>
      <c r="D158" s="9"/>
      <c r="E158" s="9"/>
      <c r="F158" s="9"/>
      <c r="G158" s="9"/>
      <c r="H158" s="10"/>
      <c r="I158" s="9"/>
      <c r="J158" s="9"/>
      <c r="K158" s="9"/>
      <c r="L158" s="9"/>
      <c r="M158" s="38"/>
      <c r="N158" s="62"/>
      <c r="O158" s="51"/>
      <c r="P158" s="14"/>
      <c r="Q158" s="15"/>
      <c r="R158" s="15"/>
    </row>
    <row r="159" spans="1:18" s="66" customFormat="1" x14ac:dyDescent="0.25">
      <c r="A159" s="8"/>
      <c r="B159" s="9"/>
      <c r="C159" s="76"/>
      <c r="D159" s="9"/>
      <c r="E159" s="9"/>
      <c r="F159" s="9"/>
      <c r="G159" s="9"/>
      <c r="H159" s="10"/>
      <c r="I159" s="9"/>
      <c r="J159" s="9"/>
      <c r="K159" s="9"/>
      <c r="L159" s="9"/>
      <c r="M159" s="38"/>
      <c r="N159" s="62"/>
      <c r="O159" s="51"/>
      <c r="P159" s="14"/>
      <c r="Q159" s="15"/>
      <c r="R159" s="15"/>
    </row>
    <row r="160" spans="1:18" s="66" customFormat="1" x14ac:dyDescent="0.25">
      <c r="A160" s="8"/>
      <c r="B160" s="9"/>
      <c r="C160" s="76"/>
      <c r="D160" s="9"/>
      <c r="E160" s="9"/>
      <c r="F160" s="9"/>
      <c r="G160" s="9"/>
      <c r="H160" s="10"/>
      <c r="I160" s="9"/>
      <c r="J160" s="9"/>
      <c r="K160" s="9"/>
      <c r="L160" s="9"/>
      <c r="M160" s="38"/>
      <c r="N160" s="62"/>
      <c r="O160" s="51"/>
      <c r="P160" s="14"/>
      <c r="Q160" s="15"/>
      <c r="R160" s="15"/>
    </row>
    <row r="161" spans="1:18" s="66" customFormat="1" x14ac:dyDescent="0.25">
      <c r="A161" s="8"/>
      <c r="B161" s="9"/>
      <c r="C161" s="76"/>
      <c r="D161" s="9"/>
      <c r="E161" s="9"/>
      <c r="F161" s="9"/>
      <c r="G161" s="9"/>
      <c r="H161" s="10"/>
      <c r="I161" s="9"/>
      <c r="J161" s="9"/>
      <c r="K161" s="9"/>
      <c r="L161" s="9"/>
      <c r="M161" s="38"/>
      <c r="N161" s="62"/>
      <c r="O161" s="51"/>
      <c r="P161" s="14"/>
      <c r="Q161" s="15"/>
      <c r="R161" s="15"/>
    </row>
    <row r="162" spans="1:18" s="66" customFormat="1" x14ac:dyDescent="0.25">
      <c r="A162" s="8"/>
      <c r="B162" s="9"/>
      <c r="C162" s="76"/>
      <c r="D162" s="9"/>
      <c r="E162" s="9"/>
      <c r="F162" s="9"/>
      <c r="G162" s="9"/>
      <c r="H162" s="10"/>
      <c r="I162" s="9"/>
      <c r="J162" s="9"/>
      <c r="K162" s="9"/>
      <c r="L162" s="9"/>
      <c r="M162" s="38"/>
      <c r="N162" s="62"/>
      <c r="O162" s="51"/>
      <c r="P162" s="14"/>
      <c r="Q162" s="15"/>
      <c r="R162" s="15"/>
    </row>
    <row r="163" spans="1:18" s="66" customFormat="1" x14ac:dyDescent="0.25">
      <c r="A163" s="8"/>
      <c r="B163" s="9"/>
      <c r="C163" s="76"/>
      <c r="D163" s="9"/>
      <c r="E163" s="9"/>
      <c r="F163" s="9"/>
      <c r="G163" s="9"/>
      <c r="H163" s="10"/>
      <c r="I163" s="9"/>
      <c r="J163" s="9"/>
      <c r="K163" s="9"/>
      <c r="L163" s="9"/>
      <c r="M163" s="38"/>
      <c r="N163" s="62"/>
      <c r="O163" s="51"/>
      <c r="P163" s="14"/>
      <c r="Q163" s="15"/>
      <c r="R163" s="15"/>
    </row>
    <row r="164" spans="1:18" s="66" customFormat="1" x14ac:dyDescent="0.25">
      <c r="A164" s="8"/>
      <c r="B164" s="9"/>
      <c r="C164" s="76"/>
      <c r="D164" s="9"/>
      <c r="E164" s="9"/>
      <c r="F164" s="9"/>
      <c r="G164" s="9"/>
      <c r="H164" s="10"/>
      <c r="I164" s="9"/>
      <c r="J164" s="9"/>
      <c r="K164" s="9"/>
      <c r="L164" s="9"/>
      <c r="M164" s="38"/>
      <c r="N164" s="62"/>
      <c r="O164" s="51"/>
      <c r="P164" s="14"/>
      <c r="Q164" s="15"/>
      <c r="R164" s="15"/>
    </row>
    <row r="165" spans="1:18" s="66" customFormat="1" x14ac:dyDescent="0.25">
      <c r="A165" s="8"/>
      <c r="B165" s="9"/>
      <c r="C165" s="76"/>
      <c r="D165" s="9"/>
      <c r="E165" s="9"/>
      <c r="F165" s="9"/>
      <c r="G165" s="9"/>
      <c r="H165" s="10"/>
      <c r="I165" s="9"/>
      <c r="J165" s="9"/>
      <c r="K165" s="9"/>
      <c r="L165" s="9"/>
      <c r="M165" s="38"/>
      <c r="N165" s="62"/>
      <c r="O165" s="51"/>
      <c r="P165" s="14"/>
      <c r="Q165" s="15"/>
      <c r="R165" s="15"/>
    </row>
    <row r="166" spans="1:18" s="66" customFormat="1" x14ac:dyDescent="0.25">
      <c r="A166" s="8"/>
      <c r="B166" s="9"/>
      <c r="C166" s="76"/>
      <c r="D166" s="9"/>
      <c r="E166" s="9"/>
      <c r="F166" s="9"/>
      <c r="G166" s="9"/>
      <c r="H166" s="10"/>
      <c r="I166" s="9"/>
      <c r="J166" s="9"/>
      <c r="K166" s="9"/>
      <c r="L166" s="9"/>
      <c r="M166" s="38"/>
      <c r="N166" s="62"/>
      <c r="O166" s="51"/>
      <c r="P166" s="14"/>
      <c r="Q166" s="15"/>
      <c r="R166" s="15"/>
    </row>
    <row r="167" spans="1:18" s="66" customFormat="1" x14ac:dyDescent="0.25">
      <c r="A167" s="8"/>
      <c r="B167" s="9"/>
      <c r="C167" s="76"/>
      <c r="D167" s="9"/>
      <c r="E167" s="9"/>
      <c r="F167" s="9"/>
      <c r="G167" s="9"/>
      <c r="H167" s="10"/>
      <c r="I167" s="9"/>
      <c r="J167" s="9"/>
      <c r="K167" s="9"/>
      <c r="L167" s="9"/>
      <c r="M167" s="38"/>
      <c r="N167" s="62"/>
      <c r="O167" s="51"/>
      <c r="P167" s="14"/>
      <c r="Q167" s="15"/>
      <c r="R167" s="15"/>
    </row>
    <row r="168" spans="1:18" s="66" customFormat="1" x14ac:dyDescent="0.25">
      <c r="A168" s="8"/>
      <c r="B168" s="9"/>
      <c r="C168" s="76"/>
      <c r="D168" s="9"/>
      <c r="E168" s="9"/>
      <c r="F168" s="9"/>
      <c r="G168" s="9"/>
      <c r="H168" s="10"/>
      <c r="I168" s="9"/>
      <c r="J168" s="9"/>
      <c r="K168" s="9"/>
      <c r="L168" s="9"/>
      <c r="M168" s="38"/>
      <c r="N168" s="62"/>
      <c r="O168" s="51"/>
      <c r="P168" s="14"/>
      <c r="Q168" s="15"/>
      <c r="R168" s="15"/>
    </row>
    <row r="169" spans="1:18" s="66" customFormat="1" x14ac:dyDescent="0.25">
      <c r="A169" s="8"/>
      <c r="B169" s="9"/>
      <c r="C169" s="76"/>
      <c r="D169" s="9"/>
      <c r="E169" s="9"/>
      <c r="F169" s="9"/>
      <c r="G169" s="9"/>
      <c r="H169" s="10"/>
      <c r="I169" s="9"/>
      <c r="J169" s="9"/>
      <c r="K169" s="9"/>
      <c r="L169" s="9"/>
      <c r="M169" s="38"/>
      <c r="N169" s="62"/>
      <c r="O169" s="51"/>
      <c r="P169" s="14"/>
      <c r="Q169" s="15"/>
      <c r="R169" s="15"/>
    </row>
    <row r="170" spans="1:18" s="66" customFormat="1" x14ac:dyDescent="0.25">
      <c r="A170" s="8"/>
      <c r="B170" s="9"/>
      <c r="C170" s="76"/>
      <c r="D170" s="9"/>
      <c r="E170" s="9"/>
      <c r="F170" s="9"/>
      <c r="G170" s="9"/>
      <c r="H170" s="10"/>
      <c r="I170" s="9"/>
      <c r="J170" s="9"/>
      <c r="K170" s="9"/>
      <c r="L170" s="9"/>
      <c r="M170" s="38"/>
      <c r="N170" s="62"/>
      <c r="O170" s="51"/>
      <c r="P170" s="14"/>
      <c r="Q170" s="15"/>
      <c r="R170" s="15"/>
    </row>
    <row r="171" spans="1:18" s="66" customFormat="1" x14ac:dyDescent="0.25">
      <c r="A171" s="8"/>
      <c r="B171" s="9"/>
      <c r="C171" s="76"/>
      <c r="D171" s="9"/>
      <c r="E171" s="9"/>
      <c r="F171" s="9"/>
      <c r="G171" s="9"/>
      <c r="H171" s="10"/>
      <c r="I171" s="9"/>
      <c r="J171" s="9"/>
      <c r="K171" s="9"/>
      <c r="L171" s="9"/>
      <c r="M171" s="38"/>
      <c r="N171" s="62"/>
      <c r="O171" s="51"/>
      <c r="P171" s="14"/>
      <c r="Q171" s="15"/>
      <c r="R171" s="15"/>
    </row>
    <row r="172" spans="1:18" s="66" customFormat="1" x14ac:dyDescent="0.25">
      <c r="A172" s="8"/>
      <c r="B172" s="9"/>
      <c r="C172" s="76"/>
      <c r="D172" s="9"/>
      <c r="E172" s="9"/>
      <c r="F172" s="9"/>
      <c r="G172" s="9"/>
      <c r="H172" s="10"/>
      <c r="I172" s="9"/>
      <c r="J172" s="9"/>
      <c r="K172" s="9"/>
      <c r="L172" s="9"/>
      <c r="M172" s="38"/>
      <c r="N172" s="62"/>
      <c r="O172" s="51"/>
      <c r="P172" s="14"/>
      <c r="Q172" s="15"/>
      <c r="R172" s="15"/>
    </row>
    <row r="173" spans="1:18" s="66" customFormat="1" x14ac:dyDescent="0.25">
      <c r="A173" s="8"/>
      <c r="B173" s="9"/>
      <c r="C173" s="76"/>
      <c r="D173" s="9"/>
      <c r="E173" s="9"/>
      <c r="F173" s="9"/>
      <c r="G173" s="9"/>
      <c r="H173" s="10"/>
      <c r="I173" s="9"/>
      <c r="J173" s="9"/>
      <c r="K173" s="9"/>
      <c r="L173" s="9"/>
      <c r="M173" s="38"/>
      <c r="N173" s="62"/>
      <c r="O173" s="51"/>
      <c r="P173" s="14"/>
      <c r="Q173" s="15"/>
      <c r="R173" s="15"/>
    </row>
    <row r="174" spans="1:18" s="66" customFormat="1" x14ac:dyDescent="0.25">
      <c r="A174" s="8"/>
      <c r="B174" s="9"/>
      <c r="C174" s="76"/>
      <c r="D174" s="9"/>
      <c r="E174" s="9"/>
      <c r="F174" s="9"/>
      <c r="G174" s="9"/>
      <c r="H174" s="10"/>
      <c r="I174" s="9"/>
      <c r="J174" s="9"/>
      <c r="K174" s="9"/>
      <c r="L174" s="9"/>
      <c r="M174" s="38"/>
      <c r="N174" s="62"/>
      <c r="O174" s="51"/>
      <c r="P174" s="14"/>
      <c r="Q174" s="15"/>
      <c r="R174" s="15"/>
    </row>
    <row r="175" spans="1:18" s="66" customFormat="1" x14ac:dyDescent="0.25">
      <c r="A175" s="8"/>
      <c r="B175" s="9"/>
      <c r="C175" s="76"/>
      <c r="D175" s="9"/>
      <c r="E175" s="9"/>
      <c r="F175" s="9"/>
      <c r="G175" s="9"/>
      <c r="H175" s="10"/>
      <c r="I175" s="9"/>
      <c r="J175" s="9"/>
      <c r="K175" s="9"/>
      <c r="L175" s="9"/>
      <c r="M175" s="38"/>
      <c r="N175" s="62"/>
      <c r="O175" s="51"/>
      <c r="P175" s="14"/>
      <c r="Q175" s="15"/>
      <c r="R175" s="15"/>
    </row>
    <row r="176" spans="1:18" s="66" customFormat="1" x14ac:dyDescent="0.25">
      <c r="A176" s="8"/>
      <c r="B176" s="9"/>
      <c r="C176" s="76"/>
      <c r="D176" s="9"/>
      <c r="E176" s="9"/>
      <c r="F176" s="9"/>
      <c r="G176" s="9"/>
      <c r="H176" s="10"/>
      <c r="I176" s="9"/>
      <c r="J176" s="9"/>
      <c r="K176" s="9"/>
      <c r="L176" s="9"/>
      <c r="M176" s="38"/>
      <c r="N176" s="62"/>
      <c r="O176" s="51"/>
      <c r="P176" s="14"/>
      <c r="Q176" s="15"/>
      <c r="R176" s="15"/>
    </row>
    <row r="177" spans="1:18" s="66" customFormat="1" x14ac:dyDescent="0.25">
      <c r="A177" s="8"/>
      <c r="B177" s="9"/>
      <c r="C177" s="76"/>
      <c r="D177" s="9"/>
      <c r="E177" s="9"/>
      <c r="F177" s="9"/>
      <c r="G177" s="9"/>
      <c r="H177" s="10"/>
      <c r="I177" s="9"/>
      <c r="J177" s="9"/>
      <c r="K177" s="9"/>
      <c r="L177" s="9"/>
      <c r="M177" s="38"/>
      <c r="N177" s="62"/>
      <c r="O177" s="51"/>
      <c r="P177" s="14"/>
      <c r="Q177" s="15"/>
      <c r="R177" s="15"/>
    </row>
    <row r="178" spans="1:18" s="66" customFormat="1" x14ac:dyDescent="0.25">
      <c r="A178" s="8"/>
      <c r="B178" s="9"/>
      <c r="C178" s="76"/>
      <c r="D178" s="9"/>
      <c r="E178" s="9"/>
      <c r="F178" s="9"/>
      <c r="G178" s="9"/>
      <c r="H178" s="10"/>
      <c r="I178" s="9"/>
      <c r="J178" s="9"/>
      <c r="K178" s="9"/>
      <c r="L178" s="9"/>
      <c r="M178" s="38"/>
      <c r="N178" s="62"/>
      <c r="O178" s="51"/>
      <c r="P178" s="14"/>
      <c r="Q178" s="15"/>
      <c r="R178" s="15"/>
    </row>
    <row r="179" spans="1:18" s="66" customFormat="1" x14ac:dyDescent="0.25">
      <c r="A179" s="8"/>
      <c r="B179" s="9"/>
      <c r="C179" s="76"/>
      <c r="D179" s="9"/>
      <c r="E179" s="9"/>
      <c r="F179" s="9"/>
      <c r="G179" s="9"/>
      <c r="H179" s="10"/>
      <c r="I179" s="9"/>
      <c r="J179" s="9"/>
      <c r="K179" s="9"/>
      <c r="L179" s="9"/>
      <c r="M179" s="38"/>
      <c r="N179" s="62"/>
      <c r="O179" s="51"/>
      <c r="P179" s="14"/>
      <c r="Q179" s="15"/>
      <c r="R179" s="15"/>
    </row>
    <row r="180" spans="1:18" s="66" customFormat="1" x14ac:dyDescent="0.25">
      <c r="A180" s="8"/>
      <c r="B180" s="9"/>
      <c r="C180" s="76"/>
      <c r="D180" s="9"/>
      <c r="E180" s="9"/>
      <c r="F180" s="9"/>
      <c r="G180" s="9"/>
      <c r="H180" s="10"/>
      <c r="I180" s="9"/>
      <c r="J180" s="9"/>
      <c r="K180" s="9"/>
      <c r="L180" s="9"/>
      <c r="M180" s="38"/>
      <c r="N180" s="62"/>
      <c r="O180" s="51"/>
      <c r="P180" s="14"/>
      <c r="Q180" s="15"/>
      <c r="R180" s="15"/>
    </row>
    <row r="181" spans="1:18" s="66" customFormat="1" x14ac:dyDescent="0.25">
      <c r="A181" s="8"/>
      <c r="B181" s="9"/>
      <c r="C181" s="76"/>
      <c r="D181" s="9"/>
      <c r="E181" s="9"/>
      <c r="F181" s="9"/>
      <c r="G181" s="9"/>
      <c r="H181" s="10"/>
      <c r="I181" s="9"/>
      <c r="J181" s="9"/>
      <c r="K181" s="9"/>
      <c r="L181" s="9"/>
      <c r="M181" s="38"/>
      <c r="N181" s="62"/>
      <c r="O181" s="51"/>
      <c r="P181" s="14"/>
      <c r="Q181" s="15"/>
      <c r="R181" s="15"/>
    </row>
    <row r="182" spans="1:18" s="66" customFormat="1" x14ac:dyDescent="0.25">
      <c r="A182" s="8"/>
      <c r="B182" s="9"/>
      <c r="C182" s="76"/>
      <c r="D182" s="9"/>
      <c r="E182" s="9"/>
      <c r="F182" s="9"/>
      <c r="G182" s="9"/>
      <c r="H182" s="10"/>
      <c r="I182" s="9"/>
      <c r="J182" s="9"/>
      <c r="K182" s="9"/>
      <c r="L182" s="9"/>
      <c r="M182" s="38"/>
      <c r="N182" s="62"/>
      <c r="O182" s="51"/>
      <c r="P182" s="14"/>
      <c r="Q182" s="15"/>
      <c r="R182" s="15"/>
    </row>
    <row r="183" spans="1:18" s="66" customFormat="1" x14ac:dyDescent="0.25">
      <c r="A183" s="8"/>
      <c r="B183" s="9"/>
      <c r="C183" s="76"/>
      <c r="D183" s="9"/>
      <c r="E183" s="9"/>
      <c r="F183" s="9"/>
      <c r="G183" s="9"/>
      <c r="H183" s="10"/>
      <c r="I183" s="9"/>
      <c r="J183" s="9"/>
      <c r="K183" s="9"/>
      <c r="L183" s="9"/>
      <c r="M183" s="38"/>
      <c r="N183" s="62"/>
      <c r="O183" s="51"/>
      <c r="P183" s="14"/>
      <c r="Q183" s="15"/>
      <c r="R183" s="15"/>
    </row>
    <row r="184" spans="1:18" s="66" customFormat="1" x14ac:dyDescent="0.25">
      <c r="A184" s="8"/>
      <c r="B184" s="9"/>
      <c r="C184" s="76"/>
      <c r="D184" s="9"/>
      <c r="E184" s="9"/>
      <c r="F184" s="9"/>
      <c r="G184" s="9"/>
      <c r="H184" s="10"/>
      <c r="I184" s="9"/>
      <c r="J184" s="9"/>
      <c r="K184" s="9"/>
      <c r="L184" s="9"/>
      <c r="M184" s="38"/>
      <c r="N184" s="62"/>
      <c r="O184" s="51"/>
      <c r="P184" s="14"/>
      <c r="Q184" s="15"/>
      <c r="R184" s="15"/>
    </row>
    <row r="185" spans="1:18" s="66" customFormat="1" x14ac:dyDescent="0.25">
      <c r="A185" s="8"/>
      <c r="B185" s="9"/>
      <c r="C185" s="76"/>
      <c r="D185" s="9"/>
      <c r="E185" s="9"/>
      <c r="F185" s="9"/>
      <c r="G185" s="9"/>
      <c r="H185" s="10"/>
      <c r="I185" s="9"/>
      <c r="J185" s="9"/>
      <c r="K185" s="9"/>
      <c r="L185" s="9"/>
      <c r="M185" s="38"/>
      <c r="N185" s="62"/>
      <c r="O185" s="51"/>
      <c r="P185" s="14"/>
      <c r="Q185" s="15"/>
      <c r="R185" s="15"/>
    </row>
    <row r="186" spans="1:18" s="66" customFormat="1" x14ac:dyDescent="0.25">
      <c r="A186" s="8"/>
      <c r="B186" s="9"/>
      <c r="C186" s="76"/>
      <c r="D186" s="9"/>
      <c r="E186" s="9"/>
      <c r="F186" s="9"/>
      <c r="G186" s="9"/>
      <c r="H186" s="10"/>
      <c r="I186" s="9"/>
      <c r="J186" s="9"/>
      <c r="K186" s="9"/>
      <c r="L186" s="9"/>
      <c r="M186" s="38"/>
      <c r="N186" s="62"/>
      <c r="O186" s="51"/>
      <c r="P186" s="14"/>
      <c r="Q186" s="15"/>
      <c r="R186" s="15"/>
    </row>
    <row r="187" spans="1:18" s="66" customFormat="1" x14ac:dyDescent="0.25">
      <c r="A187" s="8"/>
      <c r="B187" s="9"/>
      <c r="C187" s="76"/>
      <c r="D187" s="9"/>
      <c r="E187" s="9"/>
      <c r="F187" s="9"/>
      <c r="G187" s="9"/>
      <c r="H187" s="10"/>
      <c r="I187" s="9"/>
      <c r="J187" s="9"/>
      <c r="K187" s="9"/>
      <c r="L187" s="9"/>
      <c r="M187" s="38"/>
      <c r="N187" s="62"/>
      <c r="O187" s="51"/>
      <c r="P187" s="14"/>
      <c r="Q187" s="15"/>
      <c r="R187" s="15"/>
    </row>
    <row r="188" spans="1:18" s="66" customFormat="1" x14ac:dyDescent="0.25">
      <c r="A188" s="8"/>
      <c r="B188" s="9"/>
      <c r="C188" s="76"/>
      <c r="D188" s="9"/>
      <c r="E188" s="9"/>
      <c r="F188" s="9"/>
      <c r="G188" s="9"/>
      <c r="H188" s="10"/>
      <c r="I188" s="9"/>
      <c r="J188" s="9"/>
      <c r="K188" s="9"/>
      <c r="L188" s="9"/>
      <c r="M188" s="38"/>
      <c r="N188" s="62"/>
      <c r="O188" s="51"/>
      <c r="P188" s="14"/>
      <c r="Q188" s="15"/>
      <c r="R188" s="15"/>
    </row>
    <row r="189" spans="1:18" s="66" customFormat="1" x14ac:dyDescent="0.25">
      <c r="A189" s="8"/>
      <c r="B189" s="9"/>
      <c r="C189" s="76"/>
      <c r="D189" s="9"/>
      <c r="E189" s="9"/>
      <c r="F189" s="9"/>
      <c r="G189" s="9"/>
      <c r="H189" s="10"/>
      <c r="I189" s="9"/>
      <c r="J189" s="9"/>
      <c r="K189" s="9"/>
      <c r="L189" s="9"/>
      <c r="M189" s="38"/>
      <c r="N189" s="62"/>
      <c r="O189" s="51"/>
      <c r="P189" s="14"/>
      <c r="Q189" s="15"/>
      <c r="R189" s="15"/>
    </row>
    <row r="190" spans="1:18" s="66" customFormat="1" x14ac:dyDescent="0.25">
      <c r="A190" s="8"/>
      <c r="B190" s="9"/>
      <c r="C190" s="76"/>
      <c r="D190" s="9"/>
      <c r="E190" s="9"/>
      <c r="F190" s="9"/>
      <c r="G190" s="9"/>
      <c r="H190" s="10"/>
      <c r="I190" s="9"/>
      <c r="J190" s="9"/>
      <c r="K190" s="9"/>
      <c r="L190" s="9"/>
      <c r="M190" s="38"/>
      <c r="N190" s="62"/>
      <c r="O190" s="51"/>
      <c r="P190" s="14"/>
      <c r="Q190" s="15"/>
      <c r="R190" s="15"/>
    </row>
    <row r="191" spans="1:18" s="66" customFormat="1" x14ac:dyDescent="0.25">
      <c r="A191" s="8"/>
      <c r="B191" s="9"/>
      <c r="C191" s="76"/>
      <c r="D191" s="9"/>
      <c r="E191" s="9"/>
      <c r="F191" s="9"/>
      <c r="G191" s="9"/>
      <c r="H191" s="10"/>
      <c r="I191" s="9"/>
      <c r="J191" s="9"/>
      <c r="K191" s="9"/>
      <c r="L191" s="9"/>
      <c r="M191" s="38"/>
      <c r="N191" s="62"/>
      <c r="O191" s="51"/>
      <c r="P191" s="14"/>
      <c r="Q191" s="15"/>
      <c r="R191" s="15"/>
    </row>
    <row r="192" spans="1:18" s="66" customFormat="1" x14ac:dyDescent="0.25">
      <c r="A192" s="8"/>
      <c r="B192" s="9"/>
      <c r="C192" s="76"/>
      <c r="D192" s="9"/>
      <c r="E192" s="9"/>
      <c r="F192" s="9"/>
      <c r="G192" s="9"/>
      <c r="H192" s="10"/>
      <c r="I192" s="9"/>
      <c r="J192" s="9"/>
      <c r="K192" s="9"/>
      <c r="L192" s="9"/>
      <c r="M192" s="38"/>
      <c r="N192" s="62"/>
      <c r="O192" s="51"/>
      <c r="P192" s="14"/>
      <c r="Q192" s="15"/>
      <c r="R192" s="15"/>
    </row>
    <row r="193" spans="1:18" s="66" customFormat="1" x14ac:dyDescent="0.25">
      <c r="A193" s="8"/>
      <c r="B193" s="9"/>
      <c r="C193" s="76"/>
      <c r="D193" s="9"/>
      <c r="E193" s="9"/>
      <c r="F193" s="9"/>
      <c r="G193" s="9"/>
      <c r="H193" s="10"/>
      <c r="I193" s="9"/>
      <c r="J193" s="9"/>
      <c r="K193" s="9"/>
      <c r="L193" s="9"/>
      <c r="M193" s="38"/>
      <c r="N193" s="62"/>
      <c r="O193" s="51"/>
      <c r="P193" s="14"/>
      <c r="Q193" s="15"/>
      <c r="R193" s="15"/>
    </row>
    <row r="194" spans="1:18" s="66" customFormat="1" x14ac:dyDescent="0.25">
      <c r="A194" s="8"/>
      <c r="B194" s="9"/>
      <c r="C194" s="76"/>
      <c r="D194" s="9"/>
      <c r="E194" s="9"/>
      <c r="F194" s="9"/>
      <c r="G194" s="9"/>
      <c r="H194" s="10"/>
      <c r="I194" s="9"/>
      <c r="J194" s="9"/>
      <c r="K194" s="9"/>
      <c r="L194" s="9"/>
      <c r="M194" s="38"/>
      <c r="N194" s="62"/>
      <c r="O194" s="51"/>
      <c r="P194" s="14"/>
      <c r="Q194" s="15"/>
      <c r="R194" s="15"/>
    </row>
    <row r="195" spans="1:18" s="66" customFormat="1" x14ac:dyDescent="0.25">
      <c r="A195" s="8"/>
      <c r="B195" s="9"/>
      <c r="C195" s="76"/>
      <c r="D195" s="9"/>
      <c r="E195" s="9"/>
      <c r="F195" s="9"/>
      <c r="G195" s="9"/>
      <c r="H195" s="10"/>
      <c r="I195" s="9"/>
      <c r="J195" s="9"/>
      <c r="K195" s="9"/>
      <c r="L195" s="9"/>
      <c r="M195" s="38"/>
      <c r="N195" s="62"/>
      <c r="O195" s="51"/>
      <c r="P195" s="14"/>
      <c r="Q195" s="15"/>
      <c r="R195" s="15"/>
    </row>
    <row r="196" spans="1:18" s="66" customFormat="1" x14ac:dyDescent="0.25">
      <c r="A196" s="8"/>
      <c r="B196" s="9"/>
      <c r="C196" s="76"/>
      <c r="D196" s="9"/>
      <c r="E196" s="9"/>
      <c r="F196" s="9"/>
      <c r="G196" s="9"/>
      <c r="H196" s="10"/>
      <c r="I196" s="9"/>
      <c r="J196" s="9"/>
      <c r="K196" s="9"/>
      <c r="L196" s="9"/>
      <c r="M196" s="38"/>
      <c r="N196" s="62"/>
      <c r="O196" s="51"/>
      <c r="P196" s="14"/>
      <c r="Q196" s="15"/>
      <c r="R196" s="15"/>
    </row>
    <row r="197" spans="1:18" s="66" customFormat="1" x14ac:dyDescent="0.25">
      <c r="A197" s="8"/>
      <c r="B197" s="9"/>
      <c r="C197" s="76"/>
      <c r="D197" s="9"/>
      <c r="E197" s="9"/>
      <c r="F197" s="9"/>
      <c r="G197" s="9"/>
      <c r="H197" s="10"/>
      <c r="I197" s="9"/>
      <c r="J197" s="9"/>
      <c r="K197" s="9"/>
      <c r="L197" s="9"/>
      <c r="M197" s="38"/>
      <c r="N197" s="62"/>
      <c r="O197" s="51"/>
      <c r="P197" s="14"/>
      <c r="Q197" s="15"/>
      <c r="R197" s="15"/>
    </row>
    <row r="198" spans="1:18" s="66" customFormat="1" x14ac:dyDescent="0.25">
      <c r="A198" s="8"/>
      <c r="B198" s="9"/>
      <c r="C198" s="76"/>
      <c r="D198" s="9"/>
      <c r="E198" s="9"/>
      <c r="F198" s="9"/>
      <c r="G198" s="9"/>
      <c r="H198" s="10"/>
      <c r="I198" s="9"/>
      <c r="J198" s="9"/>
      <c r="K198" s="9"/>
      <c r="L198" s="9"/>
      <c r="M198" s="38"/>
      <c r="N198" s="62"/>
      <c r="O198" s="51"/>
      <c r="P198" s="14"/>
      <c r="Q198" s="15"/>
      <c r="R198" s="15"/>
    </row>
    <row r="199" spans="1:18" s="66" customFormat="1" x14ac:dyDescent="0.25">
      <c r="A199" s="8"/>
      <c r="B199" s="9"/>
      <c r="C199" s="76"/>
      <c r="D199" s="9"/>
      <c r="E199" s="9"/>
      <c r="F199" s="9"/>
      <c r="G199" s="9"/>
      <c r="H199" s="10"/>
      <c r="I199" s="9"/>
      <c r="J199" s="9"/>
      <c r="K199" s="9"/>
      <c r="L199" s="9"/>
      <c r="M199" s="38"/>
      <c r="N199" s="62"/>
      <c r="O199" s="51"/>
      <c r="P199" s="14"/>
      <c r="Q199" s="15"/>
      <c r="R199" s="15"/>
    </row>
    <row r="200" spans="1:18" s="66" customFormat="1" x14ac:dyDescent="0.25">
      <c r="A200" s="8"/>
      <c r="B200" s="9"/>
      <c r="C200" s="76"/>
      <c r="D200" s="9"/>
      <c r="E200" s="9"/>
      <c r="F200" s="9"/>
      <c r="G200" s="9"/>
      <c r="H200" s="10"/>
      <c r="I200" s="9"/>
      <c r="J200" s="9"/>
      <c r="K200" s="9"/>
      <c r="L200" s="9"/>
      <c r="M200" s="38"/>
      <c r="N200" s="62"/>
      <c r="O200" s="51"/>
      <c r="P200" s="14"/>
      <c r="Q200" s="15"/>
      <c r="R200" s="15"/>
    </row>
    <row r="201" spans="1:18" s="66" customFormat="1" x14ac:dyDescent="0.25">
      <c r="A201" s="8"/>
      <c r="B201" s="9"/>
      <c r="C201" s="76"/>
      <c r="D201" s="9"/>
      <c r="E201" s="9"/>
      <c r="F201" s="9"/>
      <c r="G201" s="9"/>
      <c r="H201" s="10"/>
      <c r="I201" s="9"/>
      <c r="J201" s="9"/>
      <c r="K201" s="9"/>
      <c r="L201" s="9"/>
      <c r="M201" s="38"/>
      <c r="N201" s="62"/>
      <c r="O201" s="51"/>
      <c r="P201" s="14"/>
      <c r="Q201" s="15"/>
      <c r="R201" s="15"/>
    </row>
    <row r="202" spans="1:18" s="66" customFormat="1" x14ac:dyDescent="0.25">
      <c r="A202" s="8"/>
      <c r="B202" s="9"/>
      <c r="C202" s="76"/>
      <c r="D202" s="9"/>
      <c r="E202" s="9"/>
      <c r="F202" s="9"/>
      <c r="G202" s="9"/>
      <c r="H202" s="10"/>
      <c r="I202" s="9"/>
      <c r="J202" s="9"/>
      <c r="K202" s="9"/>
      <c r="L202" s="9"/>
      <c r="M202" s="38"/>
      <c r="N202" s="62"/>
      <c r="O202" s="51"/>
      <c r="P202" s="14"/>
      <c r="Q202" s="15"/>
      <c r="R202" s="15"/>
    </row>
    <row r="203" spans="1:18" s="66" customFormat="1" x14ac:dyDescent="0.25">
      <c r="A203" s="8"/>
      <c r="B203" s="9"/>
      <c r="C203" s="76"/>
      <c r="D203" s="9"/>
      <c r="E203" s="9"/>
      <c r="F203" s="9"/>
      <c r="G203" s="9"/>
      <c r="H203" s="10"/>
      <c r="I203" s="9"/>
      <c r="J203" s="9"/>
      <c r="K203" s="9"/>
      <c r="L203" s="9"/>
      <c r="M203" s="38"/>
      <c r="N203" s="62"/>
      <c r="O203" s="51"/>
      <c r="P203" s="14"/>
      <c r="Q203" s="15"/>
      <c r="R203" s="15"/>
    </row>
    <row r="204" spans="1:18" s="66" customFormat="1" x14ac:dyDescent="0.25">
      <c r="A204" s="8"/>
      <c r="B204" s="9"/>
      <c r="C204" s="76"/>
      <c r="D204" s="9"/>
      <c r="E204" s="9"/>
      <c r="F204" s="9"/>
      <c r="G204" s="9"/>
      <c r="H204" s="10"/>
      <c r="I204" s="9"/>
      <c r="J204" s="9"/>
      <c r="K204" s="9"/>
      <c r="L204" s="9"/>
      <c r="M204" s="38"/>
      <c r="N204" s="62"/>
      <c r="O204" s="51"/>
      <c r="P204" s="14"/>
      <c r="Q204" s="15"/>
      <c r="R204" s="15"/>
    </row>
    <row r="205" spans="1:18" s="66" customFormat="1" x14ac:dyDescent="0.25">
      <c r="A205" s="8"/>
      <c r="B205" s="9"/>
      <c r="C205" s="76"/>
      <c r="D205" s="9"/>
      <c r="E205" s="9"/>
      <c r="F205" s="9"/>
      <c r="G205" s="9"/>
      <c r="H205" s="10"/>
      <c r="I205" s="9"/>
      <c r="J205" s="9"/>
      <c r="K205" s="9"/>
      <c r="L205" s="9"/>
      <c r="M205" s="38"/>
      <c r="N205" s="62"/>
      <c r="O205" s="51"/>
      <c r="P205" s="14"/>
      <c r="Q205" s="15"/>
      <c r="R205" s="15"/>
    </row>
    <row r="206" spans="1:18" s="66" customFormat="1" x14ac:dyDescent="0.25">
      <c r="A206" s="8"/>
      <c r="B206" s="9"/>
      <c r="C206" s="76"/>
      <c r="D206" s="9"/>
      <c r="E206" s="9"/>
      <c r="F206" s="9"/>
      <c r="G206" s="9"/>
      <c r="H206" s="10"/>
      <c r="I206" s="9"/>
      <c r="J206" s="9"/>
      <c r="K206" s="9"/>
      <c r="L206" s="9"/>
      <c r="M206" s="38"/>
      <c r="N206" s="62"/>
      <c r="O206" s="51"/>
      <c r="P206" s="14"/>
      <c r="Q206" s="15"/>
      <c r="R206" s="15"/>
    </row>
    <row r="207" spans="1:18" s="66" customFormat="1" x14ac:dyDescent="0.25">
      <c r="A207" s="8"/>
      <c r="B207" s="9"/>
      <c r="C207" s="76"/>
      <c r="D207" s="9"/>
      <c r="E207" s="9"/>
      <c r="F207" s="9"/>
      <c r="G207" s="9"/>
      <c r="H207" s="10"/>
      <c r="I207" s="9"/>
      <c r="J207" s="9"/>
      <c r="K207" s="9"/>
      <c r="L207" s="9"/>
      <c r="M207" s="38"/>
      <c r="N207" s="62"/>
      <c r="O207" s="51"/>
      <c r="P207" s="14"/>
      <c r="Q207" s="15"/>
      <c r="R207" s="15"/>
    </row>
    <row r="208" spans="1:18" s="66" customFormat="1" x14ac:dyDescent="0.25">
      <c r="A208" s="8"/>
      <c r="B208" s="9"/>
      <c r="C208" s="76"/>
      <c r="D208" s="9"/>
      <c r="E208" s="9"/>
      <c r="F208" s="9"/>
      <c r="G208" s="9"/>
      <c r="H208" s="10"/>
      <c r="I208" s="9"/>
      <c r="J208" s="9"/>
      <c r="K208" s="9"/>
      <c r="L208" s="9"/>
      <c r="M208" s="38"/>
      <c r="N208" s="62"/>
      <c r="O208" s="51"/>
      <c r="P208" s="14"/>
      <c r="Q208" s="15"/>
      <c r="R208" s="15"/>
    </row>
    <row r="209" spans="1:18" s="66" customFormat="1" x14ac:dyDescent="0.25">
      <c r="A209" s="8"/>
      <c r="B209" s="9"/>
      <c r="C209" s="76"/>
      <c r="D209" s="9"/>
      <c r="E209" s="9"/>
      <c r="F209" s="9"/>
      <c r="G209" s="9"/>
      <c r="H209" s="10"/>
      <c r="I209" s="9"/>
      <c r="J209" s="9"/>
      <c r="K209" s="9"/>
      <c r="L209" s="9"/>
      <c r="M209" s="38"/>
      <c r="N209" s="62"/>
      <c r="O209" s="51"/>
      <c r="P209" s="14"/>
      <c r="Q209" s="15"/>
      <c r="R209" s="15"/>
    </row>
    <row r="210" spans="1:18" s="66" customFormat="1" x14ac:dyDescent="0.25">
      <c r="A210" s="8"/>
      <c r="B210" s="9"/>
      <c r="C210" s="76"/>
      <c r="D210" s="9"/>
      <c r="E210" s="9"/>
      <c r="F210" s="9"/>
      <c r="G210" s="9"/>
      <c r="H210" s="10"/>
      <c r="I210" s="9"/>
      <c r="J210" s="9"/>
      <c r="K210" s="9"/>
      <c r="L210" s="9"/>
      <c r="M210" s="38"/>
      <c r="N210" s="62"/>
      <c r="O210" s="51"/>
      <c r="P210" s="14"/>
      <c r="Q210" s="15"/>
      <c r="R210" s="15"/>
    </row>
    <row r="211" spans="1:18" s="66" customFormat="1" x14ac:dyDescent="0.25">
      <c r="A211" s="8"/>
      <c r="B211" s="9"/>
      <c r="C211" s="76"/>
      <c r="D211" s="9"/>
      <c r="E211" s="9"/>
      <c r="F211" s="9"/>
      <c r="G211" s="9"/>
      <c r="H211" s="10"/>
      <c r="I211" s="9"/>
      <c r="J211" s="9"/>
      <c r="K211" s="9"/>
      <c r="L211" s="9"/>
      <c r="M211" s="38"/>
      <c r="N211" s="62"/>
      <c r="O211" s="51"/>
      <c r="P211" s="14"/>
      <c r="Q211" s="15"/>
      <c r="R211" s="15"/>
    </row>
    <row r="212" spans="1:18" s="66" customFormat="1" x14ac:dyDescent="0.25">
      <c r="A212" s="8"/>
      <c r="B212" s="9"/>
      <c r="C212" s="76"/>
      <c r="D212" s="9"/>
      <c r="E212" s="9"/>
      <c r="F212" s="9"/>
      <c r="G212" s="9"/>
      <c r="H212" s="10"/>
      <c r="I212" s="9"/>
      <c r="J212" s="9"/>
      <c r="K212" s="9"/>
      <c r="L212" s="9"/>
      <c r="M212" s="38"/>
      <c r="N212" s="62"/>
      <c r="O212" s="51"/>
      <c r="P212" s="14"/>
      <c r="Q212" s="15"/>
      <c r="R212" s="15"/>
    </row>
    <row r="213" spans="1:18" s="66" customFormat="1" x14ac:dyDescent="0.25">
      <c r="A213" s="8"/>
      <c r="B213" s="9"/>
      <c r="C213" s="76"/>
      <c r="D213" s="9"/>
      <c r="E213" s="9"/>
      <c r="F213" s="9"/>
      <c r="G213" s="9"/>
      <c r="H213" s="10"/>
      <c r="I213" s="9"/>
      <c r="J213" s="9"/>
      <c r="K213" s="9"/>
      <c r="L213" s="9"/>
      <c r="M213" s="38"/>
      <c r="N213" s="62"/>
      <c r="O213" s="51"/>
      <c r="P213" s="14"/>
      <c r="Q213" s="15"/>
      <c r="R213" s="15"/>
    </row>
    <row r="214" spans="1:18" s="66" customFormat="1" x14ac:dyDescent="0.25">
      <c r="A214" s="8"/>
      <c r="B214" s="9"/>
      <c r="C214" s="76"/>
      <c r="D214" s="9"/>
      <c r="E214" s="9"/>
      <c r="F214" s="9"/>
      <c r="G214" s="9"/>
      <c r="H214" s="10"/>
      <c r="I214" s="9"/>
      <c r="J214" s="9"/>
      <c r="K214" s="9"/>
      <c r="L214" s="9"/>
      <c r="M214" s="38"/>
      <c r="N214" s="62"/>
      <c r="O214" s="51"/>
      <c r="P214" s="14"/>
      <c r="Q214" s="15"/>
      <c r="R214" s="15"/>
    </row>
    <row r="215" spans="1:18" s="66" customFormat="1" x14ac:dyDescent="0.25">
      <c r="A215" s="8"/>
      <c r="B215" s="9"/>
      <c r="C215" s="76"/>
      <c r="D215" s="9"/>
      <c r="E215" s="9"/>
      <c r="F215" s="9"/>
      <c r="G215" s="9"/>
      <c r="H215" s="10"/>
      <c r="I215" s="9"/>
      <c r="J215" s="9"/>
      <c r="K215" s="9"/>
      <c r="L215" s="9"/>
      <c r="M215" s="38"/>
      <c r="N215" s="62"/>
      <c r="O215" s="51"/>
      <c r="P215" s="14"/>
      <c r="Q215" s="15"/>
      <c r="R215" s="15"/>
    </row>
    <row r="216" spans="1:18" s="66" customFormat="1" x14ac:dyDescent="0.25">
      <c r="A216" s="8"/>
      <c r="B216" s="9"/>
      <c r="C216" s="76"/>
      <c r="D216" s="9"/>
      <c r="E216" s="9"/>
      <c r="F216" s="9"/>
      <c r="G216" s="9"/>
      <c r="H216" s="10"/>
      <c r="I216" s="9"/>
      <c r="J216" s="9"/>
      <c r="K216" s="9"/>
      <c r="L216" s="9"/>
      <c r="M216" s="38"/>
      <c r="N216" s="62"/>
      <c r="O216" s="51"/>
      <c r="P216" s="14"/>
      <c r="Q216" s="15"/>
      <c r="R216" s="15"/>
    </row>
    <row r="217" spans="1:18" s="66" customFormat="1" x14ac:dyDescent="0.25">
      <c r="A217" s="8"/>
      <c r="B217" s="9"/>
      <c r="C217" s="76"/>
      <c r="D217" s="9"/>
      <c r="E217" s="9"/>
      <c r="F217" s="9"/>
      <c r="G217" s="9"/>
      <c r="H217" s="10"/>
      <c r="I217" s="9"/>
      <c r="J217" s="9"/>
      <c r="K217" s="9"/>
      <c r="L217" s="9"/>
      <c r="M217" s="38"/>
      <c r="N217" s="62"/>
      <c r="O217" s="51"/>
      <c r="P217" s="14"/>
      <c r="Q217" s="15"/>
      <c r="R217" s="15"/>
    </row>
    <row r="218" spans="1:18" s="66" customFormat="1" x14ac:dyDescent="0.25">
      <c r="A218" s="8"/>
      <c r="B218" s="9"/>
      <c r="C218" s="76"/>
      <c r="D218" s="9"/>
      <c r="E218" s="9"/>
      <c r="F218" s="9"/>
      <c r="G218" s="9"/>
      <c r="H218" s="10"/>
      <c r="I218" s="9"/>
      <c r="J218" s="9"/>
      <c r="K218" s="9"/>
      <c r="L218" s="9"/>
      <c r="M218" s="38"/>
      <c r="N218" s="62"/>
      <c r="O218" s="51"/>
      <c r="P218" s="14"/>
      <c r="Q218" s="15"/>
      <c r="R218" s="15"/>
    </row>
    <row r="219" spans="1:18" s="66" customFormat="1" x14ac:dyDescent="0.25">
      <c r="A219" s="8"/>
      <c r="B219" s="9"/>
      <c r="C219" s="76"/>
      <c r="D219" s="9"/>
      <c r="E219" s="9"/>
      <c r="F219" s="9"/>
      <c r="G219" s="9"/>
      <c r="H219" s="10"/>
      <c r="I219" s="9"/>
      <c r="J219" s="9"/>
      <c r="K219" s="9"/>
      <c r="L219" s="9"/>
      <c r="M219" s="38"/>
      <c r="N219" s="62"/>
      <c r="O219" s="51"/>
      <c r="P219" s="14"/>
      <c r="Q219" s="15"/>
      <c r="R219" s="15"/>
    </row>
    <row r="220" spans="1:18" s="66" customFormat="1" x14ac:dyDescent="0.25">
      <c r="A220" s="8"/>
      <c r="B220" s="9"/>
      <c r="C220" s="76"/>
      <c r="D220" s="9"/>
      <c r="E220" s="9"/>
      <c r="F220" s="9"/>
      <c r="G220" s="9"/>
      <c r="H220" s="10"/>
      <c r="I220" s="9"/>
      <c r="J220" s="9"/>
      <c r="K220" s="9"/>
      <c r="L220" s="9"/>
      <c r="M220" s="38"/>
      <c r="N220" s="62"/>
      <c r="O220" s="51"/>
      <c r="P220" s="14"/>
      <c r="Q220" s="15"/>
      <c r="R220" s="15"/>
    </row>
  </sheetData>
  <sortState xmlns:xlrd2="http://schemas.microsoft.com/office/spreadsheetml/2017/richdata2" ref="A3:L109">
    <sortCondition ref="C3:C109"/>
  </sortState>
  <pageMargins left="0.78740157499999996" right="0.78740157499999996" top="0.984251969" bottom="0.984251969" header="0.5" footer="0.5"/>
  <pageSetup scale="71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2022-23-Langlois tri</vt:lpstr>
      <vt:lpstr>2022-23-Langlois tri par groupe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Langlois</dc:creator>
  <cp:lastModifiedBy>nathalie</cp:lastModifiedBy>
  <dcterms:created xsi:type="dcterms:W3CDTF">2023-03-01T19:58:20Z</dcterms:created>
  <dcterms:modified xsi:type="dcterms:W3CDTF">2023-10-16T18:35:52Z</dcterms:modified>
</cp:coreProperties>
</file>