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xhamel/Desktop/GO DENTISTE/FINANCEMENT DICK/A ENVOYER /PLAN D'AFFAIRE /"/>
    </mc:Choice>
  </mc:AlternateContent>
  <xr:revisionPtr revIDLastSave="0" documentId="13_ncr:1_{6622E764-2EDF-A149-A871-2D293F825A7F}" xr6:coauthVersionLast="47" xr6:coauthVersionMax="47" xr10:uidLastSave="{00000000-0000-0000-0000-000000000000}"/>
  <bookViews>
    <workbookView xWindow="4540" yWindow="500" windowWidth="29040" windowHeight="19840" xr2:uid="{B71BEC79-5CCA-7942-A5DD-458EEABAFA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F24" i="1" l="1"/>
  <c r="G24" i="1" s="1"/>
  <c r="F6" i="1" a="1"/>
  <c r="F6" i="1" s="1"/>
  <c r="I6" i="1" s="1" a="1"/>
  <c r="I6" i="1" s="1"/>
  <c r="B6" i="1" s="1"/>
  <c r="H24" i="1" l="1"/>
  <c r="I24" i="1" s="1"/>
  <c r="F11" i="1" l="1"/>
  <c r="H11" i="1" s="1"/>
  <c r="F25" i="1" l="1"/>
  <c r="G25" i="1" s="1"/>
  <c r="G11" i="1"/>
  <c r="I11" i="1" s="1"/>
  <c r="F5" i="1"/>
  <c r="H25" i="1" l="1"/>
  <c r="I25" i="1" s="1"/>
  <c r="F15" i="1"/>
  <c r="I5" i="1"/>
  <c r="F10" i="1"/>
  <c r="F12" i="1" s="1"/>
  <c r="F7" i="1"/>
  <c r="G15" i="1" l="1"/>
  <c r="H15" i="1"/>
  <c r="I15" i="1" l="1"/>
  <c r="F21" i="1"/>
  <c r="F20" i="1"/>
  <c r="F19" i="1"/>
  <c r="F18" i="1"/>
  <c r="F14" i="1"/>
  <c r="H14" i="1" s="1"/>
  <c r="H10" i="1"/>
  <c r="G10" i="1"/>
  <c r="F4" i="1"/>
  <c r="I10" i="1" l="1"/>
  <c r="I21" i="1"/>
  <c r="I18" i="1"/>
  <c r="I19" i="1"/>
  <c r="I20" i="1"/>
  <c r="F8" i="1"/>
  <c r="G12" i="1"/>
  <c r="F16" i="1"/>
  <c r="H12" i="1"/>
  <c r="F22" i="1"/>
  <c r="I4" i="1"/>
  <c r="G14" i="1"/>
  <c r="I14" i="1" s="1"/>
  <c r="I12" i="1" l="1"/>
  <c r="I7" i="1"/>
  <c r="E26" i="1"/>
  <c r="H16" i="1"/>
  <c r="G16" i="1"/>
  <c r="I16" i="1" l="1"/>
  <c r="I22" i="1"/>
  <c r="I8" i="1"/>
  <c r="H26" i="1" l="1"/>
  <c r="J12" i="1" s="1"/>
  <c r="J22" i="1" l="1"/>
  <c r="J25" i="1"/>
  <c r="J16" i="1"/>
  <c r="J8" i="1"/>
  <c r="I2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<sst xmlns="http://schemas.openxmlformats.org/spreadsheetml/2006/main" count="35" uniqueCount="30">
  <si>
    <t>Types de dépenses</t>
  </si>
  <si>
    <t>Quantité</t>
  </si>
  <si>
    <t xml:space="preserve">Prix untitaire </t>
  </si>
  <si>
    <t xml:space="preserve">Budget prévisionnel </t>
  </si>
  <si>
    <t>TPS</t>
  </si>
  <si>
    <t>TVQ</t>
  </si>
  <si>
    <t>Avec taxe</t>
  </si>
  <si>
    <t>%</t>
  </si>
  <si>
    <t>Bâtiment</t>
  </si>
  <si>
    <t xml:space="preserve">Achat du bâtiment </t>
  </si>
  <si>
    <t>SOUS-TOTAL</t>
  </si>
  <si>
    <t>Ensemble de fournitures pour 4 salles</t>
  </si>
  <si>
    <t>Marketing</t>
  </si>
  <si>
    <t>TOTAL</t>
  </si>
  <si>
    <t>Renovation base building</t>
  </si>
  <si>
    <t>Équipements dentaires et TI</t>
  </si>
  <si>
    <t xml:space="preserve">Mobilier  </t>
  </si>
  <si>
    <t>TI</t>
  </si>
  <si>
    <t xml:space="preserve">Chaises et equipement </t>
  </si>
  <si>
    <t>Enseigne</t>
  </si>
  <si>
    <t>Envoi postaux</t>
  </si>
  <si>
    <t>Reseau sociaux</t>
  </si>
  <si>
    <t xml:space="preserve">Marchandise </t>
  </si>
  <si>
    <t xml:space="preserve">Fournitures de salle opératoire et mobilier </t>
  </si>
  <si>
    <t xml:space="preserve">Amélioration </t>
  </si>
  <si>
    <t xml:space="preserve">Soft cost </t>
  </si>
  <si>
    <t>GO-DENTISTE HOLDING INC</t>
  </si>
  <si>
    <t xml:space="preserve">HOLDING MKMG INC. </t>
  </si>
  <si>
    <t xml:space="preserve"> </t>
  </si>
  <si>
    <t xml:space="preserve">COMPAGNIE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</si>
</sst>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%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  <xf numFmtId="0" fontId="2" fillId="2" borderId="2" xfId="0" applyFont="1" applyFill="1" applyBorder="1"/>
    <xf numFmtId="0" fontId="0" fillId="2" borderId="2" xfId="0" applyFill="1" applyBorder="1"/>
    <xf numFmtId="44" fontId="0" fillId="2" borderId="2" xfId="1" applyFont="1" applyFill="1" applyBorder="1"/>
    <xf numFmtId="0" fontId="0" fillId="2" borderId="3" xfId="0" applyFill="1" applyBorder="1" applyAlignment="1">
      <alignment horizontal="center"/>
    </xf>
    <xf numFmtId="0" fontId="0" fillId="0" borderId="2" xfId="0" applyBorder="1"/>
    <xf numFmtId="44" fontId="0" fillId="0" borderId="2" xfId="1" applyFont="1" applyBorder="1"/>
    <xf numFmtId="0" fontId="0" fillId="0" borderId="3" xfId="0" applyBorder="1" applyAlignment="1">
      <alignment horizontal="center"/>
    </xf>
    <xf numFmtId="44" fontId="3" fillId="3" borderId="2" xfId="1" applyFont="1" applyFill="1" applyBorder="1" applyAlignment="1">
      <alignment horizontal="right"/>
    </xf>
    <xf numFmtId="44" fontId="3" fillId="3" borderId="2" xfId="1" applyFont="1" applyFill="1" applyBorder="1"/>
    <xf numFmtId="44" fontId="0" fillId="3" borderId="2" xfId="1" applyFont="1" applyFill="1" applyBorder="1"/>
    <xf numFmtId="44" fontId="3" fillId="4" borderId="2" xfId="1" applyFont="1" applyFill="1" applyBorder="1"/>
    <xf numFmtId="9" fontId="3" fillId="4" borderId="2" xfId="2" applyFont="1" applyFill="1" applyBorder="1" applyAlignment="1">
      <alignment horizontal="center"/>
    </xf>
    <xf numFmtId="44" fontId="2" fillId="2" borderId="2" xfId="1" applyFont="1" applyFill="1" applyBorder="1"/>
    <xf numFmtId="0" fontId="2" fillId="2" borderId="2" xfId="1" applyNumberFormat="1" applyFont="1" applyFill="1" applyBorder="1"/>
    <xf numFmtId="0" fontId="0" fillId="2" borderId="2" xfId="0" applyFill="1" applyBorder="1" applyAlignment="1">
      <alignment horizontal="center"/>
    </xf>
    <xf numFmtId="0" fontId="2" fillId="2" borderId="1" xfId="0" applyFont="1" applyFill="1" applyBorder="1"/>
    <xf numFmtId="44" fontId="2" fillId="2" borderId="1" xfId="1" applyFont="1" applyFill="1" applyBorder="1"/>
    <xf numFmtId="0" fontId="2" fillId="2" borderId="1" xfId="1" applyNumberFormat="1" applyFont="1" applyFill="1" applyBorder="1"/>
    <xf numFmtId="0" fontId="0" fillId="0" borderId="4" xfId="0" applyBorder="1"/>
    <xf numFmtId="44" fontId="3" fillId="5" borderId="2" xfId="1" applyFont="1" applyFill="1" applyBorder="1" applyAlignment="1">
      <alignment horizontal="right"/>
    </xf>
    <xf numFmtId="44" fontId="3" fillId="5" borderId="2" xfId="1" applyFont="1" applyFill="1" applyBorder="1"/>
    <xf numFmtId="44" fontId="0" fillId="5" borderId="2" xfId="1" applyFont="1" applyFill="1" applyBorder="1"/>
    <xf numFmtId="44" fontId="3" fillId="6" borderId="2" xfId="1" applyFont="1" applyFill="1" applyBorder="1"/>
    <xf numFmtId="9" fontId="3" fillId="6" borderId="2" xfId="0" applyNumberFormat="1" applyFont="1" applyFill="1" applyBorder="1" applyAlignment="1">
      <alignment horizontal="center"/>
    </xf>
    <xf numFmtId="0" fontId="0" fillId="7" borderId="2" xfId="0" applyFill="1" applyBorder="1"/>
    <xf numFmtId="44" fontId="0" fillId="7" borderId="2" xfId="1" applyFont="1" applyFill="1" applyBorder="1"/>
    <xf numFmtId="0" fontId="0" fillId="0" borderId="2" xfId="0" applyBorder="1" applyAlignment="1">
      <alignment horizontal="center"/>
    </xf>
    <xf numFmtId="44" fontId="0" fillId="0" borderId="1" xfId="0" applyNumberFormat="1" applyBorder="1" applyAlignment="1">
      <alignment horizontal="center" vertical="center"/>
    </xf>
    <xf numFmtId="0" fontId="2" fillId="9" borderId="2" xfId="0" applyFont="1" applyFill="1" applyBorder="1" applyAlignment="1">
      <alignment horizontal="left" vertical="center"/>
    </xf>
    <xf numFmtId="44" fontId="2" fillId="9" borderId="2" xfId="1" applyFont="1" applyFill="1" applyBorder="1" applyAlignment="1">
      <alignment horizontal="left" vertical="center"/>
    </xf>
    <xf numFmtId="9" fontId="2" fillId="9" borderId="2" xfId="1" applyNumberFormat="1" applyFont="1" applyFill="1" applyBorder="1" applyAlignment="1">
      <alignment horizontal="left" vertical="center"/>
    </xf>
    <xf numFmtId="164" fontId="2" fillId="9" borderId="2" xfId="2" applyNumberFormat="1" applyFont="1" applyFill="1" applyBorder="1" applyAlignment="1">
      <alignment horizontal="left" vertical="center"/>
    </xf>
    <xf numFmtId="44" fontId="2" fillId="9" borderId="2" xfId="1" applyFont="1" applyFill="1" applyBorder="1" applyAlignment="1">
      <alignment horizontal="center" vertical="center"/>
    </xf>
    <xf numFmtId="44" fontId="0" fillId="7" borderId="5" xfId="0" applyNumberFormat="1" applyFill="1" applyBorder="1" applyAlignment="1">
      <alignment horizontal="center" vertical="center"/>
    </xf>
    <xf numFmtId="44" fontId="0" fillId="7" borderId="1" xfId="0" applyNumberFormat="1" applyFill="1" applyBorder="1" applyAlignment="1">
      <alignment horizontal="center" vertical="center"/>
    </xf>
    <xf numFmtId="44" fontId="0" fillId="8" borderId="2" xfId="0" applyNumberForma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E7111-134F-0D47-A673-7E20BBFA067C}">
  <dimension ref="A2:J30"/>
  <sheetViews>
    <sheetView tabSelected="1" zoomScale="90" zoomScaleNormal="90" workbookViewId="0">
      <selection activeCell="E34" sqref="E34"/>
    </sheetView>
  </sheetViews>
  <sheetFormatPr baseColWidth="10" defaultRowHeight="16" x14ac:dyDescent="0.2"/>
  <cols>
    <col min="1" max="1" width="12.33203125" bestFit="1" customWidth="1"/>
    <col min="2" max="2" width="15.1640625" bestFit="1" customWidth="1"/>
    <col min="3" max="3" width="38.33203125" bestFit="1" customWidth="1"/>
    <col min="4" max="4" width="20.6640625" style="1" customWidth="1"/>
    <col min="5" max="5" width="33.5" style="1" customWidth="1"/>
    <col min="6" max="6" width="19.83203125" style="1" customWidth="1"/>
    <col min="7" max="7" width="13.5" style="1" customWidth="1"/>
    <col min="8" max="8" width="16.5" style="1" customWidth="1"/>
    <col min="9" max="9" width="15.1640625" style="2" bestFit="1" customWidth="1"/>
    <col min="10" max="10" width="14" bestFit="1" customWidth="1"/>
  </cols>
  <sheetData>
    <row r="2" spans="1:10" x14ac:dyDescent="0.2">
      <c r="A2" s="41" t="s">
        <v>29</v>
      </c>
      <c r="B2" s="39" t="s">
        <v>13</v>
      </c>
      <c r="C2" s="31" t="s">
        <v>0</v>
      </c>
      <c r="D2" s="31" t="s">
        <v>1</v>
      </c>
      <c r="E2" s="32" t="s">
        <v>2</v>
      </c>
      <c r="F2" s="32" t="s">
        <v>3</v>
      </c>
      <c r="G2" s="33" t="s">
        <v>4</v>
      </c>
      <c r="H2" s="34" t="s">
        <v>5</v>
      </c>
      <c r="I2" s="32" t="s">
        <v>6</v>
      </c>
      <c r="J2" s="35" t="s">
        <v>7</v>
      </c>
    </row>
    <row r="3" spans="1:10" x14ac:dyDescent="0.2">
      <c r="A3" s="41"/>
      <c r="B3" s="40"/>
      <c r="C3" s="3" t="s">
        <v>8</v>
      </c>
      <c r="D3" s="4"/>
      <c r="E3" s="5"/>
      <c r="F3" s="5"/>
      <c r="G3" s="5"/>
      <c r="H3" s="5"/>
      <c r="I3" s="5"/>
      <c r="J3" s="6"/>
    </row>
    <row r="4" spans="1:10" x14ac:dyDescent="0.2">
      <c r="A4" s="43" t="s">
        <v>27</v>
      </c>
      <c r="B4" s="36">
        <f>I4+I5</f>
        <v>1646131.25</v>
      </c>
      <c r="C4" s="27" t="s">
        <v>9</v>
      </c>
      <c r="D4" s="27">
        <v>1</v>
      </c>
      <c r="E4" s="28">
        <v>1100000</v>
      </c>
      <c r="F4" s="28">
        <f>D4*E4</f>
        <v>1100000</v>
      </c>
      <c r="G4" s="28"/>
      <c r="H4" s="28"/>
      <c r="I4" s="28">
        <f>SUM(F4:H4)</f>
        <v>1100000</v>
      </c>
      <c r="J4" s="27"/>
    </row>
    <row r="5" spans="1:10" x14ac:dyDescent="0.2">
      <c r="A5" s="43"/>
      <c r="B5" s="37"/>
      <c r="C5" s="27" t="s">
        <v>14</v>
      </c>
      <c r="D5" s="27">
        <v>1</v>
      </c>
      <c r="E5" s="28">
        <v>546131.25</v>
      </c>
      <c r="F5" s="28">
        <f>D5*E5</f>
        <v>546131.25</v>
      </c>
      <c r="G5" s="28"/>
      <c r="H5" s="28"/>
      <c r="I5" s="28">
        <f>SUM(F5:H5)</f>
        <v>546131.25</v>
      </c>
      <c r="J5" s="27"/>
    </row>
    <row r="6" spans="1:10" x14ac:dyDescent="0.2">
      <c r="A6" s="42" t="s">
        <v>26</v>
      </c>
      <c r="B6" s="38">
        <f>I6+I7+I12+I16+I22</f>
        <v>1415203.6235</v>
      </c>
      <c r="C6" s="7" t="s">
        <v>25</v>
      </c>
      <c r="D6" s="7">
        <v>1</v>
      </c>
      <c r="E6" s="8">
        <v>63742</v>
      </c>
      <c r="F6" s="8" cm="1">
        <f t="array" ref="F6">E6:E6*D6:D6</f>
        <v>63742</v>
      </c>
      <c r="G6" s="8"/>
      <c r="H6" s="8"/>
      <c r="I6" s="8" cm="1">
        <f t="array" ref="I6">F6:F6</f>
        <v>63742</v>
      </c>
      <c r="J6" s="7"/>
    </row>
    <row r="7" spans="1:10" ht="14" customHeight="1" x14ac:dyDescent="0.2">
      <c r="A7" s="42"/>
      <c r="B7" s="38"/>
      <c r="C7" s="7" t="s">
        <v>24</v>
      </c>
      <c r="D7" s="7">
        <v>1</v>
      </c>
      <c r="E7" s="8">
        <v>439204</v>
      </c>
      <c r="F7" s="8">
        <f>D7*E7</f>
        <v>439204</v>
      </c>
      <c r="G7" s="8"/>
      <c r="H7" s="8"/>
      <c r="I7" s="8">
        <f t="shared" ref="I7:I25" si="0">SUM(F7:H7)</f>
        <v>439204</v>
      </c>
      <c r="J7" s="9"/>
    </row>
    <row r="8" spans="1:10" x14ac:dyDescent="0.2">
      <c r="A8" s="42"/>
      <c r="B8" s="38"/>
      <c r="C8" s="7"/>
      <c r="D8" s="7"/>
      <c r="E8" s="10" t="s">
        <v>10</v>
      </c>
      <c r="F8" s="11">
        <f>SUM(F4:F7)</f>
        <v>2149077.25</v>
      </c>
      <c r="G8" s="12"/>
      <c r="H8" s="12"/>
      <c r="I8" s="13">
        <f t="shared" si="0"/>
        <v>2149077.25</v>
      </c>
      <c r="J8" s="14">
        <f>I8/H26</f>
        <v>0.7020065882380836</v>
      </c>
    </row>
    <row r="9" spans="1:10" x14ac:dyDescent="0.2">
      <c r="A9" s="42"/>
      <c r="B9" s="38"/>
      <c r="C9" s="3" t="s">
        <v>23</v>
      </c>
      <c r="D9" s="3"/>
      <c r="E9" s="15"/>
      <c r="F9" s="15"/>
      <c r="G9" s="16"/>
      <c r="H9" s="16"/>
      <c r="I9" s="16"/>
      <c r="J9" s="17"/>
    </row>
    <row r="10" spans="1:10" x14ac:dyDescent="0.2">
      <c r="A10" s="42"/>
      <c r="B10" s="38"/>
      <c r="C10" s="7" t="s">
        <v>11</v>
      </c>
      <c r="D10" s="7">
        <v>1</v>
      </c>
      <c r="E10" s="8">
        <v>50000</v>
      </c>
      <c r="F10" s="8">
        <f>E10*D10</f>
        <v>50000</v>
      </c>
      <c r="G10" s="8">
        <f>F10*5%</f>
        <v>2500</v>
      </c>
      <c r="H10" s="8">
        <f>F10*9.975%</f>
        <v>4987.5</v>
      </c>
      <c r="I10" s="8">
        <f>F10+G10+H10</f>
        <v>57487.5</v>
      </c>
      <c r="J10" s="29"/>
    </row>
    <row r="11" spans="1:10" x14ac:dyDescent="0.2">
      <c r="A11" s="42"/>
      <c r="B11" s="38"/>
      <c r="C11" s="7" t="s">
        <v>16</v>
      </c>
      <c r="D11" s="7">
        <v>1</v>
      </c>
      <c r="E11" s="8">
        <v>50289</v>
      </c>
      <c r="F11" s="8">
        <f>D11*E11</f>
        <v>50289</v>
      </c>
      <c r="G11" s="8">
        <f t="shared" ref="G11" si="1">F11*5%</f>
        <v>2514.4500000000003</v>
      </c>
      <c r="H11" s="8">
        <f t="shared" ref="H11" si="2">F11*9.975%</f>
        <v>5016.3277499999995</v>
      </c>
      <c r="I11" s="8">
        <f t="shared" ref="I11" si="3">SUM(F11:H11)</f>
        <v>57819.777749999994</v>
      </c>
      <c r="J11" s="29"/>
    </row>
    <row r="12" spans="1:10" x14ac:dyDescent="0.2">
      <c r="A12" s="42"/>
      <c r="B12" s="38"/>
      <c r="C12" s="7"/>
      <c r="D12" s="7"/>
      <c r="E12" s="10" t="s">
        <v>10</v>
      </c>
      <c r="F12" s="11">
        <f>SUM(F10:F11)</f>
        <v>100289</v>
      </c>
      <c r="G12" s="12">
        <f>F12*5%</f>
        <v>5014.4500000000007</v>
      </c>
      <c r="H12" s="12">
        <f>F12*9.975%</f>
        <v>10003.827749999999</v>
      </c>
      <c r="I12" s="13">
        <f>SUM(F12:H12)</f>
        <v>115307.27774999999</v>
      </c>
      <c r="J12" s="14">
        <f>I12/H26</f>
        <v>3.7665685890211055E-2</v>
      </c>
    </row>
    <row r="13" spans="1:10" x14ac:dyDescent="0.2">
      <c r="A13" s="42"/>
      <c r="B13" s="38"/>
      <c r="C13" s="18" t="s">
        <v>15</v>
      </c>
      <c r="D13" s="18"/>
      <c r="E13" s="19"/>
      <c r="F13" s="19"/>
      <c r="G13" s="20"/>
      <c r="H13" s="20"/>
      <c r="I13" s="20"/>
      <c r="J13" s="17"/>
    </row>
    <row r="14" spans="1:10" x14ac:dyDescent="0.2">
      <c r="A14" s="42"/>
      <c r="B14" s="38"/>
      <c r="C14" s="7" t="s">
        <v>18</v>
      </c>
      <c r="D14" s="7">
        <v>1</v>
      </c>
      <c r="E14" s="8">
        <v>563917</v>
      </c>
      <c r="F14" s="8">
        <f>D14*E14</f>
        <v>563917</v>
      </c>
      <c r="G14" s="8">
        <f t="shared" ref="G14:G25" si="4">F14*5%</f>
        <v>28195.850000000002</v>
      </c>
      <c r="H14" s="8">
        <f t="shared" ref="H14:H25" si="5">F14*9.975%</f>
        <v>56250.720749999993</v>
      </c>
      <c r="I14" s="8">
        <f t="shared" si="0"/>
        <v>648363.57074999996</v>
      </c>
      <c r="J14" s="29"/>
    </row>
    <row r="15" spans="1:10" x14ac:dyDescent="0.2">
      <c r="A15" s="42"/>
      <c r="B15" s="38"/>
      <c r="C15" s="7" t="s">
        <v>17</v>
      </c>
      <c r="D15" s="7">
        <v>1</v>
      </c>
      <c r="E15" s="8">
        <v>32900</v>
      </c>
      <c r="F15" s="8">
        <f>E15*D15</f>
        <v>32900</v>
      </c>
      <c r="G15" s="8">
        <f>F15*5%</f>
        <v>1645</v>
      </c>
      <c r="H15" s="8">
        <f>F15*9.975%</f>
        <v>3281.7749999999996</v>
      </c>
      <c r="I15" s="8">
        <f t="shared" si="0"/>
        <v>37826.775000000001</v>
      </c>
      <c r="J15" s="29"/>
    </row>
    <row r="16" spans="1:10" x14ac:dyDescent="0.2">
      <c r="A16" s="42"/>
      <c r="B16" s="38"/>
      <c r="C16" s="7"/>
      <c r="D16" s="7"/>
      <c r="E16" s="10" t="s">
        <v>10</v>
      </c>
      <c r="F16" s="11">
        <f>SUM(F14:F15)</f>
        <v>596817</v>
      </c>
      <c r="G16" s="12">
        <f t="shared" si="4"/>
        <v>29840.850000000002</v>
      </c>
      <c r="H16" s="12">
        <f t="shared" si="5"/>
        <v>59532.495749999995</v>
      </c>
      <c r="I16" s="13">
        <f t="shared" si="0"/>
        <v>686190.34574999998</v>
      </c>
      <c r="J16" s="14">
        <f>I16/H26</f>
        <v>0.22414743048527846</v>
      </c>
    </row>
    <row r="17" spans="1:10" x14ac:dyDescent="0.2">
      <c r="A17" s="42"/>
      <c r="B17" s="38"/>
      <c r="C17" s="3" t="s">
        <v>12</v>
      </c>
      <c r="D17" s="4"/>
      <c r="E17" s="5"/>
      <c r="F17" s="5"/>
      <c r="G17" s="5"/>
      <c r="H17" s="5"/>
      <c r="I17" s="5"/>
      <c r="J17" s="17"/>
    </row>
    <row r="18" spans="1:10" x14ac:dyDescent="0.2">
      <c r="A18" s="42"/>
      <c r="B18" s="38"/>
      <c r="C18" s="7" t="s">
        <v>19</v>
      </c>
      <c r="D18" s="7">
        <v>1</v>
      </c>
      <c r="E18" s="8">
        <v>31066</v>
      </c>
      <c r="F18" s="8">
        <f>D18*E18</f>
        <v>31066</v>
      </c>
      <c r="G18" s="8"/>
      <c r="H18" s="8"/>
      <c r="I18" s="8">
        <f t="shared" si="0"/>
        <v>31066</v>
      </c>
      <c r="J18" s="29"/>
    </row>
    <row r="19" spans="1:10" x14ac:dyDescent="0.2">
      <c r="A19" s="42"/>
      <c r="B19" s="38"/>
      <c r="C19" s="7" t="s">
        <v>20</v>
      </c>
      <c r="D19" s="7">
        <v>1</v>
      </c>
      <c r="E19" s="8">
        <v>28790</v>
      </c>
      <c r="F19" s="8">
        <f>D19*E19</f>
        <v>28790</v>
      </c>
      <c r="G19" s="8"/>
      <c r="H19" s="8"/>
      <c r="I19" s="8">
        <f t="shared" si="0"/>
        <v>28790</v>
      </c>
      <c r="J19" s="29"/>
    </row>
    <row r="20" spans="1:10" x14ac:dyDescent="0.2">
      <c r="A20" s="42"/>
      <c r="B20" s="38"/>
      <c r="C20" s="7" t="s">
        <v>21</v>
      </c>
      <c r="D20" s="7">
        <v>1</v>
      </c>
      <c r="E20" s="8">
        <v>45558</v>
      </c>
      <c r="F20" s="8">
        <f>D20*E20</f>
        <v>45558</v>
      </c>
      <c r="G20" s="8"/>
      <c r="H20" s="8"/>
      <c r="I20" s="8">
        <f t="shared" si="0"/>
        <v>45558</v>
      </c>
      <c r="J20" s="29"/>
    </row>
    <row r="21" spans="1:10" x14ac:dyDescent="0.2">
      <c r="A21" s="42"/>
      <c r="B21" s="38"/>
      <c r="C21" s="7" t="s">
        <v>22</v>
      </c>
      <c r="D21" s="7">
        <v>1</v>
      </c>
      <c r="E21" s="8">
        <v>5346</v>
      </c>
      <c r="F21" s="8">
        <f>D21*E21</f>
        <v>5346</v>
      </c>
      <c r="G21" s="8"/>
      <c r="H21" s="8"/>
      <c r="I21" s="8">
        <f t="shared" si="0"/>
        <v>5346</v>
      </c>
      <c r="J21" s="29"/>
    </row>
    <row r="22" spans="1:10" x14ac:dyDescent="0.2">
      <c r="A22" s="42"/>
      <c r="B22" s="38"/>
      <c r="C22" s="7"/>
      <c r="D22" s="7"/>
      <c r="E22" s="10" t="s">
        <v>10</v>
      </c>
      <c r="F22" s="11">
        <f>SUM(F18:F21)</f>
        <v>110760</v>
      </c>
      <c r="G22" s="12"/>
      <c r="H22" s="12"/>
      <c r="I22" s="13">
        <f t="shared" si="0"/>
        <v>110760</v>
      </c>
      <c r="J22" s="14">
        <f>I22/H26</f>
        <v>3.6180295386426961E-2</v>
      </c>
    </row>
    <row r="23" spans="1:10" x14ac:dyDescent="0.2">
      <c r="A23" s="42"/>
      <c r="B23" s="38"/>
      <c r="C23" s="3"/>
      <c r="D23" s="4"/>
      <c r="E23" s="5"/>
      <c r="F23" s="5"/>
      <c r="G23" s="5"/>
      <c r="H23" s="5"/>
      <c r="I23" s="5"/>
      <c r="J23" s="17"/>
    </row>
    <row r="24" spans="1:10" x14ac:dyDescent="0.2">
      <c r="A24" s="42"/>
      <c r="B24" s="38"/>
      <c r="C24" s="7"/>
      <c r="D24" s="7"/>
      <c r="E24" s="8"/>
      <c r="F24" s="8">
        <f>D24*E24</f>
        <v>0</v>
      </c>
      <c r="G24" s="8">
        <f t="shared" si="4"/>
        <v>0</v>
      </c>
      <c r="H24" s="8">
        <f t="shared" si="5"/>
        <v>0</v>
      </c>
      <c r="I24" s="8">
        <f t="shared" si="0"/>
        <v>0</v>
      </c>
      <c r="J24" s="9"/>
    </row>
    <row r="25" spans="1:10" x14ac:dyDescent="0.2">
      <c r="A25" s="42"/>
      <c r="B25" s="38"/>
      <c r="C25" s="7"/>
      <c r="D25" s="7"/>
      <c r="E25" s="10" t="s">
        <v>10</v>
      </c>
      <c r="F25" s="11">
        <f>SUM(F24:F24)</f>
        <v>0</v>
      </c>
      <c r="G25" s="12">
        <f t="shared" si="4"/>
        <v>0</v>
      </c>
      <c r="H25" s="12">
        <f t="shared" si="5"/>
        <v>0</v>
      </c>
      <c r="I25" s="13">
        <f t="shared" si="0"/>
        <v>0</v>
      </c>
      <c r="J25" s="14">
        <f>I25/H26</f>
        <v>0</v>
      </c>
    </row>
    <row r="26" spans="1:10" x14ac:dyDescent="0.2">
      <c r="C26" s="21"/>
      <c r="D26" s="22" t="s">
        <v>13</v>
      </c>
      <c r="E26" s="23">
        <f>F8+F12+F16+F22+F25</f>
        <v>2956943.25</v>
      </c>
      <c r="F26" s="24"/>
      <c r="G26" s="24"/>
      <c r="H26" s="25">
        <f>I8+I12+I16+I22</f>
        <v>3061334.8734999998</v>
      </c>
      <c r="I26" s="26">
        <f>J8+J12+J16+J22+J25</f>
        <v>1</v>
      </c>
      <c r="J26" s="30"/>
    </row>
    <row r="30" spans="1:10" x14ac:dyDescent="0.2">
      <c r="J30" t="s">
        <v>28</v>
      </c>
    </row>
  </sheetData>
  <mergeCells count="6">
    <mergeCell ref="B4:B5"/>
    <mergeCell ref="B6:B25"/>
    <mergeCell ref="B2:B3"/>
    <mergeCell ref="A2:A3"/>
    <mergeCell ref="A6:A25"/>
    <mergeCell ref="A4:A5"/>
  </mergeCells>
  <pageMargins left="0.7" right="0.7" top="0.75" bottom="0.75" header="0.3" footer="0.3"/>
  <ignoredErrors>
    <ignoredError sqref="F6 I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 Comptabilité (info)</dc:creator>
  <cp:lastModifiedBy>Bloom Comptabilité (info)</cp:lastModifiedBy>
  <dcterms:created xsi:type="dcterms:W3CDTF">2024-10-02T15:44:44Z</dcterms:created>
  <dcterms:modified xsi:type="dcterms:W3CDTF">2025-02-07T16:10:11Z</dcterms:modified>
</cp:coreProperties>
</file>