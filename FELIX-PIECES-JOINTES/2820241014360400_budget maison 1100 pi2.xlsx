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hamel/Desktop/IMMOBILIER/immo en cour/"/>
    </mc:Choice>
  </mc:AlternateContent>
  <xr:revisionPtr revIDLastSave="0" documentId="8_{9C99FFF3-9BF3-094D-98CF-C2B2F0D50C67}" xr6:coauthVersionLast="47" xr6:coauthVersionMax="47" xr10:uidLastSave="{00000000-0000-0000-0000-000000000000}"/>
  <bookViews>
    <workbookView xWindow="300" yWindow="500" windowWidth="38100" windowHeight="18460" xr2:uid="{4C3C92AF-9B22-114B-BBA7-4C624D54C0C0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G7" i="1"/>
  <c r="G102" i="1" s="1"/>
  <c r="F7" i="1"/>
  <c r="F102" i="1" s="1"/>
  <c r="G90" i="1"/>
  <c r="G69" i="1"/>
  <c r="G60" i="1"/>
  <c r="D41" i="1"/>
  <c r="D38" i="1"/>
  <c r="D34" i="1"/>
  <c r="D32" i="1"/>
  <c r="D31" i="1"/>
  <c r="D30" i="1"/>
  <c r="D29" i="1"/>
  <c r="D25" i="1"/>
  <c r="D23" i="1"/>
  <c r="D20" i="1"/>
  <c r="D19" i="1"/>
  <c r="D18" i="1"/>
  <c r="D13" i="1"/>
  <c r="D10" i="1"/>
  <c r="D9" i="1"/>
  <c r="D8" i="1"/>
  <c r="G101" i="1" l="1"/>
  <c r="F60" i="1"/>
  <c r="F101" i="1" s="1"/>
  <c r="E7" i="1"/>
  <c r="E45" i="1"/>
  <c r="D45" i="1" s="1"/>
  <c r="E44" i="1"/>
  <c r="D44" i="1" l="1"/>
  <c r="D47" i="1" s="1"/>
  <c r="E47" i="1"/>
  <c r="G8" i="1" a="1"/>
  <c r="G8" i="1" s="1"/>
  <c r="F8" i="1" a="1"/>
  <c r="F8" i="1" s="1"/>
  <c r="F47" i="1" l="1"/>
  <c r="F103" i="1" s="1"/>
  <c r="F104" i="1" s="1"/>
  <c r="F106" i="1" s="1"/>
  <c r="G47" i="1"/>
  <c r="G103" i="1" s="1"/>
  <c r="G104" i="1" s="1"/>
  <c r="I4" i="1" l="1" a="1"/>
  <c r="I4" i="1" s="1"/>
  <c r="K4" i="1" s="1" a="1"/>
  <c r="K4" i="1" s="1"/>
  <c r="G105" i="1"/>
  <c r="G106" i="1" l="1"/>
  <c r="L4" i="1" s="1" a="1"/>
  <c r="L4" i="1" s="1"/>
  <c r="H4" i="1" l="1" a="1"/>
  <c r="H4" i="1" s="1"/>
  <c r="H101" i="1" s="1"/>
  <c r="J4" i="1" a="1"/>
  <c r="J4" i="1" s="1"/>
  <c r="M4" i="1" s="1" a="1"/>
  <c r="M4" i="1" s="1"/>
  <c r="N4" i="1" s="1" a="1"/>
  <c r="N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<sst xmlns="http://schemas.openxmlformats.org/spreadsheetml/2006/main" count="116" uniqueCount="113">
  <si>
    <t>METIER</t>
  </si>
  <si>
    <t>FRAIS DE BANQUE</t>
  </si>
  <si>
    <t>URBANISTE</t>
  </si>
  <si>
    <t>PERMIS</t>
  </si>
  <si>
    <t>PLAN</t>
  </si>
  <si>
    <t>NOTAIRE</t>
  </si>
  <si>
    <t>VILLE $/PORTES</t>
  </si>
  <si>
    <t>ASSURENCE CONSTRUCTION</t>
  </si>
  <si>
    <t>GCR</t>
  </si>
  <si>
    <t>LISCENSE RBQ</t>
  </si>
  <si>
    <t>CONVENTION D'ACTIONAIRE</t>
  </si>
  <si>
    <t>SCHL</t>
  </si>
  <si>
    <t>PHASE 1</t>
  </si>
  <si>
    <t>PHASE 2</t>
  </si>
  <si>
    <t>PHASE 3</t>
  </si>
  <si>
    <t>ARCHITHEQUE</t>
  </si>
  <si>
    <t>RAPPORT DE PERCOLATION</t>
  </si>
  <si>
    <t>RAPPORT DE CAPACITER PORTANTE</t>
  </si>
  <si>
    <t>ARPENTEUR DIVISION DE LOT</t>
  </si>
  <si>
    <t xml:space="preserve">PLAN DE STATIONEMENT </t>
  </si>
  <si>
    <t>PLAN DEGOUTEMENT DES EAUX</t>
  </si>
  <si>
    <t>TAXES DE BIENVEVUE</t>
  </si>
  <si>
    <t>AJUSTEMENT DE TAXES</t>
  </si>
  <si>
    <t>HYPOTHEQUE PENDANT CONSTRUCTION</t>
  </si>
  <si>
    <t xml:space="preserve"> BIOLOGISTE </t>
  </si>
  <si>
    <t>EVALUATEUR</t>
  </si>
  <si>
    <t>VISITE EVALUATEUR</t>
  </si>
  <si>
    <t>INTERET POUR REHYPOTHEQUAGE</t>
  </si>
  <si>
    <t>TOTAL</t>
  </si>
  <si>
    <t>PIEUX</t>
  </si>
  <si>
    <t>DEMOLITION</t>
  </si>
  <si>
    <t xml:space="preserve">INSTALATION DES SERVICE </t>
  </si>
  <si>
    <t>PUIT</t>
  </si>
  <si>
    <t>FAUSSE SEPTIQUE</t>
  </si>
  <si>
    <t>IMPLANTATION</t>
  </si>
  <si>
    <t>EXCAVATION</t>
  </si>
  <si>
    <t>FONDATION</t>
  </si>
  <si>
    <t>GOUDRONAGE</t>
  </si>
  <si>
    <t>MATERIEUX</t>
  </si>
  <si>
    <t>CHARPENTE/ROUGH</t>
  </si>
  <si>
    <t>BARDEAUX</t>
  </si>
  <si>
    <t>PORTES/FENETRES</t>
  </si>
  <si>
    <t>EURETHANE</t>
  </si>
  <si>
    <t>LAINE SOUFLER</t>
  </si>
  <si>
    <t>STATIONEMENT</t>
  </si>
  <si>
    <t>PLOMBERIE</t>
  </si>
  <si>
    <t>ELECTRICITER</t>
  </si>
  <si>
    <t>DALLE DE BETON</t>
  </si>
  <si>
    <t>BALLEYEUSE CENTRAL</t>
  </si>
  <si>
    <t>VENTILATION/ AIR CLIM</t>
  </si>
  <si>
    <t>GYPSE</t>
  </si>
  <si>
    <t>JOINT</t>
  </si>
  <si>
    <t>BOISERIE</t>
  </si>
  <si>
    <t xml:space="preserve">FINITION INTERIEUR </t>
  </si>
  <si>
    <t>PEINTURE</t>
  </si>
  <si>
    <t>CERAMIQUE</t>
  </si>
  <si>
    <t>PLANCHER</t>
  </si>
  <si>
    <t>CUISINE</t>
  </si>
  <si>
    <t>VANITER</t>
  </si>
  <si>
    <t>BRIQUE</t>
  </si>
  <si>
    <t>REVETEMENT EXTERIEUR</t>
  </si>
  <si>
    <t>BALCON FIBRE DE VERRE</t>
  </si>
  <si>
    <t>ESCALIER EXTERIEUR</t>
  </si>
  <si>
    <t>RAMPE EXTERIEUR</t>
  </si>
  <si>
    <t>ESCALIER INTERIEUR</t>
  </si>
  <si>
    <t>APPAREIL PLOMBERIE</t>
  </si>
  <si>
    <t>FINTION ELECTRIQUE</t>
  </si>
  <si>
    <t>INSTALATION PLANCHGER</t>
  </si>
  <si>
    <t xml:space="preserve">INSTALATION CERAMIQUE </t>
  </si>
  <si>
    <t>MIROIR</t>
  </si>
  <si>
    <t>NIVELLEMENT</t>
  </si>
  <si>
    <t>ASPHALTE</t>
  </si>
  <si>
    <t>GAZON</t>
  </si>
  <si>
    <t>PISCINE</t>
  </si>
  <si>
    <t>SPA</t>
  </si>
  <si>
    <t>EXTRA</t>
  </si>
  <si>
    <t xml:space="preserve">PRIX D'ACHAT TERRAIN </t>
  </si>
  <si>
    <t>INCORPORATION</t>
  </si>
  <si>
    <t xml:space="preserve">INSPECTION </t>
  </si>
  <si>
    <t>PRIX D'ACHAT TERRAIN/BATIMENT EXISTANT</t>
  </si>
  <si>
    <t>AGENT D'IMMEUBLE</t>
  </si>
  <si>
    <t>ARPENTEUR IMPLANTATION</t>
  </si>
  <si>
    <t>INGENIEUR MECANIQUE</t>
  </si>
  <si>
    <t>INGENIEUR CIVIL</t>
  </si>
  <si>
    <t>INGENIEUR STRUCTURE</t>
  </si>
  <si>
    <t xml:space="preserve">CONSULTANT EN COUT </t>
  </si>
  <si>
    <t xml:space="preserve">EMPLOYER </t>
  </si>
  <si>
    <t xml:space="preserve">GERANT DE CHANTIER </t>
  </si>
  <si>
    <t>MENAGE</t>
  </si>
  <si>
    <t xml:space="preserve">GENERAL </t>
  </si>
  <si>
    <t xml:space="preserve">TOTAL </t>
  </si>
  <si>
    <t>BUDGET</t>
  </si>
  <si>
    <t xml:space="preserve">DIFFERENCE </t>
  </si>
  <si>
    <t xml:space="preserve">MARKETING </t>
  </si>
  <si>
    <t>HAUTE SOUMISSION/BANQUE</t>
  </si>
  <si>
    <t xml:space="preserve">BASSE SOUMISSION </t>
  </si>
  <si>
    <t>APCHQ</t>
  </si>
  <si>
    <t>CHANGEMENT DE ZONAGE/DEROGATION</t>
  </si>
  <si>
    <t>TOTAL SOFT COST</t>
  </si>
  <si>
    <t xml:space="preserve">TOTAL HARD COST </t>
  </si>
  <si>
    <t xml:space="preserve">TOTAL SOFT COST </t>
  </si>
  <si>
    <t xml:space="preserve">TOTAL TERRAIN </t>
  </si>
  <si>
    <t xml:space="preserve">$/A SORTIR AVANT DERBOURSER </t>
  </si>
  <si>
    <t>TRUSS/POUTRELLES</t>
  </si>
  <si>
    <t xml:space="preserve">GOUTIERES </t>
  </si>
  <si>
    <t xml:space="preserve">projet </t>
  </si>
  <si>
    <t>CONTAINER</t>
  </si>
  <si>
    <t xml:space="preserve">$/pi2 MOIN CHERE </t>
  </si>
  <si>
    <t xml:space="preserve">$/PI2 PLUS CHERE </t>
  </si>
  <si>
    <t xml:space="preserve">$/PORTE PLUS CHERE </t>
  </si>
  <si>
    <t xml:space="preserve">MOYENNE PAR PORTE </t>
  </si>
  <si>
    <t xml:space="preserve">MOYENNE PI2 </t>
  </si>
  <si>
    <t xml:space="preserve">$/portre basse soumission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</si>
</sst>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2" fillId="0" borderId="0" xfId="1" applyFont="1"/>
    <xf numFmtId="44" fontId="2" fillId="0" borderId="0" xfId="1" applyFont="1" applyAlignment="1">
      <alignment horizontal="center"/>
    </xf>
    <xf numFmtId="44" fontId="2" fillId="2" borderId="0" xfId="1" applyFont="1" applyFill="1"/>
    <xf numFmtId="44" fontId="2" fillId="3" borderId="0" xfId="1" applyFont="1" applyFill="1"/>
    <xf numFmtId="44" fontId="2" fillId="4" borderId="0" xfId="1" applyFont="1" applyFill="1"/>
    <xf numFmtId="44" fontId="2" fillId="0" borderId="0" xfId="1" applyFont="1" applyAlignment="1">
      <alignment horizontal="left"/>
    </xf>
    <xf numFmtId="44" fontId="2" fillId="5" borderId="0" xfId="1" applyFont="1" applyFill="1"/>
    <xf numFmtId="44" fontId="2" fillId="6" borderId="0" xfId="1" applyFont="1" applyFill="1"/>
    <xf numFmtId="44" fontId="2" fillId="7" borderId="0" xfId="1" applyFont="1" applyFill="1"/>
    <xf numFmtId="44" fontId="2" fillId="8" borderId="0" xfId="1" applyFont="1" applyFill="1"/>
    <xf numFmtId="44" fontId="2" fillId="3" borderId="0" xfId="1" applyFont="1" applyFill="1" applyAlignment="1">
      <alignment horizontal="left"/>
    </xf>
    <xf numFmtId="44" fontId="2" fillId="3" borderId="0" xfId="1" applyFont="1" applyFill="1" applyAlignment="1">
      <alignment horizontal="center"/>
    </xf>
    <xf numFmtId="44" fontId="2" fillId="9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AFF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7102-1C66-264C-8C32-BCF95D66FB23}">
  <sheetPr>
    <pageSetUpPr fitToPage="1"/>
  </sheetPr>
  <dimension ref="A3:N106"/>
  <sheetViews>
    <sheetView tabSelected="1" zoomScaleNormal="100" workbookViewId="0">
      <selection activeCell="A104" sqref="A104:XFD104"/>
    </sheetView>
  </sheetViews>
  <sheetFormatPr baseColWidth="10" defaultRowHeight="16" x14ac:dyDescent="0.2"/>
  <cols>
    <col min="1" max="1" width="5.33203125" style="1" customWidth="1"/>
    <col min="2" max="2" width="41.33203125" style="1" bestFit="1" customWidth="1"/>
    <col min="3" max="3" width="8.1640625" style="1" customWidth="1"/>
    <col min="4" max="4" width="31.83203125" style="1" customWidth="1"/>
    <col min="5" max="5" width="13.5" style="1" customWidth="1"/>
    <col min="6" max="6" width="20" style="1" customWidth="1"/>
    <col min="7" max="7" width="28.5" style="1" bestFit="1" customWidth="1"/>
    <col min="8" max="8" width="13.5" style="1" customWidth="1"/>
    <col min="9" max="9" width="17.33203125" style="1" customWidth="1"/>
    <col min="10" max="10" width="21.1640625" style="1" customWidth="1"/>
    <col min="11" max="11" width="25.6640625" style="1" customWidth="1"/>
    <col min="12" max="12" width="18.1640625" style="1" customWidth="1"/>
    <col min="13" max="13" width="21.83203125" style="1" customWidth="1"/>
    <col min="14" max="14" width="14.6640625" style="1" customWidth="1"/>
    <col min="15" max="16384" width="10.83203125" style="1"/>
  </cols>
  <sheetData>
    <row r="3" spans="1:14" x14ac:dyDescent="0.2">
      <c r="B3" s="2" t="s">
        <v>0</v>
      </c>
      <c r="C3" s="2" t="s">
        <v>105</v>
      </c>
      <c r="D3" s="2" t="s">
        <v>102</v>
      </c>
      <c r="E3" s="2" t="s">
        <v>91</v>
      </c>
      <c r="F3" s="2" t="s">
        <v>95</v>
      </c>
      <c r="G3" s="2" t="s">
        <v>94</v>
      </c>
      <c r="H3" s="2" t="s">
        <v>92</v>
      </c>
      <c r="I3" s="1" t="s">
        <v>112</v>
      </c>
      <c r="J3" s="1" t="s">
        <v>109</v>
      </c>
      <c r="K3" s="1" t="s">
        <v>107</v>
      </c>
      <c r="L3" s="1" t="s">
        <v>108</v>
      </c>
      <c r="M3" s="1" t="s">
        <v>110</v>
      </c>
      <c r="N3" s="1" t="s">
        <v>111</v>
      </c>
    </row>
    <row r="4" spans="1:14" x14ac:dyDescent="0.2">
      <c r="A4" s="10"/>
      <c r="B4" s="6" t="s">
        <v>79</v>
      </c>
      <c r="C4" s="6"/>
      <c r="D4" s="6"/>
      <c r="E4" s="2"/>
      <c r="F4" s="2"/>
      <c r="G4" s="2"/>
      <c r="H4" s="2" cm="1">
        <f t="array" ref="H4:H100">G4:G100-F4:F100</f>
        <v>0</v>
      </c>
      <c r="I4" s="1" cm="1">
        <f t="array" ref="I4:I106">F4:F106/6</f>
        <v>0</v>
      </c>
      <c r="J4" s="1" cm="1">
        <f t="array" ref="J4:J106">G4:G106/6</f>
        <v>0</v>
      </c>
      <c r="K4" s="1" cm="1">
        <f t="array" ref="K4:K106">I4:I106/1168.25</f>
        <v>0</v>
      </c>
      <c r="L4" s="1" cm="1">
        <f t="array" ref="L4:L106">(G4:G106/6)/1168</f>
        <v>0</v>
      </c>
      <c r="M4" s="1" cm="1">
        <f t="array" ref="M4:M106">(I4:I106+J4:J106)/2</f>
        <v>0</v>
      </c>
      <c r="N4" s="1" cm="1">
        <f t="array" ref="N4:N106">M4:M106/1168</f>
        <v>0</v>
      </c>
    </row>
    <row r="5" spans="1:14" x14ac:dyDescent="0.2">
      <c r="A5" s="10"/>
      <c r="B5" s="6" t="s">
        <v>76</v>
      </c>
      <c r="C5" s="6"/>
      <c r="D5" s="6"/>
      <c r="E5" s="2">
        <v>180000</v>
      </c>
      <c r="F5" s="2">
        <v>180000</v>
      </c>
      <c r="G5" s="2">
        <v>270000</v>
      </c>
      <c r="H5" s="2">
        <v>90000</v>
      </c>
      <c r="I5" s="1">
        <v>30000</v>
      </c>
      <c r="J5" s="1">
        <v>45000</v>
      </c>
      <c r="K5" s="1">
        <v>25.679435052428847</v>
      </c>
      <c r="L5" s="1">
        <v>38.527397260273972</v>
      </c>
      <c r="M5" s="1">
        <v>37500</v>
      </c>
      <c r="N5" s="1">
        <v>32.106164383561641</v>
      </c>
    </row>
    <row r="6" spans="1:14" x14ac:dyDescent="0.2">
      <c r="A6" s="10"/>
      <c r="B6" s="6" t="s">
        <v>80</v>
      </c>
      <c r="C6" s="6"/>
      <c r="D6" s="6"/>
      <c r="E6" s="2"/>
      <c r="F6" s="2"/>
      <c r="G6" s="2"/>
      <c r="H6" s="2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">
      <c r="A7" s="4"/>
      <c r="B7" s="11" t="s">
        <v>101</v>
      </c>
      <c r="C7" s="11"/>
      <c r="D7" s="11"/>
      <c r="E7" s="12">
        <f>SUM(E4:E6)</f>
        <v>180000</v>
      </c>
      <c r="F7" s="12">
        <f>SUM(F4:F6)</f>
        <v>180000</v>
      </c>
      <c r="G7" s="12">
        <f>SUM(G4:G6)</f>
        <v>270000</v>
      </c>
      <c r="H7" s="12">
        <v>90000</v>
      </c>
      <c r="I7" s="4">
        <v>30000</v>
      </c>
      <c r="J7" s="4">
        <v>45000</v>
      </c>
      <c r="K7" s="4">
        <v>25.679435052428847</v>
      </c>
      <c r="L7" s="4">
        <v>38.527397260273972</v>
      </c>
      <c r="M7" s="1">
        <v>37500</v>
      </c>
      <c r="N7" s="1">
        <v>32.106164383561641</v>
      </c>
    </row>
    <row r="8" spans="1:14" x14ac:dyDescent="0.2">
      <c r="A8" s="3"/>
      <c r="B8" s="6" t="s">
        <v>77</v>
      </c>
      <c r="C8" s="6"/>
      <c r="D8" s="6">
        <f>E8</f>
        <v>1500</v>
      </c>
      <c r="E8" s="2">
        <v>1500</v>
      </c>
      <c r="F8" s="2" cm="1">
        <f t="array" ref="F8:F46">E8:E46</f>
        <v>1500</v>
      </c>
      <c r="G8" s="2" cm="1">
        <f t="array" ref="G8:G46">E8:E46</f>
        <v>1500</v>
      </c>
      <c r="H8" s="2">
        <v>0</v>
      </c>
      <c r="I8" s="1">
        <v>250</v>
      </c>
      <c r="J8" s="1">
        <v>250</v>
      </c>
      <c r="K8" s="1">
        <v>0.21399529210357371</v>
      </c>
      <c r="L8" s="1">
        <v>0.21404109589041095</v>
      </c>
      <c r="M8" s="1">
        <v>250</v>
      </c>
      <c r="N8" s="1">
        <v>0.21404109589041095</v>
      </c>
    </row>
    <row r="9" spans="1:14" x14ac:dyDescent="0.2">
      <c r="A9" s="3"/>
      <c r="B9" s="1" t="s">
        <v>9</v>
      </c>
      <c r="D9" s="1">
        <f>E9</f>
        <v>1200</v>
      </c>
      <c r="E9" s="1">
        <v>1200</v>
      </c>
      <c r="F9" s="1">
        <v>1200</v>
      </c>
      <c r="G9" s="1">
        <v>1200</v>
      </c>
      <c r="H9" s="1">
        <v>0</v>
      </c>
      <c r="I9" s="1">
        <v>200</v>
      </c>
      <c r="J9" s="1">
        <v>200</v>
      </c>
      <c r="K9" s="1">
        <v>0.17119623368285897</v>
      </c>
      <c r="L9" s="1">
        <v>0.17123287671232876</v>
      </c>
      <c r="M9" s="1">
        <v>200</v>
      </c>
      <c r="N9" s="1">
        <v>0.17123287671232876</v>
      </c>
    </row>
    <row r="10" spans="1:14" x14ac:dyDescent="0.2">
      <c r="A10" s="3"/>
      <c r="B10" s="1" t="s">
        <v>96</v>
      </c>
      <c r="D10" s="1">
        <f>E10</f>
        <v>800</v>
      </c>
      <c r="E10" s="1">
        <v>800</v>
      </c>
      <c r="F10" s="1">
        <v>800</v>
      </c>
      <c r="G10" s="1">
        <v>800</v>
      </c>
      <c r="H10" s="1">
        <v>0</v>
      </c>
      <c r="I10" s="1">
        <v>133.33333333333334</v>
      </c>
      <c r="J10" s="1">
        <v>133.33333333333334</v>
      </c>
      <c r="K10" s="1">
        <v>0.11413082245523933</v>
      </c>
      <c r="L10" s="1">
        <v>0.11415525114155252</v>
      </c>
      <c r="M10" s="1">
        <v>133.33333333333334</v>
      </c>
      <c r="N10" s="1">
        <v>0.11415525114155252</v>
      </c>
    </row>
    <row r="11" spans="1:14" x14ac:dyDescent="0.2">
      <c r="A11" s="3"/>
      <c r="B11" s="1" t="s">
        <v>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">
      <c r="A12" s="3"/>
      <c r="B12" s="1" t="s">
        <v>78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">
      <c r="A13" s="3"/>
      <c r="B13" s="1" t="s">
        <v>2</v>
      </c>
      <c r="D13" s="1">
        <f>E13</f>
        <v>7000</v>
      </c>
      <c r="E13" s="1">
        <v>7000</v>
      </c>
      <c r="F13" s="1">
        <v>7000</v>
      </c>
      <c r="G13" s="1">
        <v>7000</v>
      </c>
      <c r="H13" s="1">
        <v>0</v>
      </c>
      <c r="I13" s="1">
        <v>1166.6666666666667</v>
      </c>
      <c r="J13" s="1">
        <v>1166.6666666666667</v>
      </c>
      <c r="K13" s="1">
        <v>0.99864469648334409</v>
      </c>
      <c r="L13" s="1">
        <v>0.99885844748858454</v>
      </c>
      <c r="M13" s="1">
        <v>1166.6666666666667</v>
      </c>
      <c r="N13" s="1">
        <v>0.99885844748858454</v>
      </c>
    </row>
    <row r="14" spans="1:14" x14ac:dyDescent="0.2">
      <c r="A14" s="3"/>
      <c r="B14" s="1" t="s">
        <v>12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">
      <c r="A15" s="3"/>
      <c r="B15" s="1" t="s">
        <v>13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">
      <c r="A16" s="3"/>
      <c r="B16" s="1" t="s">
        <v>14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">
      <c r="A17" s="3"/>
      <c r="B17" s="1" t="s">
        <v>24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">
      <c r="A18" s="3"/>
      <c r="B18" s="1" t="s">
        <v>97</v>
      </c>
      <c r="D18" s="1">
        <f>E18</f>
        <v>1200</v>
      </c>
      <c r="E18" s="1">
        <v>1200</v>
      </c>
      <c r="F18" s="1">
        <v>1200</v>
      </c>
      <c r="G18" s="1">
        <v>1200</v>
      </c>
      <c r="H18" s="1">
        <v>0</v>
      </c>
      <c r="I18" s="1">
        <v>200</v>
      </c>
      <c r="J18" s="1">
        <v>200</v>
      </c>
      <c r="K18" s="1">
        <v>0.17119623368285897</v>
      </c>
      <c r="L18" s="1">
        <v>0.17123287671232876</v>
      </c>
      <c r="M18" s="1">
        <v>200</v>
      </c>
      <c r="N18" s="1">
        <v>0.17123287671232876</v>
      </c>
    </row>
    <row r="19" spans="1:14" x14ac:dyDescent="0.2">
      <c r="A19" s="3"/>
      <c r="B19" s="1" t="s">
        <v>18</v>
      </c>
      <c r="D19" s="1">
        <f>E19</f>
        <v>1600</v>
      </c>
      <c r="E19" s="1">
        <v>1600</v>
      </c>
      <c r="F19" s="1">
        <v>1600</v>
      </c>
      <c r="G19" s="1">
        <v>1600</v>
      </c>
      <c r="H19" s="1">
        <v>0</v>
      </c>
      <c r="I19" s="1">
        <v>266.66666666666669</v>
      </c>
      <c r="J19" s="1">
        <v>266.66666666666669</v>
      </c>
      <c r="K19" s="1">
        <v>0.22826164491047865</v>
      </c>
      <c r="L19" s="1">
        <v>0.22831050228310504</v>
      </c>
      <c r="M19" s="1">
        <v>266.66666666666669</v>
      </c>
      <c r="N19" s="1">
        <v>0.22831050228310504</v>
      </c>
    </row>
    <row r="20" spans="1:14" x14ac:dyDescent="0.2">
      <c r="A20" s="3"/>
      <c r="B20" s="1" t="s">
        <v>15</v>
      </c>
      <c r="D20" s="1">
        <f>E20</f>
        <v>12500</v>
      </c>
      <c r="E20" s="1">
        <v>12500</v>
      </c>
      <c r="F20" s="1">
        <v>12500</v>
      </c>
      <c r="G20" s="1">
        <v>12500</v>
      </c>
      <c r="H20" s="1">
        <v>0</v>
      </c>
      <c r="I20" s="1">
        <v>2083.3333333333335</v>
      </c>
      <c r="J20" s="1">
        <v>2083.3333333333335</v>
      </c>
      <c r="K20" s="1">
        <v>1.7832941008631145</v>
      </c>
      <c r="L20" s="1">
        <v>1.7836757990867582</v>
      </c>
      <c r="M20" s="1">
        <v>2083.3333333333335</v>
      </c>
      <c r="N20" s="1">
        <v>1.7836757990867582</v>
      </c>
    </row>
    <row r="21" spans="1:14" x14ac:dyDescent="0.2">
      <c r="A21" s="3"/>
      <c r="B21" s="1" t="s">
        <v>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">
      <c r="A22" s="3"/>
      <c r="B22" s="1" t="s">
        <v>82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">
      <c r="A23" s="3"/>
      <c r="B23" s="7" t="s">
        <v>83</v>
      </c>
      <c r="D23" s="1">
        <f>E23</f>
        <v>10000</v>
      </c>
      <c r="E23" s="1">
        <v>10000</v>
      </c>
      <c r="F23" s="1">
        <v>10000</v>
      </c>
      <c r="G23" s="1">
        <v>10000</v>
      </c>
      <c r="H23" s="1">
        <v>0</v>
      </c>
      <c r="I23" s="1">
        <v>1666.6666666666667</v>
      </c>
      <c r="J23" s="1">
        <v>1666.6666666666667</v>
      </c>
      <c r="K23" s="1">
        <v>1.4266352806904916</v>
      </c>
      <c r="L23" s="1">
        <v>1.4269406392694064</v>
      </c>
      <c r="M23" s="1">
        <v>1666.6666666666667</v>
      </c>
      <c r="N23" s="1">
        <v>1.4269406392694064</v>
      </c>
    </row>
    <row r="24" spans="1:14" x14ac:dyDescent="0.2">
      <c r="A24" s="3"/>
      <c r="B24" s="1" t="s">
        <v>84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2">
      <c r="A25" s="3"/>
      <c r="B25" s="1" t="s">
        <v>81</v>
      </c>
      <c r="D25" s="1">
        <f>E25</f>
        <v>1800</v>
      </c>
      <c r="E25" s="1">
        <v>1800</v>
      </c>
      <c r="F25" s="1">
        <v>1800</v>
      </c>
      <c r="G25" s="1">
        <v>1800</v>
      </c>
      <c r="H25" s="1">
        <v>0</v>
      </c>
      <c r="I25" s="1">
        <v>300</v>
      </c>
      <c r="J25" s="1">
        <v>300</v>
      </c>
      <c r="K25" s="1">
        <v>0.25679435052428845</v>
      </c>
      <c r="L25" s="1">
        <v>0.25684931506849318</v>
      </c>
      <c r="M25" s="1">
        <v>300</v>
      </c>
      <c r="N25" s="1">
        <v>0.25684931506849318</v>
      </c>
    </row>
    <row r="26" spans="1:14" x14ac:dyDescent="0.2">
      <c r="A26" s="3"/>
      <c r="B26" s="1" t="s">
        <v>19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">
      <c r="A27" s="3"/>
      <c r="B27" s="1" t="s">
        <v>20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">
      <c r="A28" s="3"/>
      <c r="B28" s="7" t="s">
        <v>85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">
      <c r="A29" s="3"/>
      <c r="B29" s="1" t="s">
        <v>3</v>
      </c>
      <c r="D29" s="1">
        <f>E29</f>
        <v>2242.0100000000002</v>
      </c>
      <c r="E29" s="1">
        <v>2242.0100000000002</v>
      </c>
      <c r="F29" s="1">
        <v>2242.0100000000002</v>
      </c>
      <c r="G29" s="1">
        <v>2242.0100000000002</v>
      </c>
      <c r="H29" s="1">
        <v>0</v>
      </c>
      <c r="I29" s="1">
        <v>373.66833333333335</v>
      </c>
      <c r="J29" s="1">
        <v>373.66833333333335</v>
      </c>
      <c r="K29" s="1">
        <v>0.31985305656608887</v>
      </c>
      <c r="L29" s="1">
        <v>0.31992151826484022</v>
      </c>
      <c r="M29" s="1">
        <v>373.66833333333335</v>
      </c>
      <c r="N29" s="1">
        <v>0.31992151826484022</v>
      </c>
    </row>
    <row r="30" spans="1:14" x14ac:dyDescent="0.2">
      <c r="A30" s="3"/>
      <c r="B30" s="1" t="s">
        <v>6</v>
      </c>
      <c r="D30" s="1">
        <f>E30</f>
        <v>39300</v>
      </c>
      <c r="E30" s="1">
        <v>39300</v>
      </c>
      <c r="F30" s="1">
        <v>39300</v>
      </c>
      <c r="G30" s="1">
        <v>39300</v>
      </c>
      <c r="H30" s="1">
        <v>0</v>
      </c>
      <c r="I30" s="1">
        <v>6550</v>
      </c>
      <c r="J30" s="1">
        <v>6550</v>
      </c>
      <c r="K30" s="1">
        <v>5.6066766531136318</v>
      </c>
      <c r="L30" s="1">
        <v>5.6078767123287667</v>
      </c>
      <c r="M30" s="1">
        <v>6550</v>
      </c>
      <c r="N30" s="1">
        <v>5.6078767123287667</v>
      </c>
    </row>
    <row r="31" spans="1:14" x14ac:dyDescent="0.2">
      <c r="A31" s="3"/>
      <c r="B31" s="1" t="s">
        <v>5</v>
      </c>
      <c r="D31" s="1">
        <f>E31</f>
        <v>2000</v>
      </c>
      <c r="E31" s="1">
        <v>2000</v>
      </c>
      <c r="F31" s="1">
        <v>2000</v>
      </c>
      <c r="G31" s="1">
        <v>2000</v>
      </c>
      <c r="H31" s="1">
        <v>0</v>
      </c>
      <c r="I31" s="1">
        <v>333.33333333333331</v>
      </c>
      <c r="J31" s="1">
        <v>333.33333333333331</v>
      </c>
      <c r="K31" s="1">
        <v>0.28532705613809828</v>
      </c>
      <c r="L31" s="1">
        <v>0.28538812785388123</v>
      </c>
      <c r="M31" s="1">
        <v>333.33333333333331</v>
      </c>
      <c r="N31" s="1">
        <v>0.28538812785388123</v>
      </c>
    </row>
    <row r="32" spans="1:14" x14ac:dyDescent="0.2">
      <c r="A32" s="3"/>
      <c r="B32" s="1" t="s">
        <v>21</v>
      </c>
      <c r="D32" s="1">
        <f>E32</f>
        <v>500</v>
      </c>
      <c r="E32" s="1">
        <v>500</v>
      </c>
      <c r="F32" s="1">
        <v>500</v>
      </c>
      <c r="G32" s="1">
        <v>500</v>
      </c>
      <c r="H32" s="1">
        <v>0</v>
      </c>
      <c r="I32" s="1">
        <v>83.333333333333329</v>
      </c>
      <c r="J32" s="1">
        <v>83.333333333333329</v>
      </c>
      <c r="K32" s="1">
        <v>7.133176403452457E-2</v>
      </c>
      <c r="L32" s="1">
        <v>7.1347031963470309E-2</v>
      </c>
      <c r="M32" s="1">
        <v>83.333333333333329</v>
      </c>
      <c r="N32" s="1">
        <v>7.1347031963470309E-2</v>
      </c>
    </row>
    <row r="33" spans="1:14" x14ac:dyDescent="0.2">
      <c r="A33" s="3"/>
      <c r="B33" s="1" t="s">
        <v>22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">
      <c r="A34" s="3"/>
      <c r="B34" s="1" t="s">
        <v>10</v>
      </c>
      <c r="D34" s="1">
        <f>E34</f>
        <v>1000</v>
      </c>
      <c r="E34" s="1">
        <v>1000</v>
      </c>
      <c r="F34" s="1">
        <v>1000</v>
      </c>
      <c r="G34" s="1">
        <v>1000</v>
      </c>
      <c r="H34" s="1">
        <v>0</v>
      </c>
      <c r="I34" s="1">
        <v>166.66666666666666</v>
      </c>
      <c r="J34" s="1">
        <v>166.66666666666666</v>
      </c>
      <c r="K34" s="1">
        <v>0.14266352806904914</v>
      </c>
      <c r="L34" s="1">
        <v>0.14269406392694062</v>
      </c>
      <c r="M34" s="1">
        <v>166.66666666666666</v>
      </c>
      <c r="N34" s="1">
        <v>0.14269406392694062</v>
      </c>
    </row>
    <row r="35" spans="1:14" x14ac:dyDescent="0.2">
      <c r="A35" s="3"/>
      <c r="B35" s="1" t="s">
        <v>1</v>
      </c>
      <c r="D35" s="1">
        <f>E35</f>
        <v>9626.06</v>
      </c>
      <c r="E35" s="1">
        <v>9626.06</v>
      </c>
      <c r="F35" s="1">
        <v>9626.06</v>
      </c>
      <c r="G35" s="1">
        <v>9626.06</v>
      </c>
      <c r="H35" s="1">
        <v>0</v>
      </c>
      <c r="I35" s="1">
        <v>1604.3433333333332</v>
      </c>
      <c r="J35" s="1">
        <v>1604.3433333333332</v>
      </c>
      <c r="K35" s="1">
        <v>1.3732876810043511</v>
      </c>
      <c r="L35" s="1">
        <v>1.3735816210045662</v>
      </c>
      <c r="M35" s="1">
        <v>1604.3433333333332</v>
      </c>
      <c r="N35" s="1">
        <v>1.3735816210045662</v>
      </c>
    </row>
    <row r="36" spans="1:14" x14ac:dyDescent="0.2">
      <c r="A36" s="3"/>
      <c r="B36" s="1" t="s">
        <v>11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">
      <c r="A37" s="3"/>
      <c r="B37" s="1" t="s">
        <v>23</v>
      </c>
      <c r="E37" s="1">
        <v>33600</v>
      </c>
      <c r="F37" s="1">
        <v>33600</v>
      </c>
      <c r="G37" s="1">
        <v>33600</v>
      </c>
      <c r="H37" s="1">
        <v>0</v>
      </c>
      <c r="I37" s="1">
        <v>5600</v>
      </c>
      <c r="J37" s="1">
        <v>5600</v>
      </c>
      <c r="K37" s="1">
        <v>4.7934945431200511</v>
      </c>
      <c r="L37" s="1">
        <v>4.7945205479452051</v>
      </c>
      <c r="M37" s="1">
        <v>5600</v>
      </c>
      <c r="N37" s="1">
        <v>4.7945205479452051</v>
      </c>
    </row>
    <row r="38" spans="1:14" x14ac:dyDescent="0.2">
      <c r="A38" s="3"/>
      <c r="B38" s="1" t="s">
        <v>7</v>
      </c>
      <c r="D38" s="1">
        <f>E38</f>
        <v>1500</v>
      </c>
      <c r="E38" s="1">
        <v>1500</v>
      </c>
      <c r="F38" s="1">
        <v>1500</v>
      </c>
      <c r="G38" s="1">
        <v>1500</v>
      </c>
      <c r="H38" s="1">
        <v>0</v>
      </c>
      <c r="I38" s="1">
        <v>250</v>
      </c>
      <c r="J38" s="1">
        <v>250</v>
      </c>
      <c r="K38" s="1">
        <v>0.21399529210357371</v>
      </c>
      <c r="L38" s="1">
        <v>0.21404109589041095</v>
      </c>
      <c r="M38" s="1">
        <v>250</v>
      </c>
      <c r="N38" s="1">
        <v>0.21404109589041095</v>
      </c>
    </row>
    <row r="39" spans="1:14" x14ac:dyDescent="0.2">
      <c r="A39" s="3"/>
      <c r="B39" s="1" t="s">
        <v>16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">
      <c r="A40" s="3"/>
      <c r="B40" s="1" t="s">
        <v>17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">
      <c r="A41" s="3"/>
      <c r="B41" s="1" t="s">
        <v>25</v>
      </c>
      <c r="D41" s="1">
        <f>E41</f>
        <v>600</v>
      </c>
      <c r="E41" s="1">
        <v>600</v>
      </c>
      <c r="F41" s="1">
        <v>600</v>
      </c>
      <c r="G41" s="1">
        <v>600</v>
      </c>
      <c r="H41" s="1">
        <v>0</v>
      </c>
      <c r="I41" s="1">
        <v>100</v>
      </c>
      <c r="J41" s="1">
        <v>100</v>
      </c>
      <c r="K41" s="1">
        <v>8.5598116841429484E-2</v>
      </c>
      <c r="L41" s="1">
        <v>8.5616438356164379E-2</v>
      </c>
      <c r="M41" s="1">
        <v>100</v>
      </c>
      <c r="N41" s="1">
        <v>8.5616438356164379E-2</v>
      </c>
    </row>
    <row r="42" spans="1:14" x14ac:dyDescent="0.2">
      <c r="A42" s="3"/>
      <c r="B42" s="1" t="s">
        <v>26</v>
      </c>
      <c r="E42" s="1">
        <v>1000</v>
      </c>
      <c r="F42" s="1">
        <v>1000</v>
      </c>
      <c r="G42" s="1">
        <v>1000</v>
      </c>
      <c r="H42" s="1">
        <v>0</v>
      </c>
      <c r="I42" s="1">
        <v>166.66666666666666</v>
      </c>
      <c r="J42" s="1">
        <v>166.66666666666666</v>
      </c>
      <c r="K42" s="1">
        <v>0.14266352806904914</v>
      </c>
      <c r="L42" s="1">
        <v>0.14269406392694062</v>
      </c>
      <c r="M42" s="1">
        <v>166.66666666666666</v>
      </c>
      <c r="N42" s="1">
        <v>0.14269406392694062</v>
      </c>
    </row>
    <row r="43" spans="1:14" x14ac:dyDescent="0.2">
      <c r="A43" s="3"/>
      <c r="B43" s="1" t="s">
        <v>27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">
      <c r="A44" s="3"/>
      <c r="B44" s="1" t="s">
        <v>87</v>
      </c>
      <c r="D44" s="1">
        <f>E44/6*2</f>
        <v>13346.666666666666</v>
      </c>
      <c r="E44" s="1">
        <f>1540*26</f>
        <v>40040</v>
      </c>
      <c r="F44" s="1">
        <v>40040</v>
      </c>
      <c r="G44" s="1">
        <v>40040</v>
      </c>
      <c r="H44" s="1">
        <v>0</v>
      </c>
      <c r="I44" s="1">
        <v>6673.333333333333</v>
      </c>
      <c r="J44" s="1">
        <v>6673.333333333333</v>
      </c>
      <c r="K44" s="1">
        <v>5.7122476638847273</v>
      </c>
      <c r="L44" s="1">
        <v>5.7134703196347028</v>
      </c>
      <c r="M44" s="1">
        <v>6673.333333333333</v>
      </c>
      <c r="N44" s="1">
        <v>5.7134703196347028</v>
      </c>
    </row>
    <row r="45" spans="1:14" x14ac:dyDescent="0.2">
      <c r="A45" s="3"/>
      <c r="B45" s="1" t="s">
        <v>86</v>
      </c>
      <c r="D45" s="1">
        <f>E45/6*2</f>
        <v>8666.6666666666661</v>
      </c>
      <c r="E45" s="1">
        <f>1000*26</f>
        <v>26000</v>
      </c>
      <c r="F45" s="1">
        <v>26000</v>
      </c>
      <c r="G45" s="1">
        <v>26000</v>
      </c>
      <c r="H45" s="1">
        <v>0</v>
      </c>
      <c r="I45" s="1">
        <v>4333.333333333333</v>
      </c>
      <c r="J45" s="1">
        <v>4333.333333333333</v>
      </c>
      <c r="K45" s="1">
        <v>3.7092517297952776</v>
      </c>
      <c r="L45" s="1">
        <v>3.7100456621004563</v>
      </c>
      <c r="M45" s="1">
        <v>4333.333333333333</v>
      </c>
      <c r="N45" s="1">
        <v>3.7100456621004563</v>
      </c>
    </row>
    <row r="46" spans="1:14" x14ac:dyDescent="0.2">
      <c r="A46" s="3"/>
      <c r="B46" s="1" t="s">
        <v>93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">
      <c r="A47" s="4"/>
      <c r="B47" s="4" t="s">
        <v>98</v>
      </c>
      <c r="C47" s="4"/>
      <c r="D47" s="4">
        <f>SUM(D8:D46)</f>
        <v>116381.40333333335</v>
      </c>
      <c r="E47" s="4">
        <f>SUM(E8:E46)</f>
        <v>195008.07</v>
      </c>
      <c r="F47" s="4">
        <f>SUM(F8:F46)</f>
        <v>195008.07</v>
      </c>
      <c r="G47" s="4">
        <f>SUM(G8:G46)</f>
        <v>195008.07</v>
      </c>
      <c r="H47" s="4">
        <v>0</v>
      </c>
      <c r="I47" s="4">
        <v>32501.345000000001</v>
      </c>
      <c r="J47" s="4">
        <v>32501.345000000001</v>
      </c>
      <c r="K47" s="4">
        <v>27.820539268136102</v>
      </c>
      <c r="L47" s="4">
        <v>27.826494006849316</v>
      </c>
      <c r="M47" s="1">
        <v>32501.345000000001</v>
      </c>
      <c r="N47" s="1">
        <v>27.826494006849316</v>
      </c>
    </row>
    <row r="48" spans="1:14" x14ac:dyDescent="0.2">
      <c r="A48" s="5"/>
      <c r="B48" s="1" t="s">
        <v>30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">
      <c r="A49" s="5"/>
      <c r="B49" s="1" t="s">
        <v>31</v>
      </c>
      <c r="F49" s="1">
        <v>35000</v>
      </c>
      <c r="G49" s="1">
        <v>50000</v>
      </c>
      <c r="H49" s="1">
        <v>15000</v>
      </c>
      <c r="I49" s="1">
        <v>5833.333333333333</v>
      </c>
      <c r="J49" s="1">
        <v>8333.3333333333339</v>
      </c>
      <c r="K49" s="1">
        <v>4.9932234824167203</v>
      </c>
      <c r="L49" s="1">
        <v>7.1347031963470329</v>
      </c>
      <c r="M49" s="1">
        <v>7083.3333333333339</v>
      </c>
      <c r="N49" s="1">
        <v>6.0644977168949774</v>
      </c>
    </row>
    <row r="50" spans="1:14" x14ac:dyDescent="0.2">
      <c r="A50" s="5"/>
      <c r="B50" s="1" t="s">
        <v>32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2">
      <c r="A51" s="5"/>
      <c r="B51" s="1" t="s">
        <v>33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2">
      <c r="A52" s="5"/>
      <c r="B52" s="1" t="s">
        <v>34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">
      <c r="A53" s="5"/>
      <c r="B53" s="1" t="s">
        <v>29</v>
      </c>
      <c r="F53" s="1">
        <v>63236.25</v>
      </c>
      <c r="G53" s="1">
        <v>74733.75</v>
      </c>
      <c r="H53" s="1">
        <v>11497.5</v>
      </c>
      <c r="I53" s="1">
        <v>10539.375</v>
      </c>
      <c r="J53" s="1">
        <v>12455.625</v>
      </c>
      <c r="K53" s="1">
        <v>9.0215065268564096</v>
      </c>
      <c r="L53" s="1">
        <v>10.6640625</v>
      </c>
      <c r="M53" s="1">
        <v>11497.5</v>
      </c>
      <c r="N53" s="1">
        <v>9.84375</v>
      </c>
    </row>
    <row r="54" spans="1:14" x14ac:dyDescent="0.2">
      <c r="A54" s="5"/>
      <c r="B54" s="7" t="s">
        <v>44</v>
      </c>
      <c r="F54" s="1">
        <v>51724</v>
      </c>
      <c r="G54" s="1">
        <v>103448</v>
      </c>
      <c r="H54" s="1">
        <v>51724</v>
      </c>
      <c r="I54" s="1">
        <v>8620.6666666666661</v>
      </c>
      <c r="J54" s="1">
        <v>17241.333333333332</v>
      </c>
      <c r="K54" s="1">
        <v>7.3791283258434976</v>
      </c>
      <c r="L54" s="1">
        <v>14.761415525114154</v>
      </c>
      <c r="M54" s="1">
        <v>12931</v>
      </c>
      <c r="N54" s="1">
        <v>11.071061643835616</v>
      </c>
    </row>
    <row r="55" spans="1:14" x14ac:dyDescent="0.2">
      <c r="A55" s="5"/>
      <c r="B55" s="1" t="s">
        <v>35</v>
      </c>
      <c r="F55" s="1">
        <v>22282.13</v>
      </c>
      <c r="G55" s="1">
        <v>22282.13</v>
      </c>
      <c r="H55" s="1">
        <v>0</v>
      </c>
      <c r="I55" s="1">
        <v>3713.6883333333335</v>
      </c>
      <c r="J55" s="1">
        <v>3713.6883333333335</v>
      </c>
      <c r="K55" s="1">
        <v>3.178847278693202</v>
      </c>
      <c r="L55" s="1">
        <v>3.179527682648402</v>
      </c>
      <c r="M55" s="1">
        <v>3713.6883333333335</v>
      </c>
      <c r="N55" s="1">
        <v>3.179527682648402</v>
      </c>
    </row>
    <row r="56" spans="1:14" x14ac:dyDescent="0.2">
      <c r="A56" s="5"/>
      <c r="B56" s="1" t="s">
        <v>36</v>
      </c>
      <c r="F56" s="1">
        <v>61738</v>
      </c>
      <c r="G56" s="1">
        <v>64415.61</v>
      </c>
      <c r="H56" s="1">
        <v>2677.6100000000006</v>
      </c>
      <c r="I56" s="1">
        <v>10289.666666666666</v>
      </c>
      <c r="J56" s="1">
        <v>10735.934999999999</v>
      </c>
      <c r="K56" s="1">
        <v>8.8077608959269558</v>
      </c>
      <c r="L56" s="1">
        <v>9.1917251712328767</v>
      </c>
      <c r="M56" s="1">
        <v>10512.800833333333</v>
      </c>
      <c r="N56" s="1">
        <v>9.0006856449771693</v>
      </c>
    </row>
    <row r="57" spans="1:14" x14ac:dyDescent="0.2">
      <c r="A57" s="5"/>
      <c r="B57" s="1" t="s">
        <v>37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2">
      <c r="A58" s="5"/>
      <c r="B58" s="1" t="s">
        <v>106</v>
      </c>
      <c r="F58" s="1">
        <v>2500</v>
      </c>
      <c r="G58" s="1">
        <v>2500</v>
      </c>
      <c r="H58" s="1">
        <v>0</v>
      </c>
      <c r="I58" s="1">
        <v>416.66666666666669</v>
      </c>
      <c r="J58" s="1">
        <v>416.66666666666669</v>
      </c>
      <c r="K58" s="1">
        <v>0.3566588201726229</v>
      </c>
      <c r="L58" s="1">
        <v>0.3567351598173516</v>
      </c>
      <c r="M58" s="1">
        <v>416.66666666666669</v>
      </c>
      <c r="N58" s="1">
        <v>0.3567351598173516</v>
      </c>
    </row>
    <row r="59" spans="1:14" x14ac:dyDescent="0.2">
      <c r="A59" s="5"/>
      <c r="B59" s="1" t="s">
        <v>39</v>
      </c>
      <c r="F59" s="1">
        <v>103132.58</v>
      </c>
      <c r="G59" s="1">
        <v>106144.92</v>
      </c>
      <c r="H59" s="1">
        <v>3012.3399999999965</v>
      </c>
      <c r="I59" s="1">
        <v>17188.763333333332</v>
      </c>
      <c r="J59" s="1">
        <v>17690.82</v>
      </c>
      <c r="K59" s="1">
        <v>14.713257721663457</v>
      </c>
      <c r="L59" s="1">
        <v>15.14625</v>
      </c>
      <c r="M59" s="1">
        <v>17439.791666666664</v>
      </c>
      <c r="N59" s="1">
        <v>14.931328481735157</v>
      </c>
    </row>
    <row r="60" spans="1:14" x14ac:dyDescent="0.2">
      <c r="A60" s="5"/>
      <c r="B60" s="1" t="s">
        <v>38</v>
      </c>
      <c r="F60" s="1">
        <f>G60</f>
        <v>98910.43</v>
      </c>
      <c r="G60" s="1">
        <f>141691.47-G61</f>
        <v>98910.43</v>
      </c>
      <c r="H60" s="1">
        <v>0</v>
      </c>
      <c r="I60" s="1">
        <v>16485.071666666667</v>
      </c>
      <c r="J60" s="1">
        <v>16485.071666666667</v>
      </c>
      <c r="K60" s="1">
        <v>14.110910906626721</v>
      </c>
      <c r="L60" s="1">
        <v>14.113931221461188</v>
      </c>
      <c r="M60" s="1">
        <v>16485.071666666667</v>
      </c>
      <c r="N60" s="1">
        <v>14.113931221461188</v>
      </c>
    </row>
    <row r="61" spans="1:14" x14ac:dyDescent="0.2">
      <c r="A61" s="5"/>
      <c r="B61" s="1" t="s">
        <v>103</v>
      </c>
      <c r="F61" s="1">
        <v>36980.25</v>
      </c>
      <c r="G61" s="1">
        <v>42781.04</v>
      </c>
      <c r="H61" s="1">
        <v>5800.7900000000009</v>
      </c>
      <c r="I61" s="1">
        <v>6163.375</v>
      </c>
      <c r="J61" s="1">
        <v>7130.1733333333332</v>
      </c>
      <c r="K61" s="1">
        <v>5.2757329338754548</v>
      </c>
      <c r="L61" s="1">
        <v>6.1046004566210046</v>
      </c>
      <c r="M61" s="1">
        <v>6646.7741666666661</v>
      </c>
      <c r="N61" s="1">
        <v>5.6907313070776251</v>
      </c>
    </row>
    <row r="62" spans="1:14" x14ac:dyDescent="0.2">
      <c r="A62" s="5"/>
      <c r="B62" s="1" t="s">
        <v>40</v>
      </c>
      <c r="F62" s="1">
        <v>11276.98</v>
      </c>
      <c r="G62" s="1">
        <v>12647.25</v>
      </c>
      <c r="H62" s="1">
        <v>1370.2700000000004</v>
      </c>
      <c r="I62" s="1">
        <v>1879.4966666666667</v>
      </c>
      <c r="J62" s="1">
        <v>2107.875</v>
      </c>
      <c r="K62" s="1">
        <v>1.6088137527641058</v>
      </c>
      <c r="L62" s="1">
        <v>1.8046875</v>
      </c>
      <c r="M62" s="1">
        <v>1993.6858333333334</v>
      </c>
      <c r="N62" s="1">
        <v>1.7069228025114156</v>
      </c>
    </row>
    <row r="63" spans="1:14" x14ac:dyDescent="0.2">
      <c r="A63" s="5"/>
      <c r="B63" s="1" t="s">
        <v>41</v>
      </c>
      <c r="F63" s="1">
        <v>46941.41</v>
      </c>
      <c r="G63" s="1">
        <v>51064.72</v>
      </c>
      <c r="H63" s="1">
        <v>4123.3099999999977</v>
      </c>
      <c r="I63" s="1">
        <v>7823.5683333333336</v>
      </c>
      <c r="J63" s="1">
        <v>8510.7866666666669</v>
      </c>
      <c r="K63" s="1">
        <v>6.6968271631357448</v>
      </c>
      <c r="L63" s="1">
        <v>7.2866324200913244</v>
      </c>
      <c r="M63" s="1">
        <v>8167.1774999999998</v>
      </c>
      <c r="N63" s="1">
        <v>6.992446489726027</v>
      </c>
    </row>
    <row r="64" spans="1:14" x14ac:dyDescent="0.2">
      <c r="A64" s="5"/>
      <c r="B64" s="1" t="s">
        <v>42</v>
      </c>
      <c r="F64" s="1">
        <v>17878</v>
      </c>
      <c r="G64" s="1">
        <v>18805.310000000001</v>
      </c>
      <c r="H64" s="1">
        <v>927.31000000000131</v>
      </c>
      <c r="I64" s="1">
        <v>2979.6666666666665</v>
      </c>
      <c r="J64" s="1">
        <v>3134.2183333333337</v>
      </c>
      <c r="K64" s="1">
        <v>2.5505385548184605</v>
      </c>
      <c r="L64" s="1">
        <v>2.6834061073059363</v>
      </c>
      <c r="M64" s="1">
        <v>3056.9425000000001</v>
      </c>
      <c r="N64" s="1">
        <v>2.6172452910958905</v>
      </c>
    </row>
    <row r="65" spans="1:14" x14ac:dyDescent="0.2">
      <c r="A65" s="5"/>
      <c r="B65" s="1" t="s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2">
      <c r="A66" s="5"/>
      <c r="B66" s="1" t="s">
        <v>45</v>
      </c>
      <c r="F66" s="1">
        <v>43460.55</v>
      </c>
      <c r="G66" s="1">
        <v>70824.600000000006</v>
      </c>
      <c r="H66" s="1">
        <v>27364.050000000003</v>
      </c>
      <c r="I66" s="1">
        <v>7243.4250000000002</v>
      </c>
      <c r="J66" s="1">
        <v>11804.1</v>
      </c>
      <c r="K66" s="1">
        <v>6.2002353948213145</v>
      </c>
      <c r="L66" s="1">
        <v>10.106250000000001</v>
      </c>
      <c r="M66" s="1">
        <v>9523.7625000000007</v>
      </c>
      <c r="N66" s="1">
        <v>8.1539062500000004</v>
      </c>
    </row>
    <row r="67" spans="1:14" x14ac:dyDescent="0.2">
      <c r="A67" s="5"/>
      <c r="B67" s="1" t="s">
        <v>49</v>
      </c>
      <c r="F67" s="1">
        <v>31388.17</v>
      </c>
      <c r="G67" s="1">
        <v>31388.17</v>
      </c>
      <c r="H67" s="1">
        <v>0</v>
      </c>
      <c r="I67" s="1">
        <v>5231.3616666666667</v>
      </c>
      <c r="J67" s="1">
        <v>5231.3616666666667</v>
      </c>
      <c r="K67" s="1">
        <v>4.4779470718310863</v>
      </c>
      <c r="L67" s="1">
        <v>4.4789055365296804</v>
      </c>
      <c r="M67" s="1">
        <v>5231.3616666666667</v>
      </c>
      <c r="N67" s="1">
        <v>4.4789055365296804</v>
      </c>
    </row>
    <row r="68" spans="1:14" x14ac:dyDescent="0.2">
      <c r="A68" s="5"/>
      <c r="B68" s="1" t="s">
        <v>46</v>
      </c>
      <c r="F68" s="1">
        <v>55360.46</v>
      </c>
      <c r="G68" s="1">
        <v>88300.800000000003</v>
      </c>
      <c r="H68" s="1">
        <v>32940.340000000004</v>
      </c>
      <c r="I68" s="1">
        <v>9226.7433333333338</v>
      </c>
      <c r="J68" s="1">
        <v>14716.800000000001</v>
      </c>
      <c r="K68" s="1">
        <v>7.8979185391254729</v>
      </c>
      <c r="L68" s="1">
        <v>12.600000000000001</v>
      </c>
      <c r="M68" s="1">
        <v>11971.771666666667</v>
      </c>
      <c r="N68" s="1">
        <v>10.249804509132421</v>
      </c>
    </row>
    <row r="69" spans="1:14" x14ac:dyDescent="0.2">
      <c r="A69" s="5"/>
      <c r="B69" s="1" t="s">
        <v>47</v>
      </c>
      <c r="F69" s="1">
        <v>26731.69</v>
      </c>
      <c r="G69" s="1">
        <f>F69</f>
        <v>26731.69</v>
      </c>
      <c r="H69" s="1">
        <v>0</v>
      </c>
      <c r="I69" s="1">
        <v>4455.2816666666668</v>
      </c>
      <c r="J69" s="1">
        <v>4455.2816666666668</v>
      </c>
      <c r="K69" s="1">
        <v>3.8136372066481203</v>
      </c>
      <c r="L69" s="1">
        <v>3.8144534817351601</v>
      </c>
      <c r="M69" s="1">
        <v>4455.2816666666668</v>
      </c>
      <c r="N69" s="1">
        <v>3.8144534817351601</v>
      </c>
    </row>
    <row r="70" spans="1:14" x14ac:dyDescent="0.2">
      <c r="A70" s="5"/>
      <c r="B70" s="1" t="s">
        <v>48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2">
      <c r="A71" s="5"/>
      <c r="B71" s="1" t="s">
        <v>50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2">
      <c r="A72" s="5"/>
      <c r="B72" s="1" t="s">
        <v>51</v>
      </c>
      <c r="F72" s="1">
        <v>40221.699999999997</v>
      </c>
      <c r="G72" s="1">
        <v>51085.69</v>
      </c>
      <c r="H72" s="1">
        <v>10863.990000000005</v>
      </c>
      <c r="I72" s="1">
        <v>6703.6166666666659</v>
      </c>
      <c r="J72" s="1">
        <v>8514.2816666666677</v>
      </c>
      <c r="K72" s="1">
        <v>5.7381696269348739</v>
      </c>
      <c r="L72" s="1">
        <v>7.2896247146118727</v>
      </c>
      <c r="M72" s="1">
        <v>7608.9491666666672</v>
      </c>
      <c r="N72" s="1">
        <v>6.5145112728310508</v>
      </c>
    </row>
    <row r="73" spans="1:14" x14ac:dyDescent="0.2">
      <c r="A73" s="5"/>
      <c r="B73" s="1" t="s">
        <v>59</v>
      </c>
      <c r="F73" s="1">
        <v>12647.25</v>
      </c>
      <c r="G73" s="1">
        <v>12647.225</v>
      </c>
      <c r="H73" s="1">
        <v>-2.4999999999636202E-2</v>
      </c>
      <c r="I73" s="1">
        <v>2107.875</v>
      </c>
      <c r="J73" s="1">
        <v>2107.8708333333334</v>
      </c>
      <c r="K73" s="1">
        <v>1.8043013053712817</v>
      </c>
      <c r="L73" s="1">
        <v>1.8046839326484019</v>
      </c>
      <c r="M73" s="1">
        <v>2107.8729166666667</v>
      </c>
      <c r="N73" s="1">
        <v>1.8046857163242009</v>
      </c>
    </row>
    <row r="74" spans="1:14" x14ac:dyDescent="0.2">
      <c r="A74" s="5"/>
      <c r="B74" s="1" t="s">
        <v>60</v>
      </c>
      <c r="F74" s="1">
        <v>40803.480000000003</v>
      </c>
      <c r="G74" s="1">
        <v>40803.480000000003</v>
      </c>
      <c r="H74" s="1">
        <v>0</v>
      </c>
      <c r="I74" s="1">
        <v>6800.5800000000008</v>
      </c>
      <c r="J74" s="1">
        <v>6800.5800000000008</v>
      </c>
      <c r="K74" s="1">
        <v>5.8211684142948865</v>
      </c>
      <c r="L74" s="1">
        <v>5.8224143835616449</v>
      </c>
      <c r="M74" s="1">
        <v>6800.5800000000008</v>
      </c>
      <c r="N74" s="1">
        <v>5.8224143835616449</v>
      </c>
    </row>
    <row r="75" spans="1:14" x14ac:dyDescent="0.2">
      <c r="A75" s="5"/>
      <c r="B75" s="1" t="s">
        <v>104</v>
      </c>
      <c r="F75" s="1">
        <v>3840.17</v>
      </c>
      <c r="G75" s="1">
        <v>3840.17</v>
      </c>
      <c r="H75" s="1">
        <v>0</v>
      </c>
      <c r="I75" s="1">
        <v>640.02833333333331</v>
      </c>
      <c r="J75" s="1">
        <v>640.02833333333331</v>
      </c>
      <c r="K75" s="1">
        <v>0.54785220058492046</v>
      </c>
      <c r="L75" s="1">
        <v>0.54796946347031961</v>
      </c>
      <c r="M75" s="1">
        <v>640.02833333333331</v>
      </c>
      <c r="N75" s="1">
        <v>0.54796946347031961</v>
      </c>
    </row>
    <row r="76" spans="1:14" x14ac:dyDescent="0.2">
      <c r="A76" s="5"/>
      <c r="B76" s="1" t="s">
        <v>61</v>
      </c>
      <c r="F76" s="1">
        <v>44778.85</v>
      </c>
      <c r="G76" s="1">
        <v>61685.93</v>
      </c>
      <c r="H76" s="1">
        <v>16907.080000000002</v>
      </c>
      <c r="I76" s="1">
        <v>7463.1416666666664</v>
      </c>
      <c r="J76" s="1">
        <v>10280.988333333333</v>
      </c>
      <c r="K76" s="1">
        <v>6.3883087238747409</v>
      </c>
      <c r="L76" s="1">
        <v>8.8022160388127855</v>
      </c>
      <c r="M76" s="1">
        <v>8872.0649999999987</v>
      </c>
      <c r="N76" s="1">
        <v>7.5959460616438346</v>
      </c>
    </row>
    <row r="77" spans="1:14" x14ac:dyDescent="0.2">
      <c r="A77" s="5"/>
      <c r="B77" s="1" t="s">
        <v>62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2">
      <c r="A78" s="5"/>
      <c r="B78" s="1" t="s">
        <v>63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 x14ac:dyDescent="0.2">
      <c r="A79" s="5"/>
      <c r="B79" s="1" t="s">
        <v>52</v>
      </c>
      <c r="F79" s="1">
        <v>27242.42</v>
      </c>
      <c r="G79" s="1">
        <v>27242.42</v>
      </c>
      <c r="H79" s="1">
        <v>0</v>
      </c>
      <c r="I79" s="1">
        <v>4540.4033333333327</v>
      </c>
      <c r="J79" s="1">
        <v>4540.4033333333327</v>
      </c>
      <c r="K79" s="1">
        <v>3.8864997503388254</v>
      </c>
      <c r="L79" s="1">
        <v>3.8873316210045656</v>
      </c>
      <c r="M79" s="1">
        <v>4540.4033333333327</v>
      </c>
      <c r="N79" s="1">
        <v>3.8873316210045656</v>
      </c>
    </row>
    <row r="80" spans="1:14" x14ac:dyDescent="0.2">
      <c r="A80" s="5"/>
      <c r="B80" s="1" t="s">
        <v>53</v>
      </c>
      <c r="F80" s="1">
        <v>12463.29</v>
      </c>
      <c r="G80" s="1">
        <v>24378.25</v>
      </c>
      <c r="H80" s="1">
        <v>11914.96</v>
      </c>
      <c r="I80" s="1">
        <v>2077.2150000000001</v>
      </c>
      <c r="J80" s="1">
        <v>4063.0416666666665</v>
      </c>
      <c r="K80" s="1">
        <v>1.7780569227476997</v>
      </c>
      <c r="L80" s="1">
        <v>3.4786315639269407</v>
      </c>
      <c r="M80" s="1">
        <v>3070.1283333333331</v>
      </c>
      <c r="N80" s="1">
        <v>2.6285345319634703</v>
      </c>
    </row>
    <row r="81" spans="1:14" x14ac:dyDescent="0.2">
      <c r="A81" s="5"/>
      <c r="B81" s="1" t="s">
        <v>54</v>
      </c>
      <c r="F81" s="1">
        <v>18091.310000000001</v>
      </c>
      <c r="G81" s="1">
        <v>20167.7</v>
      </c>
      <c r="H81" s="1">
        <v>2076.3899999999994</v>
      </c>
      <c r="I81" s="1">
        <v>3015.2183333333337</v>
      </c>
      <c r="J81" s="1">
        <v>3361.2833333333333</v>
      </c>
      <c r="K81" s="1">
        <v>2.5809701119908697</v>
      </c>
      <c r="L81" s="1">
        <v>2.8778110730593607</v>
      </c>
      <c r="M81" s="1">
        <v>3188.2508333333335</v>
      </c>
      <c r="N81" s="1">
        <v>2.7296668093607308</v>
      </c>
    </row>
    <row r="82" spans="1:14" x14ac:dyDescent="0.2">
      <c r="A82" s="5"/>
      <c r="B82" s="1" t="s">
        <v>68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 x14ac:dyDescent="0.2">
      <c r="A83" s="5"/>
      <c r="B83" s="1" t="s">
        <v>55</v>
      </c>
      <c r="F83" s="1">
        <v>23975.64</v>
      </c>
      <c r="G83" s="1">
        <v>23975.64</v>
      </c>
      <c r="H83" s="1">
        <v>0</v>
      </c>
      <c r="I83" s="1">
        <v>3995.94</v>
      </c>
      <c r="J83" s="1">
        <v>3995.94</v>
      </c>
      <c r="K83" s="1">
        <v>3.4204493901134176</v>
      </c>
      <c r="L83" s="1">
        <v>3.4211815068493152</v>
      </c>
      <c r="M83" s="1">
        <v>3995.94</v>
      </c>
      <c r="N83" s="1">
        <v>3.4211815068493152</v>
      </c>
    </row>
    <row r="84" spans="1:14" x14ac:dyDescent="0.2">
      <c r="A84" s="5"/>
      <c r="B84" s="1" t="s">
        <v>67</v>
      </c>
      <c r="F84" s="1">
        <v>8664.52</v>
      </c>
      <c r="G84" s="1">
        <v>19137.580000000002</v>
      </c>
      <c r="H84" s="1">
        <v>10473.060000000001</v>
      </c>
      <c r="I84" s="1">
        <v>1444.0866666666668</v>
      </c>
      <c r="J84" s="1">
        <v>3189.5966666666668</v>
      </c>
      <c r="K84" s="1">
        <v>1.2361109922248379</v>
      </c>
      <c r="L84" s="1">
        <v>2.730819063926941</v>
      </c>
      <c r="M84" s="1">
        <v>2316.8416666666667</v>
      </c>
      <c r="N84" s="1">
        <v>1.9835973173515982</v>
      </c>
    </row>
    <row r="85" spans="1:14" x14ac:dyDescent="0.2">
      <c r="A85" s="5"/>
      <c r="B85" s="1" t="s">
        <v>56</v>
      </c>
      <c r="F85" s="1">
        <v>13024.36</v>
      </c>
      <c r="G85" s="1">
        <v>13024.36</v>
      </c>
      <c r="H85" s="1">
        <v>0</v>
      </c>
      <c r="I85" s="1">
        <v>2170.7266666666669</v>
      </c>
      <c r="J85" s="1">
        <v>2170.7266666666669</v>
      </c>
      <c r="K85" s="1">
        <v>1.8581011484414012</v>
      </c>
      <c r="L85" s="1">
        <v>1.8584988584474889</v>
      </c>
      <c r="M85" s="1">
        <v>2170.7266666666669</v>
      </c>
      <c r="N85" s="1">
        <v>1.8584988584474889</v>
      </c>
    </row>
    <row r="86" spans="1:14" x14ac:dyDescent="0.2">
      <c r="A86" s="5"/>
      <c r="B86" s="7" t="s">
        <v>64</v>
      </c>
      <c r="F86" s="1">
        <v>12000</v>
      </c>
      <c r="G86" s="1">
        <v>12000</v>
      </c>
      <c r="H86" s="1">
        <v>0</v>
      </c>
      <c r="I86" s="1">
        <v>2000</v>
      </c>
      <c r="J86" s="1">
        <v>2000</v>
      </c>
      <c r="K86" s="1">
        <v>1.7119623368285897</v>
      </c>
      <c r="L86" s="1">
        <v>1.7123287671232876</v>
      </c>
      <c r="M86" s="1">
        <v>2000</v>
      </c>
      <c r="N86" s="1">
        <v>1.7123287671232876</v>
      </c>
    </row>
    <row r="87" spans="1:14" x14ac:dyDescent="0.2">
      <c r="A87" s="5"/>
      <c r="B87" s="1" t="s">
        <v>57</v>
      </c>
      <c r="F87" s="1">
        <v>38113.870000000003</v>
      </c>
      <c r="G87" s="1">
        <v>89622</v>
      </c>
      <c r="H87" s="1">
        <v>51508.13</v>
      </c>
      <c r="I87" s="1">
        <v>6352.3116666666674</v>
      </c>
      <c r="J87" s="1">
        <v>14937</v>
      </c>
      <c r="K87" s="1">
        <v>5.4374591625650908</v>
      </c>
      <c r="L87" s="1">
        <v>12.788527397260275</v>
      </c>
      <c r="M87" s="1">
        <v>10644.655833333334</v>
      </c>
      <c r="N87" s="1">
        <v>9.1135751997716898</v>
      </c>
    </row>
    <row r="88" spans="1:14" x14ac:dyDescent="0.2">
      <c r="A88" s="5"/>
      <c r="B88" s="1" t="s">
        <v>58</v>
      </c>
      <c r="F88" s="1">
        <v>6898.5</v>
      </c>
      <c r="H88" s="1">
        <v>-6898.5</v>
      </c>
      <c r="I88" s="1">
        <v>1149.75</v>
      </c>
      <c r="J88" s="1">
        <v>0</v>
      </c>
      <c r="K88" s="1">
        <v>0.98416434838433553</v>
      </c>
      <c r="L88" s="1">
        <v>0</v>
      </c>
      <c r="M88" s="1">
        <v>574.875</v>
      </c>
      <c r="N88" s="1">
        <v>0.4921875</v>
      </c>
    </row>
    <row r="89" spans="1:14" x14ac:dyDescent="0.2">
      <c r="A89" s="5"/>
      <c r="B89" s="1" t="s">
        <v>65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2">
      <c r="A90" s="5"/>
      <c r="B90" s="1" t="s">
        <v>66</v>
      </c>
      <c r="F90" s="1">
        <v>8278.2000000000007</v>
      </c>
      <c r="G90" s="1">
        <f>F90*2</f>
        <v>16556.400000000001</v>
      </c>
      <c r="H90" s="1">
        <v>8278.2000000000007</v>
      </c>
      <c r="I90" s="1">
        <v>1379.7</v>
      </c>
      <c r="J90" s="1">
        <v>2759.4</v>
      </c>
      <c r="K90" s="1">
        <v>1.1809972180612027</v>
      </c>
      <c r="L90" s="1">
        <v>2.3625000000000003</v>
      </c>
      <c r="M90" s="1">
        <v>2069.5500000000002</v>
      </c>
      <c r="N90" s="1">
        <v>1.7718750000000001</v>
      </c>
    </row>
    <row r="91" spans="1:14" x14ac:dyDescent="0.2">
      <c r="A91" s="5"/>
      <c r="B91" s="1" t="s">
        <v>69</v>
      </c>
      <c r="F91" s="1">
        <v>1500</v>
      </c>
      <c r="G91" s="1">
        <v>3000</v>
      </c>
      <c r="H91" s="1">
        <v>1500</v>
      </c>
      <c r="I91" s="1">
        <v>250</v>
      </c>
      <c r="J91" s="1">
        <v>500</v>
      </c>
      <c r="K91" s="1">
        <v>0.21399529210357371</v>
      </c>
      <c r="L91" s="1">
        <v>0.42808219178082191</v>
      </c>
      <c r="M91" s="1">
        <v>375</v>
      </c>
      <c r="N91" s="1">
        <v>0.32106164383561642</v>
      </c>
    </row>
    <row r="92" spans="1:14" x14ac:dyDescent="0.2">
      <c r="A92" s="5"/>
      <c r="B92" s="7" t="s">
        <v>70</v>
      </c>
      <c r="F92" s="1">
        <v>5000</v>
      </c>
      <c r="G92" s="1">
        <v>8000</v>
      </c>
      <c r="H92" s="1">
        <v>3000</v>
      </c>
      <c r="I92" s="1">
        <v>833.33333333333337</v>
      </c>
      <c r="J92" s="1">
        <v>1333.3333333333333</v>
      </c>
      <c r="K92" s="1">
        <v>0.71331764034524581</v>
      </c>
      <c r="L92" s="1">
        <v>1.1415525114155249</v>
      </c>
      <c r="M92" s="1">
        <v>1083.3333333333333</v>
      </c>
      <c r="N92" s="1">
        <v>0.92751141552511407</v>
      </c>
    </row>
    <row r="93" spans="1:14" x14ac:dyDescent="0.2">
      <c r="A93" s="5"/>
      <c r="B93" s="1" t="s">
        <v>71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 x14ac:dyDescent="0.2">
      <c r="A94" s="5"/>
      <c r="B94" s="1" t="s">
        <v>88</v>
      </c>
      <c r="F94" s="1">
        <v>3000</v>
      </c>
      <c r="G94" s="1">
        <v>6000</v>
      </c>
      <c r="H94" s="1">
        <v>3000</v>
      </c>
      <c r="I94" s="1">
        <v>500</v>
      </c>
      <c r="J94" s="1">
        <v>1000</v>
      </c>
      <c r="K94" s="1">
        <v>0.42799058420714742</v>
      </c>
      <c r="L94" s="1">
        <v>0.85616438356164382</v>
      </c>
      <c r="M94" s="1">
        <v>750</v>
      </c>
      <c r="N94" s="1">
        <v>0.64212328767123283</v>
      </c>
    </row>
    <row r="95" spans="1:14" x14ac:dyDescent="0.2">
      <c r="A95" s="5"/>
      <c r="B95" s="1" t="s">
        <v>72</v>
      </c>
      <c r="F95" s="1">
        <v>3000</v>
      </c>
      <c r="G95" s="1">
        <v>6000</v>
      </c>
      <c r="H95" s="1">
        <v>3000</v>
      </c>
      <c r="I95" s="1">
        <v>500</v>
      </c>
      <c r="J95" s="1">
        <v>1000</v>
      </c>
      <c r="K95" s="1">
        <v>0.42799058420714742</v>
      </c>
      <c r="L95" s="1">
        <v>0.85616438356164382</v>
      </c>
      <c r="M95" s="1">
        <v>750</v>
      </c>
      <c r="N95" s="1">
        <v>0.64212328767123283</v>
      </c>
    </row>
    <row r="96" spans="1:14" x14ac:dyDescent="0.2">
      <c r="A96" s="5"/>
      <c r="B96" s="1" t="s">
        <v>73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 x14ac:dyDescent="0.2">
      <c r="A97" s="5"/>
      <c r="B97" s="1" t="s">
        <v>74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 x14ac:dyDescent="0.2">
      <c r="A98" s="5"/>
      <c r="B98" s="1" t="s">
        <v>75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 x14ac:dyDescent="0.2">
      <c r="A99" s="5"/>
      <c r="B99" s="1" t="s">
        <v>75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</row>
    <row r="100" spans="1:14" x14ac:dyDescent="0.2">
      <c r="A100" s="5"/>
      <c r="B100" s="1" t="s">
        <v>75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x14ac:dyDescent="0.2">
      <c r="A101" s="13"/>
      <c r="B101" s="13" t="s">
        <v>99</v>
      </c>
      <c r="C101" s="13"/>
      <c r="D101" s="13"/>
      <c r="E101" s="13"/>
      <c r="F101" s="13">
        <f>SUM(F48:F100)</f>
        <v>1032084.4600000001</v>
      </c>
      <c r="G101" s="13">
        <f>SUM(G48:G100)</f>
        <v>1304145.2650000001</v>
      </c>
      <c r="H101" s="13">
        <f>SUM(H4:H100)</f>
        <v>452060.80499999999</v>
      </c>
      <c r="I101" s="13">
        <v>172014.07666666669</v>
      </c>
      <c r="J101" s="13">
        <v>217357.54416666669</v>
      </c>
      <c r="K101" s="1">
        <v>147.24081032883944</v>
      </c>
      <c r="L101" s="1">
        <v>186.09378781392695</v>
      </c>
      <c r="M101" s="1">
        <v>194685.81041666667</v>
      </c>
      <c r="N101" s="1">
        <v>166.68305686358448</v>
      </c>
    </row>
    <row r="102" spans="1:14" x14ac:dyDescent="0.2">
      <c r="A102" s="4"/>
      <c r="B102" s="4" t="s">
        <v>101</v>
      </c>
      <c r="C102" s="4"/>
      <c r="D102" s="4"/>
      <c r="E102" s="4"/>
      <c r="F102" s="4">
        <f>F7</f>
        <v>180000</v>
      </c>
      <c r="G102" s="4">
        <f>G7</f>
        <v>270000</v>
      </c>
      <c r="H102" s="4"/>
      <c r="I102" s="4">
        <v>30000</v>
      </c>
      <c r="J102" s="4">
        <v>45000</v>
      </c>
      <c r="K102" s="1">
        <v>25.679435052428847</v>
      </c>
      <c r="L102" s="1">
        <v>38.527397260273972</v>
      </c>
      <c r="M102" s="1">
        <v>37500</v>
      </c>
      <c r="N102" s="1">
        <v>32.106164383561641</v>
      </c>
    </row>
    <row r="103" spans="1:14" x14ac:dyDescent="0.2">
      <c r="A103" s="8"/>
      <c r="B103" s="8" t="s">
        <v>100</v>
      </c>
      <c r="C103" s="8"/>
      <c r="D103" s="8"/>
      <c r="E103" s="8"/>
      <c r="F103" s="8">
        <f>F47</f>
        <v>195008.07</v>
      </c>
      <c r="G103" s="8">
        <f>G47</f>
        <v>195008.07</v>
      </c>
      <c r="H103" s="8"/>
      <c r="I103" s="8">
        <v>32501.345000000001</v>
      </c>
      <c r="J103" s="8">
        <v>32501.345000000001</v>
      </c>
      <c r="K103" s="1">
        <v>27.820539268136102</v>
      </c>
      <c r="L103" s="1">
        <v>27.826494006849316</v>
      </c>
      <c r="M103" s="1">
        <v>32501.345000000001</v>
      </c>
      <c r="N103" s="1">
        <v>27.826494006849316</v>
      </c>
    </row>
    <row r="104" spans="1:14" x14ac:dyDescent="0.2">
      <c r="A104" s="3"/>
      <c r="B104" s="3" t="s">
        <v>28</v>
      </c>
      <c r="C104" s="3"/>
      <c r="D104" s="3"/>
      <c r="E104" s="3"/>
      <c r="F104" s="3">
        <f>SUM(F101:F103)</f>
        <v>1407092.53</v>
      </c>
      <c r="G104" s="3">
        <f>SUM(G101:G103)</f>
        <v>1769153.3350000002</v>
      </c>
      <c r="H104" s="3"/>
      <c r="I104" s="3">
        <v>234515.42166666666</v>
      </c>
      <c r="J104" s="3">
        <v>294858.88916666672</v>
      </c>
      <c r="K104" s="1">
        <v>200.74078464940439</v>
      </c>
      <c r="L104" s="1">
        <v>252.44767908105027</v>
      </c>
      <c r="M104" s="1">
        <v>264687.1554166667</v>
      </c>
      <c r="N104" s="1">
        <v>226.61571525399546</v>
      </c>
    </row>
    <row r="105" spans="1:14" x14ac:dyDescent="0.2">
      <c r="A105" s="8"/>
      <c r="B105" s="8" t="s">
        <v>89</v>
      </c>
      <c r="C105" s="8"/>
      <c r="D105" s="8"/>
      <c r="E105" s="8"/>
      <c r="F105" s="8"/>
      <c r="G105" s="8">
        <f>G104*0.1</f>
        <v>176915.33350000004</v>
      </c>
      <c r="H105" s="8"/>
      <c r="I105" s="8">
        <v>0</v>
      </c>
      <c r="J105" s="8">
        <v>29485.888916666674</v>
      </c>
      <c r="K105" s="1">
        <v>0</v>
      </c>
      <c r="L105" s="1">
        <v>25.244767908105029</v>
      </c>
      <c r="M105" s="1">
        <v>14742.944458333337</v>
      </c>
      <c r="N105" s="1">
        <v>12.622383954052514</v>
      </c>
    </row>
    <row r="106" spans="1:14" x14ac:dyDescent="0.2">
      <c r="A106" s="9"/>
      <c r="B106" s="9" t="s">
        <v>90</v>
      </c>
      <c r="C106" s="9"/>
      <c r="D106" s="9"/>
      <c r="E106" s="9"/>
      <c r="F106" s="9">
        <f>SUM(F104:F105)</f>
        <v>1407092.53</v>
      </c>
      <c r="G106" s="9">
        <f>SUM(G104:G105)</f>
        <v>1946068.6685000001</v>
      </c>
      <c r="H106" s="9"/>
      <c r="I106" s="9">
        <v>234515.42166666666</v>
      </c>
      <c r="J106" s="9">
        <v>324344.77808333334</v>
      </c>
      <c r="K106" s="1">
        <v>200.74078464940439</v>
      </c>
      <c r="L106" s="1">
        <v>277.69244698915526</v>
      </c>
      <c r="M106" s="1">
        <v>279430.09987500001</v>
      </c>
      <c r="N106" s="1">
        <v>239.23809920804797</v>
      </c>
    </row>
  </sheetData>
  <pageMargins left="0.25" right="0.25" top="0.75" bottom="0.75" header="0.3" footer="0.3"/>
  <pageSetup scale="3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23A6-984C-5D41-999B-5C8A5BDFDDE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Laforce-Steben</dc:creator>
  <cp:lastModifiedBy>Bloom Comptabilité (info)</cp:lastModifiedBy>
  <cp:lastPrinted>2024-07-11T18:06:33Z</cp:lastPrinted>
  <dcterms:created xsi:type="dcterms:W3CDTF">2024-02-28T15:13:52Z</dcterms:created>
  <dcterms:modified xsi:type="dcterms:W3CDTF">2024-08-28T14:05:14Z</dcterms:modified>
</cp:coreProperties>
</file>