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fermeture rh /"/>
    </mc:Choice>
  </mc:AlternateContent>
  <xr:revisionPtr revIDLastSave="0" documentId="8_{124F7AC7-392A-B847-868B-9B3C41050D2C}" xr6:coauthVersionLast="47" xr6:coauthVersionMax="47" xr10:uidLastSave="{00000000-0000-0000-0000-000000000000}"/>
  <bookViews>
    <workbookView xWindow="3220" yWindow="500" windowWidth="29180" windowHeight="19280" xr2:uid="{E575CF95-06F1-E344-A12F-01C568C483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F4" i="2" s="1"/>
  <c r="C16" i="2" s="1"/>
  <c r="E29" i="2"/>
  <c r="F29" i="2" s="1"/>
  <c r="C45" i="2"/>
  <c r="D22" i="2"/>
  <c r="D25" i="2" s="1"/>
  <c r="D29" i="2" s="1" a="1"/>
  <c r="D29" i="2" s="1"/>
  <c r="C37" i="2"/>
  <c r="D37" i="2" s="1"/>
  <c r="E37" i="2" s="1"/>
  <c r="F37" i="2" s="1"/>
  <c r="G37" i="2" s="1"/>
  <c r="C44" i="2" s="1"/>
  <c r="D44" i="2" s="1"/>
  <c r="F3" i="2"/>
  <c r="C13" i="2" s="1"/>
  <c r="F8" i="2"/>
  <c r="C19" i="1"/>
  <c r="C22" i="1" s="1"/>
  <c r="C16" i="1"/>
  <c r="C15" i="1"/>
  <c r="D46" i="2" l="1"/>
  <c r="D50" i="2" s="1" a="1"/>
  <c r="D50" i="2" s="1"/>
  <c r="C14" i="2"/>
  <c r="F12" i="2" s="1"/>
  <c r="C15" i="2"/>
  <c r="F13" i="2" s="1"/>
  <c r="F17" i="2" l="1" a="1"/>
  <c r="F17" i="2" s="1"/>
  <c r="G17" i="2" s="1" a="1"/>
  <c r="G17" i="2" s="1"/>
  <c r="H17" i="2" s="1" a="1"/>
  <c r="H17" i="2" s="1"/>
  <c r="I17" i="2" s="1" a="1"/>
  <c r="I17" i="2" s="1"/>
  <c r="J17" i="2" s="1" a="1"/>
  <c r="J17" i="2" s="1"/>
  <c r="C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<sst xmlns="http://schemas.openxmlformats.org/spreadsheetml/2006/main" count="86" uniqueCount="59">
  <si>
    <t xml:space="preserve">A CED </t>
  </si>
  <si>
    <t>DEJA DEBOURSER</t>
  </si>
  <si>
    <t xml:space="preserve">A DEBOURSER </t>
  </si>
  <si>
    <t xml:space="preserve">REMB OPTICIEN </t>
  </si>
  <si>
    <t xml:space="preserve">RH DOIT A BLOOM </t>
  </si>
  <si>
    <t xml:space="preserve">RINGUETTE </t>
  </si>
  <si>
    <t>TAXES RH</t>
  </si>
  <si>
    <t xml:space="preserve">ANAIS </t>
  </si>
  <si>
    <t>JAN-PRO</t>
  </si>
  <si>
    <t>SERVICOFAX</t>
  </si>
  <si>
    <t>TAXES BLOOM</t>
  </si>
  <si>
    <t>PLANIGO</t>
  </si>
  <si>
    <t xml:space="preserve">CDC RH </t>
  </si>
  <si>
    <t xml:space="preserve">CDC BLOOM </t>
  </si>
  <si>
    <t xml:space="preserve">FOURNISSEUR BLOOM </t>
  </si>
  <si>
    <t xml:space="preserve">A CDO POUR NICK MAROIE </t>
  </si>
  <si>
    <t xml:space="preserve">TOTAL </t>
  </si>
  <si>
    <t>TERRAIN</t>
  </si>
  <si>
    <t xml:space="preserve">FELIX </t>
  </si>
  <si>
    <t>J-S</t>
  </si>
  <si>
    <t>JAY</t>
  </si>
  <si>
    <t xml:space="preserve">PART </t>
  </si>
  <si>
    <t xml:space="preserve">RH </t>
  </si>
  <si>
    <t>TOTAL</t>
  </si>
  <si>
    <t xml:space="preserve">BATEAU </t>
  </si>
  <si>
    <t>PART %</t>
  </si>
  <si>
    <t xml:space="preserve">MONANT </t>
  </si>
  <si>
    <t xml:space="preserve">PROJET </t>
  </si>
  <si>
    <t xml:space="preserve">MONTANT </t>
  </si>
  <si>
    <t>FELIX</t>
  </si>
  <si>
    <t>CED</t>
  </si>
  <si>
    <t xml:space="preserve">JAY </t>
  </si>
  <si>
    <t xml:space="preserve">TERRAIN </t>
  </si>
  <si>
    <t xml:space="preserve">APRES 5 ANS </t>
  </si>
  <si>
    <t xml:space="preserve">CONSTRUCTION </t>
  </si>
  <si>
    <t xml:space="preserve">REFINANCEMENT </t>
  </si>
  <si>
    <t xml:space="preserve">FINANCEMENT </t>
  </si>
  <si>
    <t>DIFF</t>
  </si>
  <si>
    <t>ETAPE</t>
  </si>
  <si>
    <t xml:space="preserve">REMBOURSSEMENT </t>
  </si>
  <si>
    <t xml:space="preserve">A DIVISER </t>
  </si>
  <si>
    <t>DETTE</t>
  </si>
  <si>
    <t xml:space="preserve">2 ANS </t>
  </si>
  <si>
    <t xml:space="preserve">3 ANS </t>
  </si>
  <si>
    <t xml:space="preserve">4 ANS </t>
  </si>
  <si>
    <t xml:space="preserve">5ANS </t>
  </si>
  <si>
    <t xml:space="preserve">1ANS </t>
  </si>
  <si>
    <t xml:space="preserve">FINI </t>
  </si>
  <si>
    <t xml:space="preserve">VALEUR </t>
  </si>
  <si>
    <t xml:space="preserve">PRISE DE VALEUR 4% </t>
  </si>
  <si>
    <t xml:space="preserve">BAISSE DE CAPITAL </t>
  </si>
  <si>
    <t xml:space="preserve">1 ANS </t>
  </si>
  <si>
    <t xml:space="preserve">5 ANS </t>
  </si>
  <si>
    <t xml:space="preserve">REHYPOTHEQUE POSSIBLE APRES 5 ANS </t>
  </si>
  <si>
    <t xml:space="preserve">HYPO RESTANTE </t>
  </si>
  <si>
    <t xml:space="preserve">DETTE RESTANTE FINI </t>
  </si>
  <si>
    <t xml:space="preserve">DETTE APRES 5 ANS </t>
  </si>
  <si>
    <t xml:space="preserve">6 PLEX </t>
  </si>
  <si>
    <t xml:space="preserve">REMB PHARMACIEN et opto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</si>
</sst>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1" xfId="0" applyFont="1" applyBorder="1"/>
    <xf numFmtId="44" fontId="2" fillId="0" borderId="1" xfId="1" applyFont="1" applyBorder="1" applyAlignment="1">
      <alignment horizontal="center"/>
    </xf>
    <xf numFmtId="0" fontId="2" fillId="0" borderId="1" xfId="1" applyNumberFormat="1" applyFont="1" applyBorder="1"/>
    <xf numFmtId="44" fontId="2" fillId="0" borderId="1" xfId="1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44" fontId="2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527A-A664-0049-9697-3A1411D9BC7A}">
  <sheetPr>
    <pageSetUpPr fitToPage="1"/>
  </sheetPr>
  <dimension ref="B3:G22"/>
  <sheetViews>
    <sheetView tabSelected="1" zoomScale="120" zoomScaleNormal="120" workbookViewId="0">
      <selection activeCell="C19" sqref="C19"/>
    </sheetView>
  </sheetViews>
  <sheetFormatPr baseColWidth="10" defaultRowHeight="16" x14ac:dyDescent="0.2"/>
  <cols>
    <col min="1" max="1" width="10.83203125" style="2"/>
    <col min="2" max="2" width="25.83203125" style="2" bestFit="1" customWidth="1"/>
    <col min="3" max="3" width="12.5" style="2" bestFit="1" customWidth="1"/>
    <col min="4" max="5" width="10.83203125" style="2"/>
    <col min="6" max="6" width="15.6640625" style="2" bestFit="1" customWidth="1"/>
    <col min="7" max="7" width="12.5" style="2" bestFit="1" customWidth="1"/>
    <col min="8" max="16384" width="10.83203125" style="2"/>
  </cols>
  <sheetData>
    <row r="3" spans="2:7" x14ac:dyDescent="0.2">
      <c r="B3" s="17" t="s">
        <v>2</v>
      </c>
      <c r="C3" s="17"/>
      <c r="F3" s="17" t="s">
        <v>1</v>
      </c>
      <c r="G3" s="17"/>
    </row>
    <row r="4" spans="2:7" x14ac:dyDescent="0.2">
      <c r="B4" s="2" t="s">
        <v>58</v>
      </c>
      <c r="C4" s="2">
        <v>170457.76</v>
      </c>
      <c r="F4" s="2" t="s">
        <v>0</v>
      </c>
      <c r="G4" s="2">
        <v>160563.82999999999</v>
      </c>
    </row>
    <row r="5" spans="2:7" x14ac:dyDescent="0.2">
      <c r="B5" s="2" t="s">
        <v>3</v>
      </c>
      <c r="C5" s="2">
        <v>7323.9</v>
      </c>
    </row>
    <row r="6" spans="2:7" x14ac:dyDescent="0.2">
      <c r="B6" s="2" t="s">
        <v>4</v>
      </c>
      <c r="C6" s="2">
        <v>4373.78</v>
      </c>
    </row>
    <row r="7" spans="2:7" x14ac:dyDescent="0.2">
      <c r="B7" s="2" t="s">
        <v>5</v>
      </c>
      <c r="C7" s="2">
        <v>3995.38</v>
      </c>
    </row>
    <row r="8" spans="2:7" x14ac:dyDescent="0.2">
      <c r="B8" s="2" t="s">
        <v>6</v>
      </c>
      <c r="C8" s="2">
        <v>38718.1</v>
      </c>
    </row>
    <row r="9" spans="2:7" x14ac:dyDescent="0.2">
      <c r="B9" s="2" t="s">
        <v>7</v>
      </c>
      <c r="C9" s="2">
        <v>1572.68</v>
      </c>
    </row>
    <row r="10" spans="2:7" x14ac:dyDescent="0.2">
      <c r="B10" s="2" t="s">
        <v>8</v>
      </c>
      <c r="C10" s="2">
        <v>4139.12</v>
      </c>
    </row>
    <row r="11" spans="2:7" x14ac:dyDescent="0.2">
      <c r="B11" s="2" t="s">
        <v>5</v>
      </c>
      <c r="C11" s="2">
        <v>4886.4399999999996</v>
      </c>
    </row>
    <row r="12" spans="2:7" x14ac:dyDescent="0.2">
      <c r="B12" s="2" t="s">
        <v>9</v>
      </c>
      <c r="C12" s="2">
        <v>371.38</v>
      </c>
    </row>
    <row r="13" spans="2:7" x14ac:dyDescent="0.2">
      <c r="B13" s="2" t="s">
        <v>10</v>
      </c>
      <c r="C13" s="2">
        <v>15284.11</v>
      </c>
    </row>
    <row r="14" spans="2:7" x14ac:dyDescent="0.2">
      <c r="B14" s="2" t="s">
        <v>11</v>
      </c>
      <c r="C14" s="2">
        <v>4139.1000000000004</v>
      </c>
    </row>
    <row r="15" spans="2:7" x14ac:dyDescent="0.2">
      <c r="B15" s="2" t="s">
        <v>12</v>
      </c>
      <c r="C15" s="2">
        <f>12088.39+12080.74</f>
        <v>24169.129999999997</v>
      </c>
    </row>
    <row r="16" spans="2:7" x14ac:dyDescent="0.2">
      <c r="B16" s="2" t="s">
        <v>13</v>
      </c>
      <c r="C16" s="2">
        <f>2385.66+2264.35</f>
        <v>4650.01</v>
      </c>
    </row>
    <row r="17" spans="2:3" x14ac:dyDescent="0.2">
      <c r="B17" s="2" t="s">
        <v>14</v>
      </c>
      <c r="C17" s="2">
        <v>1984</v>
      </c>
    </row>
    <row r="18" spans="2:3" x14ac:dyDescent="0.2">
      <c r="B18" s="2" t="s">
        <v>15</v>
      </c>
      <c r="C18" s="2">
        <v>3119.41</v>
      </c>
    </row>
    <row r="19" spans="2:3" x14ac:dyDescent="0.2">
      <c r="C19" s="2">
        <f>SUM(C4:C18)</f>
        <v>289184.3</v>
      </c>
    </row>
    <row r="22" spans="2:3" x14ac:dyDescent="0.2">
      <c r="B22" s="2" t="s">
        <v>16</v>
      </c>
      <c r="C22" s="2">
        <f>C19+G4</f>
        <v>449748.13</v>
      </c>
    </row>
  </sheetData>
  <mergeCells count="2">
    <mergeCell ref="F3:G3"/>
    <mergeCell ref="B3:C3"/>
  </mergeCells>
  <pageMargins left="0.7" right="0.7" top="0.75" bottom="0.75" header="0.3" footer="0.3"/>
  <pageSetup scale="8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B92C-7414-E046-BD4B-906F7685D6AC}">
  <sheetPr>
    <pageSetUpPr fitToPage="1"/>
  </sheetPr>
  <dimension ref="B2:K53"/>
  <sheetViews>
    <sheetView zoomScale="130" zoomScaleNormal="130" workbookViewId="0">
      <selection activeCell="C5" sqref="C5"/>
    </sheetView>
  </sheetViews>
  <sheetFormatPr baseColWidth="10" defaultRowHeight="16" x14ac:dyDescent="0.2"/>
  <cols>
    <col min="1" max="1" width="19.6640625" style="1" bestFit="1" customWidth="1"/>
    <col min="2" max="2" width="18.1640625" style="1" bestFit="1" customWidth="1"/>
    <col min="3" max="3" width="14" style="2" bestFit="1" customWidth="1"/>
    <col min="4" max="4" width="15" style="1" bestFit="1" customWidth="1"/>
    <col min="5" max="5" width="14" style="1" bestFit="1" customWidth="1"/>
    <col min="6" max="6" width="14" style="2" bestFit="1" customWidth="1"/>
    <col min="7" max="7" width="18.83203125" style="1" bestFit="1" customWidth="1"/>
    <col min="8" max="8" width="16.5" style="1" bestFit="1" customWidth="1"/>
    <col min="9" max="10" width="12.5" style="1" bestFit="1" customWidth="1"/>
    <col min="11" max="16384" width="10.83203125" style="1"/>
  </cols>
  <sheetData>
    <row r="2" spans="2:10" x14ac:dyDescent="0.2">
      <c r="B2" s="6"/>
      <c r="C2" s="9" t="s">
        <v>23</v>
      </c>
      <c r="D2" s="6"/>
      <c r="E2" s="6" t="s">
        <v>25</v>
      </c>
      <c r="F2" s="9" t="s">
        <v>26</v>
      </c>
    </row>
    <row r="3" spans="2:10" x14ac:dyDescent="0.2">
      <c r="B3" s="6" t="s">
        <v>17</v>
      </c>
      <c r="C3" s="9">
        <v>180000</v>
      </c>
      <c r="D3" s="6" t="s">
        <v>27</v>
      </c>
      <c r="E3" s="6">
        <v>1</v>
      </c>
      <c r="F3" s="9">
        <f>C3*E3</f>
        <v>180000</v>
      </c>
    </row>
    <row r="4" spans="2:10" x14ac:dyDescent="0.2">
      <c r="B4" s="6" t="s">
        <v>22</v>
      </c>
      <c r="C4" s="2">
        <v>449748.73</v>
      </c>
      <c r="D4" s="6" t="s">
        <v>18</v>
      </c>
      <c r="E4" s="6">
        <v>0.33</v>
      </c>
      <c r="F4" s="9" cm="1">
        <f t="array" ref="F4:F6">C4*E4:E6</f>
        <v>148417.0809</v>
      </c>
    </row>
    <row r="5" spans="2:10" x14ac:dyDescent="0.2">
      <c r="B5" s="6"/>
      <c r="C5" s="9"/>
      <c r="D5" s="6" t="s">
        <v>19</v>
      </c>
      <c r="E5" s="6">
        <v>0.33</v>
      </c>
      <c r="F5" s="9">
        <v>148417.0809</v>
      </c>
    </row>
    <row r="6" spans="2:10" x14ac:dyDescent="0.2">
      <c r="B6" s="6"/>
      <c r="C6" s="9"/>
      <c r="D6" s="6" t="s">
        <v>30</v>
      </c>
      <c r="E6" s="6">
        <v>0.33</v>
      </c>
      <c r="F6" s="9">
        <v>148417.0809</v>
      </c>
    </row>
    <row r="7" spans="2:10" x14ac:dyDescent="0.2">
      <c r="B7" s="6"/>
      <c r="C7" s="9"/>
      <c r="D7" s="6" t="s">
        <v>20</v>
      </c>
      <c r="E7" s="6">
        <v>0</v>
      </c>
      <c r="F7" s="9"/>
    </row>
    <row r="8" spans="2:10" x14ac:dyDescent="0.2">
      <c r="B8" s="6" t="s">
        <v>24</v>
      </c>
      <c r="C8" s="9">
        <v>45000</v>
      </c>
      <c r="D8" s="6" t="s">
        <v>18</v>
      </c>
      <c r="E8" s="6">
        <v>1</v>
      </c>
      <c r="F8" s="9">
        <f>C8*E8</f>
        <v>45000</v>
      </c>
    </row>
    <row r="11" spans="2:10" x14ac:dyDescent="0.2">
      <c r="B11" s="22" t="s">
        <v>41</v>
      </c>
      <c r="C11" s="22"/>
      <c r="E11" s="22" t="s">
        <v>55</v>
      </c>
      <c r="F11" s="22"/>
    </row>
    <row r="12" spans="2:10" x14ac:dyDescent="0.2">
      <c r="B12" s="6"/>
      <c r="C12" s="9" t="s">
        <v>28</v>
      </c>
      <c r="E12" s="6" t="s">
        <v>18</v>
      </c>
      <c r="F12" s="9">
        <f>C14-D30</f>
        <v>165817.0809</v>
      </c>
    </row>
    <row r="13" spans="2:10" x14ac:dyDescent="0.2">
      <c r="B13" s="6" t="s">
        <v>32</v>
      </c>
      <c r="C13" s="9">
        <f>F3</f>
        <v>180000</v>
      </c>
      <c r="E13" s="6" t="s">
        <v>19</v>
      </c>
      <c r="F13" s="9">
        <f>C15-D31</f>
        <v>120817.0809</v>
      </c>
    </row>
    <row r="14" spans="2:10" x14ac:dyDescent="0.2">
      <c r="B14" s="6" t="s">
        <v>29</v>
      </c>
      <c r="C14" s="9">
        <f>F5+F8</f>
        <v>193417.0809</v>
      </c>
    </row>
    <row r="15" spans="2:10" x14ac:dyDescent="0.2">
      <c r="B15" s="6" t="s">
        <v>19</v>
      </c>
      <c r="C15" s="9">
        <f>F6</f>
        <v>148417.0809</v>
      </c>
      <c r="E15" s="22" t="s">
        <v>56</v>
      </c>
      <c r="F15" s="22"/>
      <c r="G15" s="22"/>
      <c r="H15" s="22"/>
      <c r="I15" s="22"/>
      <c r="J15" s="22"/>
    </row>
    <row r="16" spans="2:10" x14ac:dyDescent="0.2">
      <c r="B16" s="6" t="s">
        <v>30</v>
      </c>
      <c r="C16" s="9">
        <f>F4</f>
        <v>148417.0809</v>
      </c>
      <c r="E16" s="6"/>
      <c r="F16" s="6" t="s">
        <v>51</v>
      </c>
      <c r="G16" s="9" t="s">
        <v>42</v>
      </c>
      <c r="H16" s="6" t="s">
        <v>43</v>
      </c>
      <c r="I16" s="6" t="s">
        <v>44</v>
      </c>
      <c r="J16" s="6" t="s">
        <v>52</v>
      </c>
    </row>
    <row r="17" spans="2:11" x14ac:dyDescent="0.2">
      <c r="B17" s="6" t="s">
        <v>31</v>
      </c>
      <c r="C17" s="9"/>
      <c r="E17" s="6" t="s">
        <v>18</v>
      </c>
      <c r="F17" s="9" cm="1">
        <f t="array" ref="F17:F18">F12:F13*1.1</f>
        <v>182398.78899000003</v>
      </c>
      <c r="G17" s="9" cm="1">
        <f t="array" ref="G17:G18">F17:F18*1.1</f>
        <v>200638.66788900006</v>
      </c>
      <c r="H17" s="9" cm="1">
        <f t="array" ref="H17:H18">G17:G18*1.1</f>
        <v>220702.53467790008</v>
      </c>
      <c r="I17" s="9" cm="1">
        <f t="array" ref="I17:I18">H17:H18*1.1</f>
        <v>242772.78814569011</v>
      </c>
      <c r="J17" s="9" cm="1">
        <f t="array" ref="J17:J18">I17:I18*1.1</f>
        <v>267050.06696025917</v>
      </c>
    </row>
    <row r="18" spans="2:11" x14ac:dyDescent="0.2">
      <c r="B18" s="6" t="s">
        <v>16</v>
      </c>
      <c r="C18" s="9">
        <f>SUM(C13:C17)</f>
        <v>670251.24270000006</v>
      </c>
      <c r="E18" s="6" t="s">
        <v>19</v>
      </c>
      <c r="F18" s="9">
        <v>132898.78899</v>
      </c>
      <c r="G18" s="9">
        <v>146188.667889</v>
      </c>
      <c r="H18" s="9">
        <v>160807.53467790002</v>
      </c>
      <c r="I18" s="9">
        <v>176888.28814569005</v>
      </c>
      <c r="J18" s="9">
        <v>194577.11696025907</v>
      </c>
    </row>
    <row r="20" spans="2:11" x14ac:dyDescent="0.2">
      <c r="B20" s="19" t="s">
        <v>57</v>
      </c>
      <c r="C20" s="20"/>
      <c r="D20" s="21"/>
    </row>
    <row r="21" spans="2:11" x14ac:dyDescent="0.2">
      <c r="B21" s="6" t="s">
        <v>34</v>
      </c>
      <c r="C21" s="6" t="s">
        <v>36</v>
      </c>
      <c r="D21" s="6" t="s">
        <v>37</v>
      </c>
    </row>
    <row r="22" spans="2:11" x14ac:dyDescent="0.2">
      <c r="B22" s="9">
        <v>1500000</v>
      </c>
      <c r="C22" s="9">
        <v>1800000</v>
      </c>
      <c r="D22" s="12">
        <f>C22-B22</f>
        <v>300000</v>
      </c>
    </row>
    <row r="23" spans="2:11" x14ac:dyDescent="0.2">
      <c r="C23" s="1"/>
    </row>
    <row r="24" spans="2:11" x14ac:dyDescent="0.2">
      <c r="B24" s="6" t="s">
        <v>38</v>
      </c>
      <c r="C24" s="6" t="s">
        <v>32</v>
      </c>
      <c r="D24" s="6" t="s">
        <v>40</v>
      </c>
    </row>
    <row r="25" spans="2:11" x14ac:dyDescent="0.2">
      <c r="B25" s="6" t="s">
        <v>39</v>
      </c>
      <c r="C25" s="9">
        <v>180000</v>
      </c>
      <c r="D25" s="12">
        <f>D22-C25</f>
        <v>120000</v>
      </c>
    </row>
    <row r="26" spans="2:11" x14ac:dyDescent="0.2">
      <c r="D26" s="3"/>
    </row>
    <row r="27" spans="2:11" x14ac:dyDescent="0.2">
      <c r="B27" s="19" t="s">
        <v>21</v>
      </c>
      <c r="C27" s="20"/>
      <c r="D27" s="20"/>
      <c r="E27" s="20"/>
      <c r="F27" s="21"/>
    </row>
    <row r="28" spans="2:11" x14ac:dyDescent="0.2">
      <c r="B28" s="6"/>
      <c r="C28" s="7" t="s">
        <v>21</v>
      </c>
      <c r="D28" s="6" t="s">
        <v>28</v>
      </c>
      <c r="E28" s="6" t="s">
        <v>32</v>
      </c>
      <c r="F28" s="9" t="s">
        <v>16</v>
      </c>
    </row>
    <row r="29" spans="2:11" x14ac:dyDescent="0.2">
      <c r="B29" s="6" t="s">
        <v>30</v>
      </c>
      <c r="C29" s="8">
        <v>0.48</v>
      </c>
      <c r="D29" s="9" cm="1">
        <f t="array" ref="D29:D32">D25*C29:C32</f>
        <v>57600</v>
      </c>
      <c r="E29" s="12">
        <f>C25</f>
        <v>180000</v>
      </c>
      <c r="F29" s="9">
        <f>E29+D29</f>
        <v>237600</v>
      </c>
    </row>
    <row r="30" spans="2:11" x14ac:dyDescent="0.2">
      <c r="B30" s="6" t="s">
        <v>18</v>
      </c>
      <c r="C30" s="8">
        <v>0.23</v>
      </c>
      <c r="D30" s="9">
        <v>27600</v>
      </c>
      <c r="E30" s="6"/>
      <c r="F30" s="9"/>
    </row>
    <row r="31" spans="2:11" x14ac:dyDescent="0.2">
      <c r="B31" s="6" t="s">
        <v>19</v>
      </c>
      <c r="C31" s="8">
        <v>0.23</v>
      </c>
      <c r="D31" s="9">
        <v>27600</v>
      </c>
      <c r="E31" s="6"/>
      <c r="F31" s="9"/>
    </row>
    <row r="32" spans="2:11" x14ac:dyDescent="0.2">
      <c r="B32" s="10" t="s">
        <v>31</v>
      </c>
      <c r="C32" s="6">
        <v>0.06</v>
      </c>
      <c r="D32" s="9">
        <v>7200</v>
      </c>
      <c r="E32" s="10"/>
      <c r="F32" s="10"/>
      <c r="G32" s="4"/>
      <c r="H32" s="4"/>
      <c r="I32" s="4"/>
      <c r="J32" s="4"/>
      <c r="K32" s="4"/>
    </row>
    <row r="33" spans="2:11" x14ac:dyDescent="0.2">
      <c r="B33" s="4"/>
      <c r="C33" s="4"/>
      <c r="D33" s="4"/>
      <c r="E33" s="16"/>
      <c r="F33" s="16"/>
      <c r="G33" s="16"/>
      <c r="H33" s="4"/>
      <c r="I33" s="4"/>
      <c r="J33" s="4"/>
      <c r="K33" s="4"/>
    </row>
    <row r="34" spans="2:11" x14ac:dyDescent="0.2">
      <c r="B34" s="4"/>
      <c r="C34" s="4"/>
      <c r="D34" s="4"/>
      <c r="E34" s="16"/>
      <c r="F34" s="16"/>
      <c r="G34" s="16"/>
      <c r="H34" s="4"/>
      <c r="I34" s="4"/>
      <c r="J34" s="4"/>
      <c r="K34" s="4"/>
    </row>
    <row r="35" spans="2:11" x14ac:dyDescent="0.2">
      <c r="B35" s="18" t="s">
        <v>49</v>
      </c>
      <c r="C35" s="18"/>
      <c r="D35" s="18"/>
      <c r="E35" s="18"/>
      <c r="F35" s="18"/>
      <c r="G35" s="18"/>
      <c r="H35" s="4"/>
      <c r="I35" s="4"/>
      <c r="J35" s="4"/>
      <c r="K35" s="4"/>
    </row>
    <row r="36" spans="2:11" x14ac:dyDescent="0.2">
      <c r="B36" s="10" t="s">
        <v>47</v>
      </c>
      <c r="C36" s="10" t="s">
        <v>46</v>
      </c>
      <c r="D36" s="10" t="s">
        <v>42</v>
      </c>
      <c r="E36" s="10" t="s">
        <v>43</v>
      </c>
      <c r="F36" s="10" t="s">
        <v>44</v>
      </c>
      <c r="G36" s="13" t="s">
        <v>45</v>
      </c>
      <c r="H36" s="4"/>
      <c r="I36" s="4"/>
      <c r="J36" s="4"/>
      <c r="K36" s="4"/>
    </row>
    <row r="37" spans="2:11" x14ac:dyDescent="0.2">
      <c r="B37" s="14">
        <v>2000000</v>
      </c>
      <c r="C37" s="14">
        <f>B37*1.04</f>
        <v>2080000</v>
      </c>
      <c r="D37" s="14">
        <f>C37*1.04</f>
        <v>2163200</v>
      </c>
      <c r="E37" s="14">
        <f>D37*1.04</f>
        <v>2249728</v>
      </c>
      <c r="F37" s="14">
        <f>E37*1.04</f>
        <v>2339717.1200000001</v>
      </c>
      <c r="G37" s="14">
        <f>F37*1.04</f>
        <v>2433305.8048</v>
      </c>
      <c r="H37" s="4"/>
      <c r="I37" s="4"/>
      <c r="J37" s="4"/>
      <c r="K37" s="4"/>
    </row>
    <row r="38" spans="2:11" x14ac:dyDescent="0.2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x14ac:dyDescent="0.2">
      <c r="B39" s="5"/>
      <c r="C39" s="5"/>
      <c r="D39" s="5"/>
      <c r="E39" s="5"/>
      <c r="F39" s="18" t="s">
        <v>50</v>
      </c>
      <c r="G39" s="18"/>
      <c r="H39" s="4"/>
      <c r="I39" s="4"/>
      <c r="J39" s="4"/>
      <c r="K39" s="4"/>
    </row>
    <row r="40" spans="2:11" x14ac:dyDescent="0.2">
      <c r="D40" s="4"/>
      <c r="E40" s="4"/>
      <c r="F40" s="10" t="s">
        <v>33</v>
      </c>
      <c r="G40" s="14">
        <v>90118</v>
      </c>
    </row>
    <row r="42" spans="2:11" x14ac:dyDescent="0.2">
      <c r="B42" s="22" t="s">
        <v>53</v>
      </c>
      <c r="C42" s="22"/>
      <c r="D42" s="22"/>
    </row>
    <row r="43" spans="2:11" x14ac:dyDescent="0.2">
      <c r="B43" s="11"/>
      <c r="C43" s="11"/>
      <c r="D43" s="15">
        <v>0.9</v>
      </c>
    </row>
    <row r="44" spans="2:11" x14ac:dyDescent="0.2">
      <c r="B44" s="6" t="s">
        <v>48</v>
      </c>
      <c r="C44" s="9">
        <f>G37</f>
        <v>2433305.8048</v>
      </c>
      <c r="D44" s="12">
        <f>C44*0.9</f>
        <v>2189975.22432</v>
      </c>
    </row>
    <row r="45" spans="2:11" x14ac:dyDescent="0.2">
      <c r="B45" s="6" t="s">
        <v>54</v>
      </c>
      <c r="C45" s="9">
        <f>C22-G40</f>
        <v>1709882</v>
      </c>
      <c r="D45" s="6"/>
    </row>
    <row r="46" spans="2:11" x14ac:dyDescent="0.2">
      <c r="B46" s="6" t="s">
        <v>35</v>
      </c>
      <c r="C46" s="9"/>
      <c r="D46" s="12">
        <f>D44-C45</f>
        <v>480093.22432000004</v>
      </c>
    </row>
    <row r="49" spans="2:4" x14ac:dyDescent="0.2">
      <c r="B49" s="6"/>
      <c r="C49" s="7" t="s">
        <v>21</v>
      </c>
      <c r="D49" s="6" t="s">
        <v>28</v>
      </c>
    </row>
    <row r="50" spans="2:4" x14ac:dyDescent="0.2">
      <c r="B50" s="6" t="s">
        <v>30</v>
      </c>
      <c r="C50" s="8">
        <v>0.48</v>
      </c>
      <c r="D50" s="9" cm="1">
        <f t="array" ref="D50:D53">D46*C50:C53</f>
        <v>230444.74767360001</v>
      </c>
    </row>
    <row r="51" spans="2:4" x14ac:dyDescent="0.2">
      <c r="B51" s="6" t="s">
        <v>18</v>
      </c>
      <c r="C51" s="8">
        <v>0.23</v>
      </c>
      <c r="D51" s="9">
        <v>110421.44159360002</v>
      </c>
    </row>
    <row r="52" spans="2:4" x14ac:dyDescent="0.2">
      <c r="B52" s="6" t="s">
        <v>19</v>
      </c>
      <c r="C52" s="8">
        <v>0.23</v>
      </c>
      <c r="D52" s="9">
        <v>110421.44159360002</v>
      </c>
    </row>
    <row r="53" spans="2:4" x14ac:dyDescent="0.2">
      <c r="B53" s="10" t="s">
        <v>31</v>
      </c>
      <c r="C53" s="6">
        <v>0.06</v>
      </c>
      <c r="D53" s="9">
        <v>28805.593459200001</v>
      </c>
    </row>
  </sheetData>
  <mergeCells count="8">
    <mergeCell ref="B35:G35"/>
    <mergeCell ref="B27:F27"/>
    <mergeCell ref="B11:C11"/>
    <mergeCell ref="F39:G39"/>
    <mergeCell ref="B42:D42"/>
    <mergeCell ref="E11:F11"/>
    <mergeCell ref="E15:J15"/>
    <mergeCell ref="B20:D20"/>
  </mergeCells>
  <pageMargins left="0.25" right="0.25" top="0.75" bottom="0.75" header="0.3" footer="0.3"/>
  <pageSetup scale="6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Hamel</dc:creator>
  <cp:lastModifiedBy>Felix Hamel</cp:lastModifiedBy>
  <cp:lastPrinted>2024-07-09T15:11:54Z</cp:lastPrinted>
  <dcterms:created xsi:type="dcterms:W3CDTF">2024-06-25T19:09:39Z</dcterms:created>
  <dcterms:modified xsi:type="dcterms:W3CDTF">2024-07-09T15:12:06Z</dcterms:modified>
</cp:coreProperties>
</file>