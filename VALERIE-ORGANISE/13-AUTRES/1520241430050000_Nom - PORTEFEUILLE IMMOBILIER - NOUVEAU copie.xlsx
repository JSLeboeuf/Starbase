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efeuille immobilier" sheetId="1" r:id="rId4"/>
  </sheets>
  <externalReferences>
    <externalReference r:id="rId5"/>
    <externalReference r:id="rId6"/>
    <externalReference r:id="rId7"/>
  </externalReferences>
  <definedNames>
    <definedName name="Boolean">'[2]Data Validation - to hide'!$H$2:$H$3</definedName>
    <definedName name="CareServices">'[2]Data Validation - to hide'!$R$2:$R$4</definedName>
    <definedName name="Construction">[3]Lists!$E$1</definedName>
    <definedName name="Corporate">[3]Lists!$D$29</definedName>
    <definedName name="Does_the_subject_property_have_a_leasehold_tenure?">[3]Lists!$D$11</definedName>
    <definedName name="EMPTY">[3]Lists!$A$12</definedName>
    <definedName name="Just_leasehold">[3]Lists!$D$16</definedName>
    <definedName name="Just_nonres">[3]Lists!$E$15</definedName>
    <definedName name="leasehold_and_nonres">[3]Lists!$D$15</definedName>
    <definedName name="Limited">[3]Lists!$F$29</definedName>
    <definedName name="MLI_Select">[3]Lists!$F$15</definedName>
    <definedName name="MLI_Select_Student">[3]Lists!$F$16</definedName>
    <definedName name="No_leasehold">[3]Lists!$D$13</definedName>
    <definedName name="No_nonres">[3]Lists!$E$13</definedName>
    <definedName name="Personal">[3]Lists!$C$29</definedName>
    <definedName name="Purchase">[3]Lists!$D$1</definedName>
    <definedName name="Refinance">[3]Lists!$C$1</definedName>
    <definedName name="Repl_convenant">[3]Lists!$F$1</definedName>
    <definedName name="Senior_doc1">[3]Lists!$D$21</definedName>
    <definedName name="Senior_doc2">[3]Lists!$D$22</definedName>
    <definedName name="Senior_doc3">[3]Lists!$D$23</definedName>
    <definedName name="Senior_doc4">[3]Lists!$D$24</definedName>
    <definedName name="Senior_doc5">[3]Lists!$D$25</definedName>
    <definedName name="Senior_doc6">[3]Lists!$D$26</definedName>
    <definedName name="Senior_err">[3]Lists!$C$13</definedName>
    <definedName name="Seniors">[3]Lists!$D$20</definedName>
    <definedName name="SRO">[3]Lists!$E$20</definedName>
    <definedName name="SRO_doc1">[3]Lists!$E$21</definedName>
    <definedName name="SRO_doc2">[3]Lists!$E$22</definedName>
    <definedName name="SRO_doc3">[3]Lists!$E$23</definedName>
    <definedName name="SRO_doc4">[3]Lists!$E$24</definedName>
    <definedName name="SRO_doc5">[3]Lists!$E$25</definedName>
    <definedName name="Standard">[3]Lists!$A$21</definedName>
    <definedName name="Std24_doc6">[3]Lists!$B$26</definedName>
    <definedName name="Std25_doc1">[3]Lists!$C$21</definedName>
    <definedName name="Std25_doc2">[3]Lists!$C$22</definedName>
    <definedName name="Std25_doc3">[3]Lists!$C$23</definedName>
    <definedName name="Std25_doc4">[3]Lists!$C$24</definedName>
    <definedName name="Std25_doc5">[3]Lists!$C$25</definedName>
    <definedName name="Student">[3]Lists!$F$20</definedName>
    <definedName name="Student_doc1">[3]Lists!$F$21</definedName>
    <definedName name="Student_doc2">[3]Lists!$F$22</definedName>
    <definedName name="Student_doc3">[3]Lists!$F$23</definedName>
    <definedName name="Student_doc4">[3]Lists!$F$24</definedName>
    <definedName name="Student_doc5">[3]Lists!$F$25</definedName>
    <definedName name="Student_doc6">[3]Lists!$F$26</definedName>
    <definedName name="Supphou_doc1">[3]Lists!$G$21</definedName>
    <definedName name="Supphou_doc2">[3]Lists!$G$22</definedName>
    <definedName name="Supphou_doc3">[3]Lists!$G$23</definedName>
    <definedName name="Supphou_doc4">[3]Lists!$G$24</definedName>
    <definedName name="Supphou_doc5">[3]Lists!$G$25</definedName>
    <definedName name="Support_hous">[3]Lists!$G$20</definedName>
    <definedName name="Trust">[3]Lists!$E$29</definedName>
    <definedName name="UnitType">'[2]Data Validation - to hide'!$E$2:$E$10</definedName>
    <definedName name="Yes">[3]Lists!$F$12</definedName>
    <definedName name="Yes_leasehold">[3]Lists!$D$12</definedName>
    <definedName name="Yes_nonres">[3]Lists!$E$12</definedName>
  </definedNames>
  <calcPr/>
  <extLst>
    <ext uri="GoogleSheetsCustomDataVersion2">
      <go:sheetsCustomData xmlns:go="http://customooxmlschemas.google.com/" r:id="rId8" roundtripDataChecksum="62QRC/FCKSMksOsYyqSirRlHNBwM3dy9jOd/ybuIwKw="/>
    </ext>
  </extLst>
</workbook>
</file>

<file path=xl/sharedStrings.xml><?xml version="1.0" encoding="utf-8"?>
<sst xmlns="http://schemas.openxmlformats.org/spreadsheetml/2006/main" count="123" uniqueCount="91">
  <si>
    <t>Portefeuille</t>
  </si>
  <si>
    <t>Nom?</t>
  </si>
  <si>
    <t>Type de propriété</t>
  </si>
  <si>
    <t>Adresse de la propriété</t>
  </si>
  <si>
    <t>Municipalité</t>
  </si>
  <si>
    <t>Province</t>
  </si>
  <si>
    <t>No de compte SCHL?</t>
  </si>
  <si>
    <t>Date d'achat/construction</t>
  </si>
  <si>
    <t>Prix d'achat/coût de construction</t>
  </si>
  <si>
    <t>Date de la cession par le groupe (le cas échéant)</t>
  </si>
  <si>
    <t>Taux d'actualisation recommandé - Souscription</t>
  </si>
  <si>
    <t>Détention % par proposant</t>
  </si>
  <si>
    <t>Nombre de propriétés</t>
  </si>
  <si>
    <t>Logements/lits/chambres</t>
  </si>
  <si>
    <t>Superficie pi2 - Non résidentiel</t>
  </si>
  <si>
    <t>Rendement</t>
  </si>
  <si>
    <t>Revenu locatif total</t>
  </si>
  <si>
    <t>Inoccupation/ Mauvaises Créances</t>
  </si>
  <si>
    <t>Revenu brut effectif</t>
  </si>
  <si>
    <t>Taxes foncières</t>
  </si>
  <si>
    <t>Assurances</t>
  </si>
  <si>
    <t>Services publics</t>
  </si>
  <si>
    <t>Entretien et réparations</t>
  </si>
  <si>
    <t>Salaires</t>
  </si>
  <si>
    <t>Frais de gestion</t>
  </si>
  <si>
    <t>Autre</t>
  </si>
  <si>
    <t>Total des dépenses d'exploitation</t>
  </si>
  <si>
    <t>REN</t>
  </si>
  <si>
    <t>REN effectif</t>
  </si>
  <si>
    <t>Financement</t>
  </si>
  <si>
    <t>Capital et intérêts (C et I)</t>
  </si>
  <si>
    <t>C &amp; I - Autre propriété</t>
  </si>
  <si>
    <t>Total des paiements annuels</t>
  </si>
  <si>
    <t>Évaluation</t>
  </si>
  <si>
    <t>Évaluation avec taux d'actualisation</t>
  </si>
  <si>
    <t>Valeur d'évaluation</t>
  </si>
  <si>
    <t>Évaluation municipale</t>
  </si>
  <si>
    <t>Valeur - Autre</t>
  </si>
  <si>
    <t>Évaluation outrepassée</t>
  </si>
  <si>
    <t>Valeur utilisée pour l'évaluation</t>
  </si>
  <si>
    <t>Valeur effective</t>
  </si>
  <si>
    <t>Dette</t>
  </si>
  <si>
    <t>Prêt hypothécaire</t>
  </si>
  <si>
    <t>Autre dette sur la propriété</t>
  </si>
  <si>
    <t>Total des dettes sur la propriété</t>
  </si>
  <si>
    <t>CCD</t>
  </si>
  <si>
    <t>RPV</t>
  </si>
  <si>
    <t>Total (selon % parts)</t>
  </si>
  <si>
    <t>Total</t>
  </si>
  <si>
    <t>Logement locatif ordinaire</t>
  </si>
  <si>
    <t>Bureau</t>
  </si>
  <si>
    <t>Commerce de détail</t>
  </si>
  <si>
    <t>Hospitalité</t>
  </si>
  <si>
    <t>Industrie</t>
  </si>
  <si>
    <t>Logement abordable</t>
  </si>
  <si>
    <t>Résidence pour personnes âgées</t>
  </si>
  <si>
    <t>Logements avec services de soutien</t>
  </si>
  <si>
    <t>Logement mixte</t>
  </si>
  <si>
    <t>Logements pour étudiants</t>
  </si>
  <si>
    <t>Chambre individuelle</t>
  </si>
  <si>
    <t>Logement de transition</t>
  </si>
  <si>
    <t>Maison d'hébergement</t>
  </si>
  <si>
    <t>Discrétionnaire</t>
  </si>
  <si>
    <t>Non discrétionnaire</t>
  </si>
  <si>
    <t>Autre location (CCD)</t>
  </si>
  <si>
    <t>Autre type commercial (ATD)</t>
  </si>
  <si>
    <t>Total des paiements annuels effectifs</t>
  </si>
  <si>
    <t>Dettes sur les propriétés effectives</t>
  </si>
  <si>
    <t>CCD effectif</t>
  </si>
  <si>
    <t>RPV effectif</t>
  </si>
  <si>
    <t>Taux d'actualisation effectif</t>
  </si>
  <si>
    <t>Seulement APH</t>
  </si>
  <si>
    <t>Standard Rental Housing?</t>
  </si>
  <si>
    <t>Office?</t>
  </si>
  <si>
    <t>Retail?</t>
  </si>
  <si>
    <t>Hospitality Rental?</t>
  </si>
  <si>
    <t>Industrial?</t>
  </si>
  <si>
    <t>Affordable Housing?</t>
  </si>
  <si>
    <t>Retirement Housing?</t>
  </si>
  <si>
    <t>Supportive Housing?</t>
  </si>
  <si>
    <t>Mixed Housing?</t>
  </si>
  <si>
    <t>Student Housing?</t>
  </si>
  <si>
    <t>Single Room Occupancy?</t>
  </si>
  <si>
    <t>Transitional Housing?</t>
  </si>
  <si>
    <t>Shelter?</t>
  </si>
  <si>
    <t>Discretionary?</t>
  </si>
  <si>
    <t>Non-Discretionary?</t>
  </si>
  <si>
    <t>Other Rental (DCR)?</t>
  </si>
  <si>
    <t>Other Business Types (TDSR)?</t>
  </si>
  <si>
    <t>Insured?</t>
  </si>
  <si>
    <t>Insured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</si>
</sst>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$-1009]* #,##0.00_-;\-[$$-1009]* #,##0.00_-;_-[$$-1009]* &quot;-&quot;??_-;_-@"/>
    <numFmt numFmtId="165" formatCode="_-[$$-1009]* #,##0_-;\-[$$-1009]* #,##0_-;_-[$$-1009]* &quot;-&quot;??_-;_-@"/>
    <numFmt numFmtId="166" formatCode="_-* #,##0.00_-;\-* #,##0.00_-;_-* &quot;-&quot;??_-;_-@"/>
    <numFmt numFmtId="167" formatCode="_-* #,##0_-;\-* #,##0_-;_-* &quot;-&quot;??_-;_-@"/>
  </numFmts>
  <fonts count="14">
    <font>
      <sz val="11.0"/>
      <color theme="1"/>
      <name val="Calibri"/>
      <scheme val="minor"/>
    </font>
    <font>
      <b/>
      <sz val="14.0"/>
      <color theme="0"/>
      <name val="Gill Sans"/>
    </font>
    <font>
      <sz val="11.0"/>
      <color theme="1"/>
      <name val="Gill Sans"/>
    </font>
    <font>
      <sz val="11.0"/>
      <color rgb="FFFF0000"/>
      <name val="Gill Sans"/>
    </font>
    <font>
      <sz val="9.0"/>
      <color theme="1"/>
      <name val="Gill Sans"/>
    </font>
    <font>
      <sz val="11.0"/>
      <color rgb="FF000000"/>
      <name val="Gill Sans"/>
    </font>
    <font>
      <sz val="9.0"/>
      <color rgb="FF000000"/>
      <name val="Gill Sans"/>
    </font>
    <font>
      <b/>
      <sz val="12.0"/>
      <color rgb="FF000000"/>
      <name val="Gill Sans"/>
    </font>
    <font>
      <b/>
      <sz val="9.0"/>
      <color rgb="FF000000"/>
      <name val="Gill Sans"/>
    </font>
    <font>
      <b/>
      <sz val="8.0"/>
      <color rgb="FF000000"/>
      <name val="Gill Sans"/>
    </font>
    <font>
      <b/>
      <sz val="8.0"/>
      <color rgb="FF000000"/>
      <name val="Arial"/>
    </font>
    <font>
      <sz val="9.0"/>
      <color theme="1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9999"/>
        <bgColor rgb="FF009999"/>
      </patternFill>
    </fill>
    <fill>
      <patternFill patternType="solid">
        <fgColor rgb="FFE2EFDA"/>
        <bgColor rgb="FFE2EFDA"/>
      </patternFill>
    </fill>
    <fill>
      <patternFill patternType="solid">
        <fgColor rgb="FFD8D8D8"/>
        <bgColor rgb="FFD8D8D8"/>
      </patternFill>
    </fill>
    <fill>
      <patternFill patternType="solid">
        <fgColor rgb="FFDDEBF7"/>
        <bgColor rgb="FFDDEBF7"/>
      </patternFill>
    </fill>
  </fills>
  <borders count="24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Font="1"/>
    <xf borderId="10" fillId="3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5" fillId="3" fontId="6" numFmtId="164" xfId="0" applyAlignment="1" applyBorder="1" applyFont="1" applyNumberFormat="1">
      <alignment horizontal="center" shrinkToFit="0" vertical="center" wrapText="1"/>
    </xf>
    <xf borderId="6" fillId="3" fontId="6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8" fillId="3" fontId="6" numFmtId="10" xfId="0" applyAlignment="1" applyBorder="1" applyFont="1" applyNumberFormat="1">
      <alignment horizontal="center" shrinkToFit="0" vertical="center" wrapText="1"/>
    </xf>
    <xf borderId="9" fillId="3" fontId="6" numFmtId="10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3" fillId="3" fontId="6" numFmtId="9" xfId="0" applyAlignment="1" applyBorder="1" applyFont="1" applyNumberFormat="1">
      <alignment horizontal="center" shrinkToFit="0" vertical="center" wrapText="1"/>
    </xf>
    <xf borderId="10" fillId="3" fontId="6" numFmtId="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11" fillId="4" fontId="7" numFmtId="0" xfId="0" applyAlignment="1" applyBorder="1" applyFill="1" applyFont="1">
      <alignment shrinkToFit="0" vertical="center" wrapText="1"/>
    </xf>
    <xf borderId="12" fillId="4" fontId="8" numFmtId="0" xfId="0" applyAlignment="1" applyBorder="1" applyFont="1">
      <alignment shrinkToFit="0" wrapText="1"/>
    </xf>
    <xf borderId="13" fillId="4" fontId="8" numFmtId="0" xfId="0" applyAlignment="1" applyBorder="1" applyFont="1">
      <alignment shrinkToFit="0" wrapText="1"/>
    </xf>
    <xf borderId="5" fillId="3" fontId="6" numFmtId="165" xfId="0" applyAlignment="1" applyBorder="1" applyFont="1" applyNumberFormat="1">
      <alignment shrinkToFit="0" vertical="center" wrapText="1"/>
    </xf>
    <xf borderId="6" fillId="3" fontId="6" numFmtId="165" xfId="0" applyAlignment="1" applyBorder="1" applyFont="1" applyNumberFormat="1">
      <alignment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5" fillId="5" fontId="6" numFmtId="165" xfId="0" applyAlignment="1" applyBorder="1" applyFont="1" applyNumberFormat="1">
      <alignment shrinkToFit="0" vertical="center" wrapText="1"/>
    </xf>
    <xf borderId="6" fillId="5" fontId="6" numFmtId="165" xfId="0" applyAlignment="1" applyBorder="1" applyFont="1" applyNumberFormat="1">
      <alignment shrinkToFit="0" vertical="center" wrapText="1"/>
    </xf>
    <xf borderId="14" fillId="0" fontId="2" numFmtId="0" xfId="0" applyAlignment="1" applyBorder="1" applyFont="1">
      <alignment shrinkToFit="0" vertical="center" wrapText="1"/>
    </xf>
    <xf borderId="0" fillId="0" fontId="4" numFmtId="165" xfId="0" applyAlignment="1" applyFont="1" applyNumberFormat="1">
      <alignment vertical="center"/>
    </xf>
    <xf borderId="15" fillId="0" fontId="4" numFmtId="165" xfId="0" applyAlignment="1" applyBorder="1" applyFont="1" applyNumberFormat="1">
      <alignment vertical="center"/>
    </xf>
    <xf borderId="4" fillId="3" fontId="5" numFmtId="49" xfId="0" applyAlignment="1" applyBorder="1" applyFont="1" applyNumberFormat="1">
      <alignment shrinkToFit="0" vertical="center" wrapText="1"/>
    </xf>
    <xf borderId="7" fillId="5" fontId="5" numFmtId="0" xfId="0" applyAlignment="1" applyBorder="1" applyFont="1">
      <alignment shrinkToFit="0" vertical="center" wrapText="1"/>
    </xf>
    <xf borderId="8" fillId="5" fontId="6" numFmtId="165" xfId="0" applyAlignment="1" applyBorder="1" applyFont="1" applyNumberFormat="1">
      <alignment shrinkToFit="0" vertical="center" wrapText="1"/>
    </xf>
    <xf borderId="9" fillId="5" fontId="6" numFmtId="165" xfId="0" applyAlignment="1" applyBorder="1" applyFont="1" applyNumberFormat="1">
      <alignment shrinkToFit="0" vertical="center" wrapText="1"/>
    </xf>
    <xf borderId="12" fillId="4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shrinkToFit="0" vertical="center" wrapText="1"/>
    </xf>
    <xf borderId="12" fillId="4" fontId="8" numFmtId="165" xfId="0" applyAlignment="1" applyBorder="1" applyFont="1" applyNumberFormat="1">
      <alignment shrinkToFit="0" vertical="center" wrapText="1"/>
    </xf>
    <xf borderId="13" fillId="4" fontId="8" numFmtId="165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2" fillId="5" fontId="5" numFmtId="0" xfId="0" applyAlignment="1" applyBorder="1" applyFont="1">
      <alignment shrinkToFit="0" vertical="center" wrapText="1"/>
    </xf>
    <xf borderId="3" fillId="5" fontId="6" numFmtId="166" xfId="0" applyAlignment="1" applyBorder="1" applyFont="1" applyNumberFormat="1">
      <alignment shrinkToFit="0" vertical="center" wrapText="1"/>
    </xf>
    <xf borderId="10" fillId="5" fontId="6" numFmtId="166" xfId="0" applyAlignment="1" applyBorder="1" applyFont="1" applyNumberFormat="1">
      <alignment shrinkToFit="0" vertical="center" wrapText="1"/>
    </xf>
    <xf borderId="8" fillId="5" fontId="6" numFmtId="10" xfId="0" applyAlignment="1" applyBorder="1" applyFont="1" applyNumberFormat="1">
      <alignment shrinkToFit="0" vertical="center" wrapText="1"/>
    </xf>
    <xf borderId="9" fillId="5" fontId="6" numFmtId="10" xfId="0" applyAlignment="1" applyBorder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16" fillId="4" fontId="9" numFmtId="0" xfId="0" applyAlignment="1" applyBorder="1" applyFont="1">
      <alignment horizontal="center" shrinkToFit="0" vertical="center" wrapText="1"/>
    </xf>
    <xf borderId="17" fillId="4" fontId="9" numFmtId="0" xfId="0" applyAlignment="1" applyBorder="1" applyFont="1">
      <alignment horizontal="center" shrinkToFit="0" vertical="center" wrapText="1"/>
    </xf>
    <xf borderId="18" fillId="4" fontId="9" numFmtId="0" xfId="0" applyAlignment="1" applyBorder="1" applyFont="1">
      <alignment horizontal="center" shrinkToFit="0" vertical="center" wrapText="1"/>
    </xf>
    <xf borderId="19" fillId="4" fontId="9" numFmtId="0" xfId="0" applyAlignment="1" applyBorder="1" applyFont="1">
      <alignment horizontal="center" shrinkToFit="0" vertical="center" wrapText="1"/>
    </xf>
    <xf borderId="20" fillId="4" fontId="9" numFmtId="0" xfId="0" applyAlignment="1" applyBorder="1" applyFont="1">
      <alignment horizontal="center" shrinkToFit="0" vertical="center" wrapText="1"/>
    </xf>
    <xf borderId="21" fillId="4" fontId="9" numFmtId="0" xfId="0" applyAlignment="1" applyBorder="1" applyFont="1">
      <alignment horizontal="center" shrinkToFit="0" vertical="center" wrapText="1"/>
    </xf>
    <xf borderId="3" fillId="5" fontId="6" numFmtId="167" xfId="0" applyAlignment="1" applyBorder="1" applyFont="1" applyNumberFormat="1">
      <alignment shrinkToFit="0" vertical="center" wrapText="1"/>
    </xf>
    <xf borderId="10" fillId="5" fontId="6" numFmtId="167" xfId="0" applyAlignment="1" applyBorder="1" applyFont="1" applyNumberFormat="1">
      <alignment shrinkToFit="0" vertical="center" wrapText="1"/>
    </xf>
    <xf borderId="5" fillId="5" fontId="6" numFmtId="167" xfId="0" applyAlignment="1" applyBorder="1" applyFont="1" applyNumberFormat="1">
      <alignment shrinkToFit="0" vertical="center" wrapText="1"/>
    </xf>
    <xf borderId="6" fillId="5" fontId="6" numFmtId="167" xfId="0" applyAlignment="1" applyBorder="1" applyFont="1" applyNumberFormat="1">
      <alignment shrinkToFit="0" vertical="center" wrapText="1"/>
    </xf>
    <xf borderId="5" fillId="5" fontId="6" numFmtId="10" xfId="0" applyAlignment="1" applyBorder="1" applyFont="1" applyNumberFormat="1">
      <alignment shrinkToFit="0" vertical="center" wrapText="1"/>
    </xf>
    <xf borderId="6" fillId="5" fontId="6" numFmtId="10" xfId="0" applyAlignment="1" applyBorder="1" applyFont="1" applyNumberFormat="1">
      <alignment shrinkToFit="0" vertical="center" wrapText="1"/>
    </xf>
    <xf borderId="22" fillId="4" fontId="10" numFmtId="0" xfId="0" applyAlignment="1" applyBorder="1" applyFont="1">
      <alignment horizontal="center" vertical="center"/>
    </xf>
    <xf borderId="10" fillId="5" fontId="4" numFmtId="167" xfId="0" applyAlignment="1" applyBorder="1" applyFont="1" applyNumberFormat="1">
      <alignment shrinkToFit="0" vertical="center" wrapText="1"/>
    </xf>
    <xf borderId="6" fillId="5" fontId="4" numFmtId="167" xfId="0" applyAlignment="1" applyBorder="1" applyFont="1" applyNumberFormat="1">
      <alignment shrinkToFit="0" vertical="center" wrapText="1"/>
    </xf>
    <xf borderId="9" fillId="5" fontId="4" numFmtId="167" xfId="0" applyAlignment="1" applyBorder="1" applyFont="1" applyNumberFormat="1">
      <alignment shrinkToFit="0" vertical="center" wrapText="1"/>
    </xf>
    <xf borderId="10" fillId="5" fontId="4" numFmtId="166" xfId="0" applyAlignment="1" applyBorder="1" applyFont="1" applyNumberFormat="1">
      <alignment shrinkToFit="0" vertical="center" wrapText="1"/>
    </xf>
    <xf borderId="6" fillId="5" fontId="4" numFmtId="10" xfId="0" applyAlignment="1" applyBorder="1" applyFont="1" applyNumberFormat="1">
      <alignment shrinkToFit="0" vertical="center" wrapText="1"/>
    </xf>
    <xf borderId="9" fillId="5" fontId="4" numFmtId="10" xfId="0" applyAlignment="1" applyBorder="1" applyFont="1" applyNumberFormat="1">
      <alignment shrinkToFit="0" vertical="center" wrapText="1"/>
    </xf>
    <xf borderId="0" fillId="0" fontId="11" numFmtId="0" xfId="0" applyFont="1"/>
    <xf borderId="0" fillId="0" fontId="12" numFmtId="0" xfId="0" applyFont="1"/>
    <xf borderId="23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cmhcschl-my.sharepoint.com/sites/MultiunitUnderwriting/ProgramTools/ERIC/Portfolio%20Template/ERIC%20Portfolio%20v4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cmhcschl-my.sharepoint.com/personal/syagliog_cmhc-schl_gc_ca/Documents/Team%20Lead/test/Liste%20de%20contr&#244;le%20de%20la%20documentation%20requise-avril%202021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umont-Lacombe/Documents/Documents%20SCHL/Listes%20de%20contro&#770;le%20SCHL/FR%20-%20Liste%20de%20contro&#770;le%20APHSelect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rtfolioSummary"/>
      <sheetName val="DataValidationPortSumm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troduction"/>
      <sheetName val="Liste de documents requis"/>
      <sheetName val="Information sur la demande"/>
      <sheetName val="Détails des flux de revenus"/>
      <sheetName val="Portefeuille immobilier"/>
      <sheetName val="ValidationDesEntrees (2)"/>
      <sheetName val="Refinancement Standard"/>
      <sheetName val="Refinancement Abordable"/>
      <sheetName val="Ressources"/>
      <sheetName val="PAIEMENT"/>
      <sheetName val="Data Validation - to hide"/>
      <sheetName val="Lis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troduction du document"/>
      <sheetName val="Liste de document requis"/>
      <sheetName val="Info. supp. sur la demande"/>
      <sheetName val="Registre"/>
      <sheetName val="Portefeuille immobilier"/>
      <sheetName val="Utilisation des fonds - Refi."/>
      <sheetName val="Paiement"/>
      <sheetName val="Ressource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6.14"/>
    <col customWidth="1" min="2" max="61" width="1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</row>
    <row r="4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</row>
    <row r="5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</row>
    <row r="6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10"/>
    </row>
    <row r="7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3"/>
    </row>
    <row r="8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</row>
    <row r="9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16"/>
    </row>
    <row r="10">
      <c r="A10" s="17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9"/>
    </row>
    <row r="11">
      <c r="A11" s="17" t="s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10"/>
    </row>
    <row r="12">
      <c r="A12" s="20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2"/>
    </row>
    <row r="1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</row>
    <row r="14">
      <c r="A14" s="23" t="s">
        <v>11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5"/>
    </row>
    <row r="15">
      <c r="A15" s="8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</row>
    <row r="16">
      <c r="A16" s="8" t="s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</row>
    <row r="17">
      <c r="A17" s="11" t="s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</row>
    <row r="18">
      <c r="A18" s="1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>
      <c r="A19" s="27" t="s">
        <v>15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9"/>
    </row>
    <row r="20">
      <c r="A20" s="8" t="s">
        <v>16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1"/>
    </row>
    <row r="21">
      <c r="A21" s="8" t="s">
        <v>17</v>
      </c>
      <c r="B21" s="30">
        <f t="shared" ref="B21:BH21" si="1">0.03*B20</f>
        <v>0</v>
      </c>
      <c r="C21" s="30">
        <f t="shared" si="1"/>
        <v>0</v>
      </c>
      <c r="D21" s="30">
        <f t="shared" si="1"/>
        <v>0</v>
      </c>
      <c r="E21" s="30">
        <f t="shared" si="1"/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30">
        <f t="shared" si="1"/>
        <v>0</v>
      </c>
      <c r="Q21" s="30">
        <f t="shared" si="1"/>
        <v>0</v>
      </c>
      <c r="R21" s="30">
        <f t="shared" si="1"/>
        <v>0</v>
      </c>
      <c r="S21" s="30">
        <f t="shared" si="1"/>
        <v>0</v>
      </c>
      <c r="T21" s="30">
        <f t="shared" si="1"/>
        <v>0</v>
      </c>
      <c r="U21" s="30">
        <f t="shared" si="1"/>
        <v>0</v>
      </c>
      <c r="V21" s="30">
        <f t="shared" si="1"/>
        <v>0</v>
      </c>
      <c r="W21" s="30">
        <f t="shared" si="1"/>
        <v>0</v>
      </c>
      <c r="X21" s="30">
        <f t="shared" si="1"/>
        <v>0</v>
      </c>
      <c r="Y21" s="30">
        <f t="shared" si="1"/>
        <v>0</v>
      </c>
      <c r="Z21" s="30">
        <f t="shared" si="1"/>
        <v>0</v>
      </c>
      <c r="AA21" s="30">
        <f t="shared" si="1"/>
        <v>0</v>
      </c>
      <c r="AB21" s="30">
        <f t="shared" si="1"/>
        <v>0</v>
      </c>
      <c r="AC21" s="30">
        <f t="shared" si="1"/>
        <v>0</v>
      </c>
      <c r="AD21" s="30">
        <f t="shared" si="1"/>
        <v>0</v>
      </c>
      <c r="AE21" s="30">
        <f t="shared" si="1"/>
        <v>0</v>
      </c>
      <c r="AF21" s="30">
        <f t="shared" si="1"/>
        <v>0</v>
      </c>
      <c r="AG21" s="30">
        <f t="shared" si="1"/>
        <v>0</v>
      </c>
      <c r="AH21" s="30">
        <f t="shared" si="1"/>
        <v>0</v>
      </c>
      <c r="AI21" s="30">
        <f t="shared" si="1"/>
        <v>0</v>
      </c>
      <c r="AJ21" s="30">
        <f t="shared" si="1"/>
        <v>0</v>
      </c>
      <c r="AK21" s="30">
        <f t="shared" si="1"/>
        <v>0</v>
      </c>
      <c r="AL21" s="30">
        <f t="shared" si="1"/>
        <v>0</v>
      </c>
      <c r="AM21" s="30">
        <f t="shared" si="1"/>
        <v>0</v>
      </c>
      <c r="AN21" s="30">
        <f t="shared" si="1"/>
        <v>0</v>
      </c>
      <c r="AO21" s="30">
        <f t="shared" si="1"/>
        <v>0</v>
      </c>
      <c r="AP21" s="30">
        <f t="shared" si="1"/>
        <v>0</v>
      </c>
      <c r="AQ21" s="30">
        <f t="shared" si="1"/>
        <v>0</v>
      </c>
      <c r="AR21" s="30">
        <f t="shared" si="1"/>
        <v>0</v>
      </c>
      <c r="AS21" s="30">
        <f t="shared" si="1"/>
        <v>0</v>
      </c>
      <c r="AT21" s="30">
        <f t="shared" si="1"/>
        <v>0</v>
      </c>
      <c r="AU21" s="30">
        <f t="shared" si="1"/>
        <v>0</v>
      </c>
      <c r="AV21" s="30">
        <f t="shared" si="1"/>
        <v>0</v>
      </c>
      <c r="AW21" s="30">
        <f t="shared" si="1"/>
        <v>0</v>
      </c>
      <c r="AX21" s="30">
        <f t="shared" si="1"/>
        <v>0</v>
      </c>
      <c r="AY21" s="30">
        <f t="shared" si="1"/>
        <v>0</v>
      </c>
      <c r="AZ21" s="30">
        <f t="shared" si="1"/>
        <v>0</v>
      </c>
      <c r="BA21" s="30">
        <f t="shared" si="1"/>
        <v>0</v>
      </c>
      <c r="BB21" s="30">
        <f t="shared" si="1"/>
        <v>0</v>
      </c>
      <c r="BC21" s="30">
        <f t="shared" si="1"/>
        <v>0</v>
      </c>
      <c r="BD21" s="30">
        <f t="shared" si="1"/>
        <v>0</v>
      </c>
      <c r="BE21" s="30">
        <f t="shared" si="1"/>
        <v>0</v>
      </c>
      <c r="BF21" s="30">
        <f t="shared" si="1"/>
        <v>0</v>
      </c>
      <c r="BG21" s="30">
        <f t="shared" si="1"/>
        <v>0</v>
      </c>
      <c r="BH21" s="30">
        <f t="shared" si="1"/>
        <v>0</v>
      </c>
      <c r="BI21" s="31"/>
    </row>
    <row r="22">
      <c r="A22" s="32" t="s">
        <v>18</v>
      </c>
      <c r="B22" s="33">
        <f t="shared" ref="B22:BI22" si="2">B20-B21</f>
        <v>0</v>
      </c>
      <c r="C22" s="33">
        <f t="shared" si="2"/>
        <v>0</v>
      </c>
      <c r="D22" s="33">
        <f t="shared" si="2"/>
        <v>0</v>
      </c>
      <c r="E22" s="33">
        <f t="shared" si="2"/>
        <v>0</v>
      </c>
      <c r="F22" s="33">
        <f t="shared" si="2"/>
        <v>0</v>
      </c>
      <c r="G22" s="33">
        <f t="shared" si="2"/>
        <v>0</v>
      </c>
      <c r="H22" s="33">
        <f t="shared" si="2"/>
        <v>0</v>
      </c>
      <c r="I22" s="33">
        <f t="shared" si="2"/>
        <v>0</v>
      </c>
      <c r="J22" s="33">
        <f t="shared" si="2"/>
        <v>0</v>
      </c>
      <c r="K22" s="33">
        <f t="shared" si="2"/>
        <v>0</v>
      </c>
      <c r="L22" s="33">
        <f t="shared" si="2"/>
        <v>0</v>
      </c>
      <c r="M22" s="33">
        <f t="shared" si="2"/>
        <v>0</v>
      </c>
      <c r="N22" s="33">
        <f t="shared" si="2"/>
        <v>0</v>
      </c>
      <c r="O22" s="33">
        <f t="shared" si="2"/>
        <v>0</v>
      </c>
      <c r="P22" s="33">
        <f t="shared" si="2"/>
        <v>0</v>
      </c>
      <c r="Q22" s="33">
        <f t="shared" si="2"/>
        <v>0</v>
      </c>
      <c r="R22" s="33">
        <f t="shared" si="2"/>
        <v>0</v>
      </c>
      <c r="S22" s="33">
        <f t="shared" si="2"/>
        <v>0</v>
      </c>
      <c r="T22" s="33">
        <f t="shared" si="2"/>
        <v>0</v>
      </c>
      <c r="U22" s="33">
        <f t="shared" si="2"/>
        <v>0</v>
      </c>
      <c r="V22" s="33">
        <f t="shared" si="2"/>
        <v>0</v>
      </c>
      <c r="W22" s="33">
        <f t="shared" si="2"/>
        <v>0</v>
      </c>
      <c r="X22" s="33">
        <f t="shared" si="2"/>
        <v>0</v>
      </c>
      <c r="Y22" s="33">
        <f t="shared" si="2"/>
        <v>0</v>
      </c>
      <c r="Z22" s="33">
        <f t="shared" si="2"/>
        <v>0</v>
      </c>
      <c r="AA22" s="33">
        <f t="shared" si="2"/>
        <v>0</v>
      </c>
      <c r="AB22" s="33">
        <f t="shared" si="2"/>
        <v>0</v>
      </c>
      <c r="AC22" s="33">
        <f t="shared" si="2"/>
        <v>0</v>
      </c>
      <c r="AD22" s="33">
        <f t="shared" si="2"/>
        <v>0</v>
      </c>
      <c r="AE22" s="33">
        <f t="shared" si="2"/>
        <v>0</v>
      </c>
      <c r="AF22" s="33">
        <f t="shared" si="2"/>
        <v>0</v>
      </c>
      <c r="AG22" s="33">
        <f t="shared" si="2"/>
        <v>0</v>
      </c>
      <c r="AH22" s="33">
        <f t="shared" si="2"/>
        <v>0</v>
      </c>
      <c r="AI22" s="33">
        <f t="shared" si="2"/>
        <v>0</v>
      </c>
      <c r="AJ22" s="33">
        <f t="shared" si="2"/>
        <v>0</v>
      </c>
      <c r="AK22" s="33">
        <f t="shared" si="2"/>
        <v>0</v>
      </c>
      <c r="AL22" s="33">
        <f t="shared" si="2"/>
        <v>0</v>
      </c>
      <c r="AM22" s="33">
        <f t="shared" si="2"/>
        <v>0</v>
      </c>
      <c r="AN22" s="33">
        <f t="shared" si="2"/>
        <v>0</v>
      </c>
      <c r="AO22" s="33">
        <f t="shared" si="2"/>
        <v>0</v>
      </c>
      <c r="AP22" s="33">
        <f t="shared" si="2"/>
        <v>0</v>
      </c>
      <c r="AQ22" s="33">
        <f t="shared" si="2"/>
        <v>0</v>
      </c>
      <c r="AR22" s="33">
        <f t="shared" si="2"/>
        <v>0</v>
      </c>
      <c r="AS22" s="33">
        <f t="shared" si="2"/>
        <v>0</v>
      </c>
      <c r="AT22" s="33">
        <f t="shared" si="2"/>
        <v>0</v>
      </c>
      <c r="AU22" s="33">
        <f t="shared" si="2"/>
        <v>0</v>
      </c>
      <c r="AV22" s="33">
        <f t="shared" si="2"/>
        <v>0</v>
      </c>
      <c r="AW22" s="33">
        <f t="shared" si="2"/>
        <v>0</v>
      </c>
      <c r="AX22" s="33">
        <f t="shared" si="2"/>
        <v>0</v>
      </c>
      <c r="AY22" s="33">
        <f t="shared" si="2"/>
        <v>0</v>
      </c>
      <c r="AZ22" s="33">
        <f t="shared" si="2"/>
        <v>0</v>
      </c>
      <c r="BA22" s="33">
        <f t="shared" si="2"/>
        <v>0</v>
      </c>
      <c r="BB22" s="33">
        <f t="shared" si="2"/>
        <v>0</v>
      </c>
      <c r="BC22" s="33">
        <f t="shared" si="2"/>
        <v>0</v>
      </c>
      <c r="BD22" s="33">
        <f t="shared" si="2"/>
        <v>0</v>
      </c>
      <c r="BE22" s="33">
        <f t="shared" si="2"/>
        <v>0</v>
      </c>
      <c r="BF22" s="33">
        <f t="shared" si="2"/>
        <v>0</v>
      </c>
      <c r="BG22" s="33">
        <f t="shared" si="2"/>
        <v>0</v>
      </c>
      <c r="BH22" s="33">
        <f t="shared" si="2"/>
        <v>0</v>
      </c>
      <c r="BI22" s="34">
        <f t="shared" si="2"/>
        <v>0</v>
      </c>
    </row>
    <row r="23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</row>
    <row r="24">
      <c r="A24" s="8" t="s">
        <v>19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1"/>
    </row>
    <row r="25">
      <c r="A25" s="8" t="s">
        <v>20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1"/>
    </row>
    <row r="26">
      <c r="A26" s="8" t="s">
        <v>21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1"/>
    </row>
    <row r="27">
      <c r="A27" s="8" t="s">
        <v>22</v>
      </c>
      <c r="B27" s="30">
        <f t="shared" ref="B27:BH27" si="3">B16*610</f>
        <v>0</v>
      </c>
      <c r="C27" s="30">
        <f t="shared" si="3"/>
        <v>0</v>
      </c>
      <c r="D27" s="30">
        <f t="shared" si="3"/>
        <v>0</v>
      </c>
      <c r="E27" s="30">
        <f t="shared" si="3"/>
        <v>0</v>
      </c>
      <c r="F27" s="30">
        <f t="shared" si="3"/>
        <v>0</v>
      </c>
      <c r="G27" s="30">
        <f t="shared" si="3"/>
        <v>0</v>
      </c>
      <c r="H27" s="30">
        <f t="shared" si="3"/>
        <v>0</v>
      </c>
      <c r="I27" s="30">
        <f t="shared" si="3"/>
        <v>0</v>
      </c>
      <c r="J27" s="30">
        <f t="shared" si="3"/>
        <v>0</v>
      </c>
      <c r="K27" s="30">
        <f t="shared" si="3"/>
        <v>0</v>
      </c>
      <c r="L27" s="30">
        <f t="shared" si="3"/>
        <v>0</v>
      </c>
      <c r="M27" s="30">
        <f t="shared" si="3"/>
        <v>0</v>
      </c>
      <c r="N27" s="30">
        <f t="shared" si="3"/>
        <v>0</v>
      </c>
      <c r="O27" s="30">
        <f t="shared" si="3"/>
        <v>0</v>
      </c>
      <c r="P27" s="30">
        <f t="shared" si="3"/>
        <v>0</v>
      </c>
      <c r="Q27" s="30">
        <f t="shared" si="3"/>
        <v>0</v>
      </c>
      <c r="R27" s="30">
        <f t="shared" si="3"/>
        <v>0</v>
      </c>
      <c r="S27" s="30">
        <f t="shared" si="3"/>
        <v>0</v>
      </c>
      <c r="T27" s="30">
        <f t="shared" si="3"/>
        <v>0</v>
      </c>
      <c r="U27" s="30">
        <f t="shared" si="3"/>
        <v>0</v>
      </c>
      <c r="V27" s="30">
        <f t="shared" si="3"/>
        <v>0</v>
      </c>
      <c r="W27" s="30">
        <f t="shared" si="3"/>
        <v>0</v>
      </c>
      <c r="X27" s="30">
        <f t="shared" si="3"/>
        <v>0</v>
      </c>
      <c r="Y27" s="30">
        <f t="shared" si="3"/>
        <v>0</v>
      </c>
      <c r="Z27" s="30">
        <f t="shared" si="3"/>
        <v>0</v>
      </c>
      <c r="AA27" s="30">
        <f t="shared" si="3"/>
        <v>0</v>
      </c>
      <c r="AB27" s="30">
        <f t="shared" si="3"/>
        <v>0</v>
      </c>
      <c r="AC27" s="30">
        <f t="shared" si="3"/>
        <v>0</v>
      </c>
      <c r="AD27" s="30">
        <f t="shared" si="3"/>
        <v>0</v>
      </c>
      <c r="AE27" s="30">
        <f t="shared" si="3"/>
        <v>0</v>
      </c>
      <c r="AF27" s="30">
        <f t="shared" si="3"/>
        <v>0</v>
      </c>
      <c r="AG27" s="30">
        <f t="shared" si="3"/>
        <v>0</v>
      </c>
      <c r="AH27" s="30">
        <f t="shared" si="3"/>
        <v>0</v>
      </c>
      <c r="AI27" s="30">
        <f t="shared" si="3"/>
        <v>0</v>
      </c>
      <c r="AJ27" s="30">
        <f t="shared" si="3"/>
        <v>0</v>
      </c>
      <c r="AK27" s="30">
        <f t="shared" si="3"/>
        <v>0</v>
      </c>
      <c r="AL27" s="30">
        <f t="shared" si="3"/>
        <v>0</v>
      </c>
      <c r="AM27" s="30">
        <f t="shared" si="3"/>
        <v>0</v>
      </c>
      <c r="AN27" s="30">
        <f t="shared" si="3"/>
        <v>0</v>
      </c>
      <c r="AO27" s="30">
        <f t="shared" si="3"/>
        <v>0</v>
      </c>
      <c r="AP27" s="30">
        <f t="shared" si="3"/>
        <v>0</v>
      </c>
      <c r="AQ27" s="30">
        <f t="shared" si="3"/>
        <v>0</v>
      </c>
      <c r="AR27" s="30">
        <f t="shared" si="3"/>
        <v>0</v>
      </c>
      <c r="AS27" s="30">
        <f t="shared" si="3"/>
        <v>0</v>
      </c>
      <c r="AT27" s="30">
        <f t="shared" si="3"/>
        <v>0</v>
      </c>
      <c r="AU27" s="30">
        <f t="shared" si="3"/>
        <v>0</v>
      </c>
      <c r="AV27" s="30">
        <f t="shared" si="3"/>
        <v>0</v>
      </c>
      <c r="AW27" s="30">
        <f t="shared" si="3"/>
        <v>0</v>
      </c>
      <c r="AX27" s="30">
        <f t="shared" si="3"/>
        <v>0</v>
      </c>
      <c r="AY27" s="30">
        <f t="shared" si="3"/>
        <v>0</v>
      </c>
      <c r="AZ27" s="30">
        <f t="shared" si="3"/>
        <v>0</v>
      </c>
      <c r="BA27" s="30">
        <f t="shared" si="3"/>
        <v>0</v>
      </c>
      <c r="BB27" s="30">
        <f t="shared" si="3"/>
        <v>0</v>
      </c>
      <c r="BC27" s="30">
        <f t="shared" si="3"/>
        <v>0</v>
      </c>
      <c r="BD27" s="30">
        <f t="shared" si="3"/>
        <v>0</v>
      </c>
      <c r="BE27" s="30">
        <f t="shared" si="3"/>
        <v>0</v>
      </c>
      <c r="BF27" s="30">
        <f t="shared" si="3"/>
        <v>0</v>
      </c>
      <c r="BG27" s="30">
        <f t="shared" si="3"/>
        <v>0</v>
      </c>
      <c r="BH27" s="30">
        <f t="shared" si="3"/>
        <v>0</v>
      </c>
      <c r="BI27" s="31"/>
    </row>
    <row r="28">
      <c r="A28" s="8" t="s">
        <v>23</v>
      </c>
      <c r="B28" s="30">
        <f t="shared" ref="B28:BH28" si="4">IF(B16&lt;12,B16*215,B16*365)</f>
        <v>0</v>
      </c>
      <c r="C28" s="30">
        <f t="shared" si="4"/>
        <v>0</v>
      </c>
      <c r="D28" s="30">
        <f t="shared" si="4"/>
        <v>0</v>
      </c>
      <c r="E28" s="30">
        <f t="shared" si="4"/>
        <v>0</v>
      </c>
      <c r="F28" s="30">
        <f t="shared" si="4"/>
        <v>0</v>
      </c>
      <c r="G28" s="30">
        <f t="shared" si="4"/>
        <v>0</v>
      </c>
      <c r="H28" s="30">
        <f t="shared" si="4"/>
        <v>0</v>
      </c>
      <c r="I28" s="30">
        <f t="shared" si="4"/>
        <v>0</v>
      </c>
      <c r="J28" s="30">
        <f t="shared" si="4"/>
        <v>0</v>
      </c>
      <c r="K28" s="30">
        <f t="shared" si="4"/>
        <v>0</v>
      </c>
      <c r="L28" s="30">
        <f t="shared" si="4"/>
        <v>0</v>
      </c>
      <c r="M28" s="30">
        <f t="shared" si="4"/>
        <v>0</v>
      </c>
      <c r="N28" s="30">
        <f t="shared" si="4"/>
        <v>0</v>
      </c>
      <c r="O28" s="30">
        <f t="shared" si="4"/>
        <v>0</v>
      </c>
      <c r="P28" s="30">
        <f t="shared" si="4"/>
        <v>0</v>
      </c>
      <c r="Q28" s="30">
        <f t="shared" si="4"/>
        <v>0</v>
      </c>
      <c r="R28" s="30">
        <f t="shared" si="4"/>
        <v>0</v>
      </c>
      <c r="S28" s="30">
        <f t="shared" si="4"/>
        <v>0</v>
      </c>
      <c r="T28" s="30">
        <f t="shared" si="4"/>
        <v>0</v>
      </c>
      <c r="U28" s="30">
        <f t="shared" si="4"/>
        <v>0</v>
      </c>
      <c r="V28" s="30">
        <f t="shared" si="4"/>
        <v>0</v>
      </c>
      <c r="W28" s="30">
        <f t="shared" si="4"/>
        <v>0</v>
      </c>
      <c r="X28" s="30">
        <f t="shared" si="4"/>
        <v>0</v>
      </c>
      <c r="Y28" s="30">
        <f t="shared" si="4"/>
        <v>0</v>
      </c>
      <c r="Z28" s="30">
        <f t="shared" si="4"/>
        <v>0</v>
      </c>
      <c r="AA28" s="30">
        <f t="shared" si="4"/>
        <v>0</v>
      </c>
      <c r="AB28" s="30">
        <f t="shared" si="4"/>
        <v>0</v>
      </c>
      <c r="AC28" s="30">
        <f t="shared" si="4"/>
        <v>0</v>
      </c>
      <c r="AD28" s="30">
        <f t="shared" si="4"/>
        <v>0</v>
      </c>
      <c r="AE28" s="30">
        <f t="shared" si="4"/>
        <v>0</v>
      </c>
      <c r="AF28" s="30">
        <f t="shared" si="4"/>
        <v>0</v>
      </c>
      <c r="AG28" s="30">
        <f t="shared" si="4"/>
        <v>0</v>
      </c>
      <c r="AH28" s="30">
        <f t="shared" si="4"/>
        <v>0</v>
      </c>
      <c r="AI28" s="30">
        <f t="shared" si="4"/>
        <v>0</v>
      </c>
      <c r="AJ28" s="30">
        <f t="shared" si="4"/>
        <v>0</v>
      </c>
      <c r="AK28" s="30">
        <f t="shared" si="4"/>
        <v>0</v>
      </c>
      <c r="AL28" s="30">
        <f t="shared" si="4"/>
        <v>0</v>
      </c>
      <c r="AM28" s="30">
        <f t="shared" si="4"/>
        <v>0</v>
      </c>
      <c r="AN28" s="30">
        <f t="shared" si="4"/>
        <v>0</v>
      </c>
      <c r="AO28" s="30">
        <f t="shared" si="4"/>
        <v>0</v>
      </c>
      <c r="AP28" s="30">
        <f t="shared" si="4"/>
        <v>0</v>
      </c>
      <c r="AQ28" s="30">
        <f t="shared" si="4"/>
        <v>0</v>
      </c>
      <c r="AR28" s="30">
        <f t="shared" si="4"/>
        <v>0</v>
      </c>
      <c r="AS28" s="30">
        <f t="shared" si="4"/>
        <v>0</v>
      </c>
      <c r="AT28" s="30">
        <f t="shared" si="4"/>
        <v>0</v>
      </c>
      <c r="AU28" s="30">
        <f t="shared" si="4"/>
        <v>0</v>
      </c>
      <c r="AV28" s="30">
        <f t="shared" si="4"/>
        <v>0</v>
      </c>
      <c r="AW28" s="30">
        <f t="shared" si="4"/>
        <v>0</v>
      </c>
      <c r="AX28" s="30">
        <f t="shared" si="4"/>
        <v>0</v>
      </c>
      <c r="AY28" s="30">
        <f t="shared" si="4"/>
        <v>0</v>
      </c>
      <c r="AZ28" s="30">
        <f t="shared" si="4"/>
        <v>0</v>
      </c>
      <c r="BA28" s="30">
        <f t="shared" si="4"/>
        <v>0</v>
      </c>
      <c r="BB28" s="30">
        <f t="shared" si="4"/>
        <v>0</v>
      </c>
      <c r="BC28" s="30">
        <f t="shared" si="4"/>
        <v>0</v>
      </c>
      <c r="BD28" s="30">
        <f t="shared" si="4"/>
        <v>0</v>
      </c>
      <c r="BE28" s="30">
        <f t="shared" si="4"/>
        <v>0</v>
      </c>
      <c r="BF28" s="30">
        <f t="shared" si="4"/>
        <v>0</v>
      </c>
      <c r="BG28" s="30">
        <f t="shared" si="4"/>
        <v>0</v>
      </c>
      <c r="BH28" s="30">
        <f t="shared" si="4"/>
        <v>0</v>
      </c>
      <c r="BI28" s="31"/>
    </row>
    <row r="29">
      <c r="A29" s="8" t="s">
        <v>24</v>
      </c>
      <c r="B29" s="30">
        <f t="shared" ref="B29:BH29" si="5">IF(B16&lt;12,B22*0.0425,B22*0.05)</f>
        <v>0</v>
      </c>
      <c r="C29" s="30">
        <f t="shared" si="5"/>
        <v>0</v>
      </c>
      <c r="D29" s="30">
        <f t="shared" si="5"/>
        <v>0</v>
      </c>
      <c r="E29" s="30">
        <f t="shared" si="5"/>
        <v>0</v>
      </c>
      <c r="F29" s="30">
        <f t="shared" si="5"/>
        <v>0</v>
      </c>
      <c r="G29" s="30">
        <f t="shared" si="5"/>
        <v>0</v>
      </c>
      <c r="H29" s="30">
        <f t="shared" si="5"/>
        <v>0</v>
      </c>
      <c r="I29" s="30">
        <f t="shared" si="5"/>
        <v>0</v>
      </c>
      <c r="J29" s="30">
        <f t="shared" si="5"/>
        <v>0</v>
      </c>
      <c r="K29" s="30">
        <f t="shared" si="5"/>
        <v>0</v>
      </c>
      <c r="L29" s="30">
        <f t="shared" si="5"/>
        <v>0</v>
      </c>
      <c r="M29" s="30">
        <f t="shared" si="5"/>
        <v>0</v>
      </c>
      <c r="N29" s="30">
        <f t="shared" si="5"/>
        <v>0</v>
      </c>
      <c r="O29" s="30">
        <f t="shared" si="5"/>
        <v>0</v>
      </c>
      <c r="P29" s="30">
        <f t="shared" si="5"/>
        <v>0</v>
      </c>
      <c r="Q29" s="30">
        <f t="shared" si="5"/>
        <v>0</v>
      </c>
      <c r="R29" s="30">
        <f t="shared" si="5"/>
        <v>0</v>
      </c>
      <c r="S29" s="30">
        <f t="shared" si="5"/>
        <v>0</v>
      </c>
      <c r="T29" s="30">
        <f t="shared" si="5"/>
        <v>0</v>
      </c>
      <c r="U29" s="30">
        <f t="shared" si="5"/>
        <v>0</v>
      </c>
      <c r="V29" s="30">
        <f t="shared" si="5"/>
        <v>0</v>
      </c>
      <c r="W29" s="30">
        <f t="shared" si="5"/>
        <v>0</v>
      </c>
      <c r="X29" s="30">
        <f t="shared" si="5"/>
        <v>0</v>
      </c>
      <c r="Y29" s="30">
        <f t="shared" si="5"/>
        <v>0</v>
      </c>
      <c r="Z29" s="30">
        <f t="shared" si="5"/>
        <v>0</v>
      </c>
      <c r="AA29" s="30">
        <f t="shared" si="5"/>
        <v>0</v>
      </c>
      <c r="AB29" s="30">
        <f t="shared" si="5"/>
        <v>0</v>
      </c>
      <c r="AC29" s="30">
        <f t="shared" si="5"/>
        <v>0</v>
      </c>
      <c r="AD29" s="30">
        <f t="shared" si="5"/>
        <v>0</v>
      </c>
      <c r="AE29" s="30">
        <f t="shared" si="5"/>
        <v>0</v>
      </c>
      <c r="AF29" s="30">
        <f t="shared" si="5"/>
        <v>0</v>
      </c>
      <c r="AG29" s="30">
        <f t="shared" si="5"/>
        <v>0</v>
      </c>
      <c r="AH29" s="30">
        <f t="shared" si="5"/>
        <v>0</v>
      </c>
      <c r="AI29" s="30">
        <f t="shared" si="5"/>
        <v>0</v>
      </c>
      <c r="AJ29" s="30">
        <f t="shared" si="5"/>
        <v>0</v>
      </c>
      <c r="AK29" s="30">
        <f t="shared" si="5"/>
        <v>0</v>
      </c>
      <c r="AL29" s="30">
        <f t="shared" si="5"/>
        <v>0</v>
      </c>
      <c r="AM29" s="30">
        <f t="shared" si="5"/>
        <v>0</v>
      </c>
      <c r="AN29" s="30">
        <f t="shared" si="5"/>
        <v>0</v>
      </c>
      <c r="AO29" s="30">
        <f t="shared" si="5"/>
        <v>0</v>
      </c>
      <c r="AP29" s="30">
        <f t="shared" si="5"/>
        <v>0</v>
      </c>
      <c r="AQ29" s="30">
        <f t="shared" si="5"/>
        <v>0</v>
      </c>
      <c r="AR29" s="30">
        <f t="shared" si="5"/>
        <v>0</v>
      </c>
      <c r="AS29" s="30">
        <f t="shared" si="5"/>
        <v>0</v>
      </c>
      <c r="AT29" s="30">
        <f t="shared" si="5"/>
        <v>0</v>
      </c>
      <c r="AU29" s="30">
        <f t="shared" si="5"/>
        <v>0</v>
      </c>
      <c r="AV29" s="30">
        <f t="shared" si="5"/>
        <v>0</v>
      </c>
      <c r="AW29" s="30">
        <f t="shared" si="5"/>
        <v>0</v>
      </c>
      <c r="AX29" s="30">
        <f t="shared" si="5"/>
        <v>0</v>
      </c>
      <c r="AY29" s="30">
        <f t="shared" si="5"/>
        <v>0</v>
      </c>
      <c r="AZ29" s="30">
        <f t="shared" si="5"/>
        <v>0</v>
      </c>
      <c r="BA29" s="30">
        <f t="shared" si="5"/>
        <v>0</v>
      </c>
      <c r="BB29" s="30">
        <f t="shared" si="5"/>
        <v>0</v>
      </c>
      <c r="BC29" s="30">
        <f t="shared" si="5"/>
        <v>0</v>
      </c>
      <c r="BD29" s="30">
        <f t="shared" si="5"/>
        <v>0</v>
      </c>
      <c r="BE29" s="30">
        <f t="shared" si="5"/>
        <v>0</v>
      </c>
      <c r="BF29" s="30">
        <f t="shared" si="5"/>
        <v>0</v>
      </c>
      <c r="BG29" s="30">
        <f t="shared" si="5"/>
        <v>0</v>
      </c>
      <c r="BH29" s="30">
        <f t="shared" si="5"/>
        <v>0</v>
      </c>
      <c r="BI29" s="31"/>
    </row>
    <row r="30">
      <c r="A30" s="38" t="s">
        <v>25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1"/>
    </row>
    <row r="31">
      <c r="A31" s="38" t="s">
        <v>25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1"/>
    </row>
    <row r="32">
      <c r="A32" s="38" t="s">
        <v>25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1"/>
    </row>
    <row r="33">
      <c r="A33" s="32" t="s">
        <v>26</v>
      </c>
      <c r="B33" s="33">
        <f t="shared" ref="B33:BI33" si="6">SUM(B24:B32)</f>
        <v>0</v>
      </c>
      <c r="C33" s="33">
        <f t="shared" si="6"/>
        <v>0</v>
      </c>
      <c r="D33" s="33">
        <f t="shared" si="6"/>
        <v>0</v>
      </c>
      <c r="E33" s="33">
        <f t="shared" si="6"/>
        <v>0</v>
      </c>
      <c r="F33" s="33">
        <f t="shared" si="6"/>
        <v>0</v>
      </c>
      <c r="G33" s="33">
        <f t="shared" si="6"/>
        <v>0</v>
      </c>
      <c r="H33" s="33">
        <f t="shared" si="6"/>
        <v>0</v>
      </c>
      <c r="I33" s="33">
        <f t="shared" si="6"/>
        <v>0</v>
      </c>
      <c r="J33" s="33">
        <f t="shared" si="6"/>
        <v>0</v>
      </c>
      <c r="K33" s="33">
        <f t="shared" si="6"/>
        <v>0</v>
      </c>
      <c r="L33" s="33">
        <f t="shared" si="6"/>
        <v>0</v>
      </c>
      <c r="M33" s="33">
        <f t="shared" si="6"/>
        <v>0</v>
      </c>
      <c r="N33" s="33">
        <f t="shared" si="6"/>
        <v>0</v>
      </c>
      <c r="O33" s="33">
        <f t="shared" si="6"/>
        <v>0</v>
      </c>
      <c r="P33" s="33">
        <f t="shared" si="6"/>
        <v>0</v>
      </c>
      <c r="Q33" s="33">
        <f t="shared" si="6"/>
        <v>0</v>
      </c>
      <c r="R33" s="33">
        <f t="shared" si="6"/>
        <v>0</v>
      </c>
      <c r="S33" s="33">
        <f t="shared" si="6"/>
        <v>0</v>
      </c>
      <c r="T33" s="33">
        <f t="shared" si="6"/>
        <v>0</v>
      </c>
      <c r="U33" s="33">
        <f t="shared" si="6"/>
        <v>0</v>
      </c>
      <c r="V33" s="33">
        <f t="shared" si="6"/>
        <v>0</v>
      </c>
      <c r="W33" s="33">
        <f t="shared" si="6"/>
        <v>0</v>
      </c>
      <c r="X33" s="33">
        <f t="shared" si="6"/>
        <v>0</v>
      </c>
      <c r="Y33" s="33">
        <f t="shared" si="6"/>
        <v>0</v>
      </c>
      <c r="Z33" s="33">
        <f t="shared" si="6"/>
        <v>0</v>
      </c>
      <c r="AA33" s="33">
        <f t="shared" si="6"/>
        <v>0</v>
      </c>
      <c r="AB33" s="33">
        <f t="shared" si="6"/>
        <v>0</v>
      </c>
      <c r="AC33" s="33">
        <f t="shared" si="6"/>
        <v>0</v>
      </c>
      <c r="AD33" s="33">
        <f t="shared" si="6"/>
        <v>0</v>
      </c>
      <c r="AE33" s="33">
        <f t="shared" si="6"/>
        <v>0</v>
      </c>
      <c r="AF33" s="33">
        <f t="shared" si="6"/>
        <v>0</v>
      </c>
      <c r="AG33" s="33">
        <f t="shared" si="6"/>
        <v>0</v>
      </c>
      <c r="AH33" s="33">
        <f t="shared" si="6"/>
        <v>0</v>
      </c>
      <c r="AI33" s="33">
        <f t="shared" si="6"/>
        <v>0</v>
      </c>
      <c r="AJ33" s="33">
        <f t="shared" si="6"/>
        <v>0</v>
      </c>
      <c r="AK33" s="33">
        <f t="shared" si="6"/>
        <v>0</v>
      </c>
      <c r="AL33" s="33">
        <f t="shared" si="6"/>
        <v>0</v>
      </c>
      <c r="AM33" s="33">
        <f t="shared" si="6"/>
        <v>0</v>
      </c>
      <c r="AN33" s="33">
        <f t="shared" si="6"/>
        <v>0</v>
      </c>
      <c r="AO33" s="33">
        <f t="shared" si="6"/>
        <v>0</v>
      </c>
      <c r="AP33" s="33">
        <f t="shared" si="6"/>
        <v>0</v>
      </c>
      <c r="AQ33" s="33">
        <f t="shared" si="6"/>
        <v>0</v>
      </c>
      <c r="AR33" s="33">
        <f t="shared" si="6"/>
        <v>0</v>
      </c>
      <c r="AS33" s="33">
        <f t="shared" si="6"/>
        <v>0</v>
      </c>
      <c r="AT33" s="33">
        <f t="shared" si="6"/>
        <v>0</v>
      </c>
      <c r="AU33" s="33">
        <f t="shared" si="6"/>
        <v>0</v>
      </c>
      <c r="AV33" s="33">
        <f t="shared" si="6"/>
        <v>0</v>
      </c>
      <c r="AW33" s="33">
        <f t="shared" si="6"/>
        <v>0</v>
      </c>
      <c r="AX33" s="33">
        <f t="shared" si="6"/>
        <v>0</v>
      </c>
      <c r="AY33" s="33">
        <f t="shared" si="6"/>
        <v>0</v>
      </c>
      <c r="AZ33" s="33">
        <f t="shared" si="6"/>
        <v>0</v>
      </c>
      <c r="BA33" s="33">
        <f t="shared" si="6"/>
        <v>0</v>
      </c>
      <c r="BB33" s="33">
        <f t="shared" si="6"/>
        <v>0</v>
      </c>
      <c r="BC33" s="33">
        <f t="shared" si="6"/>
        <v>0</v>
      </c>
      <c r="BD33" s="33">
        <f t="shared" si="6"/>
        <v>0</v>
      </c>
      <c r="BE33" s="33">
        <f t="shared" si="6"/>
        <v>0</v>
      </c>
      <c r="BF33" s="33">
        <f t="shared" si="6"/>
        <v>0</v>
      </c>
      <c r="BG33" s="33">
        <f t="shared" si="6"/>
        <v>0</v>
      </c>
      <c r="BH33" s="33">
        <f t="shared" si="6"/>
        <v>0</v>
      </c>
      <c r="BI33" s="34">
        <f t="shared" si="6"/>
        <v>0</v>
      </c>
    </row>
    <row r="34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7"/>
    </row>
    <row r="35">
      <c r="A35" s="32" t="s">
        <v>27</v>
      </c>
      <c r="B35" s="33">
        <f t="shared" ref="B35:BI35" si="7">B22-B33</f>
        <v>0</v>
      </c>
      <c r="C35" s="33">
        <f t="shared" si="7"/>
        <v>0</v>
      </c>
      <c r="D35" s="33">
        <f t="shared" si="7"/>
        <v>0</v>
      </c>
      <c r="E35" s="33">
        <f t="shared" si="7"/>
        <v>0</v>
      </c>
      <c r="F35" s="33">
        <f t="shared" si="7"/>
        <v>0</v>
      </c>
      <c r="G35" s="33">
        <f t="shared" si="7"/>
        <v>0</v>
      </c>
      <c r="H35" s="33">
        <f t="shared" si="7"/>
        <v>0</v>
      </c>
      <c r="I35" s="33">
        <f t="shared" si="7"/>
        <v>0</v>
      </c>
      <c r="J35" s="33">
        <f t="shared" si="7"/>
        <v>0</v>
      </c>
      <c r="K35" s="33">
        <f t="shared" si="7"/>
        <v>0</v>
      </c>
      <c r="L35" s="33">
        <f t="shared" si="7"/>
        <v>0</v>
      </c>
      <c r="M35" s="33">
        <f t="shared" si="7"/>
        <v>0</v>
      </c>
      <c r="N35" s="33">
        <f t="shared" si="7"/>
        <v>0</v>
      </c>
      <c r="O35" s="33">
        <f t="shared" si="7"/>
        <v>0</v>
      </c>
      <c r="P35" s="33">
        <f t="shared" si="7"/>
        <v>0</v>
      </c>
      <c r="Q35" s="33">
        <f t="shared" si="7"/>
        <v>0</v>
      </c>
      <c r="R35" s="33">
        <f t="shared" si="7"/>
        <v>0</v>
      </c>
      <c r="S35" s="33">
        <f t="shared" si="7"/>
        <v>0</v>
      </c>
      <c r="T35" s="33">
        <f t="shared" si="7"/>
        <v>0</v>
      </c>
      <c r="U35" s="33">
        <f t="shared" si="7"/>
        <v>0</v>
      </c>
      <c r="V35" s="33">
        <f t="shared" si="7"/>
        <v>0</v>
      </c>
      <c r="W35" s="33">
        <f t="shared" si="7"/>
        <v>0</v>
      </c>
      <c r="X35" s="33">
        <f t="shared" si="7"/>
        <v>0</v>
      </c>
      <c r="Y35" s="33">
        <f t="shared" si="7"/>
        <v>0</v>
      </c>
      <c r="Z35" s="33">
        <f t="shared" si="7"/>
        <v>0</v>
      </c>
      <c r="AA35" s="33">
        <f t="shared" si="7"/>
        <v>0</v>
      </c>
      <c r="AB35" s="33">
        <f t="shared" si="7"/>
        <v>0</v>
      </c>
      <c r="AC35" s="33">
        <f t="shared" si="7"/>
        <v>0</v>
      </c>
      <c r="AD35" s="33">
        <f t="shared" si="7"/>
        <v>0</v>
      </c>
      <c r="AE35" s="33">
        <f t="shared" si="7"/>
        <v>0</v>
      </c>
      <c r="AF35" s="33">
        <f t="shared" si="7"/>
        <v>0</v>
      </c>
      <c r="AG35" s="33">
        <f t="shared" si="7"/>
        <v>0</v>
      </c>
      <c r="AH35" s="33">
        <f t="shared" si="7"/>
        <v>0</v>
      </c>
      <c r="AI35" s="33">
        <f t="shared" si="7"/>
        <v>0</v>
      </c>
      <c r="AJ35" s="33">
        <f t="shared" si="7"/>
        <v>0</v>
      </c>
      <c r="AK35" s="33">
        <f t="shared" si="7"/>
        <v>0</v>
      </c>
      <c r="AL35" s="33">
        <f t="shared" si="7"/>
        <v>0</v>
      </c>
      <c r="AM35" s="33">
        <f t="shared" si="7"/>
        <v>0</v>
      </c>
      <c r="AN35" s="33">
        <f t="shared" si="7"/>
        <v>0</v>
      </c>
      <c r="AO35" s="33">
        <f t="shared" si="7"/>
        <v>0</v>
      </c>
      <c r="AP35" s="33">
        <f t="shared" si="7"/>
        <v>0</v>
      </c>
      <c r="AQ35" s="33">
        <f t="shared" si="7"/>
        <v>0</v>
      </c>
      <c r="AR35" s="33">
        <f t="shared" si="7"/>
        <v>0</v>
      </c>
      <c r="AS35" s="33">
        <f t="shared" si="7"/>
        <v>0</v>
      </c>
      <c r="AT35" s="33">
        <f t="shared" si="7"/>
        <v>0</v>
      </c>
      <c r="AU35" s="33">
        <f t="shared" si="7"/>
        <v>0</v>
      </c>
      <c r="AV35" s="33">
        <f t="shared" si="7"/>
        <v>0</v>
      </c>
      <c r="AW35" s="33">
        <f t="shared" si="7"/>
        <v>0</v>
      </c>
      <c r="AX35" s="33">
        <f t="shared" si="7"/>
        <v>0</v>
      </c>
      <c r="AY35" s="33">
        <f t="shared" si="7"/>
        <v>0</v>
      </c>
      <c r="AZ35" s="33">
        <f t="shared" si="7"/>
        <v>0</v>
      </c>
      <c r="BA35" s="33">
        <f t="shared" si="7"/>
        <v>0</v>
      </c>
      <c r="BB35" s="33">
        <f t="shared" si="7"/>
        <v>0</v>
      </c>
      <c r="BC35" s="33">
        <f t="shared" si="7"/>
        <v>0</v>
      </c>
      <c r="BD35" s="33">
        <f t="shared" si="7"/>
        <v>0</v>
      </c>
      <c r="BE35" s="33">
        <f t="shared" si="7"/>
        <v>0</v>
      </c>
      <c r="BF35" s="33">
        <f t="shared" si="7"/>
        <v>0</v>
      </c>
      <c r="BG35" s="33">
        <f t="shared" si="7"/>
        <v>0</v>
      </c>
      <c r="BH35" s="33">
        <f t="shared" si="7"/>
        <v>0</v>
      </c>
      <c r="BI35" s="34">
        <f t="shared" si="7"/>
        <v>0</v>
      </c>
    </row>
    <row r="36">
      <c r="A36" s="39" t="s">
        <v>28</v>
      </c>
      <c r="B36" s="40">
        <f t="shared" ref="B36:BI36" si="8">B35*B14</f>
        <v>0</v>
      </c>
      <c r="C36" s="40">
        <f t="shared" si="8"/>
        <v>0</v>
      </c>
      <c r="D36" s="40">
        <f t="shared" si="8"/>
        <v>0</v>
      </c>
      <c r="E36" s="40">
        <f t="shared" si="8"/>
        <v>0</v>
      </c>
      <c r="F36" s="40">
        <f t="shared" si="8"/>
        <v>0</v>
      </c>
      <c r="G36" s="40">
        <f t="shared" si="8"/>
        <v>0</v>
      </c>
      <c r="H36" s="40">
        <f t="shared" si="8"/>
        <v>0</v>
      </c>
      <c r="I36" s="40">
        <f t="shared" si="8"/>
        <v>0</v>
      </c>
      <c r="J36" s="40">
        <f t="shared" si="8"/>
        <v>0</v>
      </c>
      <c r="K36" s="40">
        <f t="shared" si="8"/>
        <v>0</v>
      </c>
      <c r="L36" s="40">
        <f t="shared" si="8"/>
        <v>0</v>
      </c>
      <c r="M36" s="40">
        <f t="shared" si="8"/>
        <v>0</v>
      </c>
      <c r="N36" s="40">
        <f t="shared" si="8"/>
        <v>0</v>
      </c>
      <c r="O36" s="40">
        <f t="shared" si="8"/>
        <v>0</v>
      </c>
      <c r="P36" s="40">
        <f t="shared" si="8"/>
        <v>0</v>
      </c>
      <c r="Q36" s="40">
        <f t="shared" si="8"/>
        <v>0</v>
      </c>
      <c r="R36" s="40">
        <f t="shared" si="8"/>
        <v>0</v>
      </c>
      <c r="S36" s="40">
        <f t="shared" si="8"/>
        <v>0</v>
      </c>
      <c r="T36" s="40">
        <f t="shared" si="8"/>
        <v>0</v>
      </c>
      <c r="U36" s="40">
        <f t="shared" si="8"/>
        <v>0</v>
      </c>
      <c r="V36" s="40">
        <f t="shared" si="8"/>
        <v>0</v>
      </c>
      <c r="W36" s="40">
        <f t="shared" si="8"/>
        <v>0</v>
      </c>
      <c r="X36" s="40">
        <f t="shared" si="8"/>
        <v>0</v>
      </c>
      <c r="Y36" s="40">
        <f t="shared" si="8"/>
        <v>0</v>
      </c>
      <c r="Z36" s="40">
        <f t="shared" si="8"/>
        <v>0</v>
      </c>
      <c r="AA36" s="40">
        <f t="shared" si="8"/>
        <v>0</v>
      </c>
      <c r="AB36" s="40">
        <f t="shared" si="8"/>
        <v>0</v>
      </c>
      <c r="AC36" s="40">
        <f t="shared" si="8"/>
        <v>0</v>
      </c>
      <c r="AD36" s="40">
        <f t="shared" si="8"/>
        <v>0</v>
      </c>
      <c r="AE36" s="40">
        <f t="shared" si="8"/>
        <v>0</v>
      </c>
      <c r="AF36" s="40">
        <f t="shared" si="8"/>
        <v>0</v>
      </c>
      <c r="AG36" s="40">
        <f t="shared" si="8"/>
        <v>0</v>
      </c>
      <c r="AH36" s="40">
        <f t="shared" si="8"/>
        <v>0</v>
      </c>
      <c r="AI36" s="40">
        <f t="shared" si="8"/>
        <v>0</v>
      </c>
      <c r="AJ36" s="40">
        <f t="shared" si="8"/>
        <v>0</v>
      </c>
      <c r="AK36" s="40">
        <f t="shared" si="8"/>
        <v>0</v>
      </c>
      <c r="AL36" s="40">
        <f t="shared" si="8"/>
        <v>0</v>
      </c>
      <c r="AM36" s="40">
        <f t="shared" si="8"/>
        <v>0</v>
      </c>
      <c r="AN36" s="40">
        <f t="shared" si="8"/>
        <v>0</v>
      </c>
      <c r="AO36" s="40">
        <f t="shared" si="8"/>
        <v>0</v>
      </c>
      <c r="AP36" s="40">
        <f t="shared" si="8"/>
        <v>0</v>
      </c>
      <c r="AQ36" s="40">
        <f t="shared" si="8"/>
        <v>0</v>
      </c>
      <c r="AR36" s="40">
        <f t="shared" si="8"/>
        <v>0</v>
      </c>
      <c r="AS36" s="40">
        <f t="shared" si="8"/>
        <v>0</v>
      </c>
      <c r="AT36" s="40">
        <f t="shared" si="8"/>
        <v>0</v>
      </c>
      <c r="AU36" s="40">
        <f t="shared" si="8"/>
        <v>0</v>
      </c>
      <c r="AV36" s="40">
        <f t="shared" si="8"/>
        <v>0</v>
      </c>
      <c r="AW36" s="40">
        <f t="shared" si="8"/>
        <v>0</v>
      </c>
      <c r="AX36" s="40">
        <f t="shared" si="8"/>
        <v>0</v>
      </c>
      <c r="AY36" s="40">
        <f t="shared" si="8"/>
        <v>0</v>
      </c>
      <c r="AZ36" s="40">
        <f t="shared" si="8"/>
        <v>0</v>
      </c>
      <c r="BA36" s="40">
        <f t="shared" si="8"/>
        <v>0</v>
      </c>
      <c r="BB36" s="40">
        <f t="shared" si="8"/>
        <v>0</v>
      </c>
      <c r="BC36" s="40">
        <f t="shared" si="8"/>
        <v>0</v>
      </c>
      <c r="BD36" s="40">
        <f t="shared" si="8"/>
        <v>0</v>
      </c>
      <c r="BE36" s="40">
        <f t="shared" si="8"/>
        <v>0</v>
      </c>
      <c r="BF36" s="40">
        <f t="shared" si="8"/>
        <v>0</v>
      </c>
      <c r="BG36" s="40">
        <f t="shared" si="8"/>
        <v>0</v>
      </c>
      <c r="BH36" s="40">
        <f t="shared" si="8"/>
        <v>0</v>
      </c>
      <c r="BI36" s="41">
        <f t="shared" si="8"/>
        <v>0</v>
      </c>
    </row>
    <row r="37">
      <c r="A37" s="14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>
      <c r="A38" s="27" t="s">
        <v>29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3"/>
    </row>
    <row r="39">
      <c r="A39" s="8" t="s">
        <v>30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1"/>
    </row>
    <row r="40">
      <c r="A40" s="8" t="s">
        <v>31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1"/>
    </row>
    <row r="41">
      <c r="A41" s="39" t="s">
        <v>32</v>
      </c>
      <c r="B41" s="40">
        <f t="shared" ref="B41:BI41" si="9">B39+B40</f>
        <v>0</v>
      </c>
      <c r="C41" s="40">
        <f t="shared" si="9"/>
        <v>0</v>
      </c>
      <c r="D41" s="40">
        <f t="shared" si="9"/>
        <v>0</v>
      </c>
      <c r="E41" s="40">
        <f t="shared" si="9"/>
        <v>0</v>
      </c>
      <c r="F41" s="40">
        <f t="shared" si="9"/>
        <v>0</v>
      </c>
      <c r="G41" s="40">
        <f t="shared" si="9"/>
        <v>0</v>
      </c>
      <c r="H41" s="40">
        <f t="shared" si="9"/>
        <v>0</v>
      </c>
      <c r="I41" s="40">
        <f t="shared" si="9"/>
        <v>0</v>
      </c>
      <c r="J41" s="40">
        <f t="shared" si="9"/>
        <v>0</v>
      </c>
      <c r="K41" s="40">
        <f t="shared" si="9"/>
        <v>0</v>
      </c>
      <c r="L41" s="40">
        <f t="shared" si="9"/>
        <v>0</v>
      </c>
      <c r="M41" s="40">
        <f t="shared" si="9"/>
        <v>0</v>
      </c>
      <c r="N41" s="40">
        <f t="shared" si="9"/>
        <v>0</v>
      </c>
      <c r="O41" s="40">
        <f t="shared" si="9"/>
        <v>0</v>
      </c>
      <c r="P41" s="40">
        <f t="shared" si="9"/>
        <v>0</v>
      </c>
      <c r="Q41" s="40">
        <f t="shared" si="9"/>
        <v>0</v>
      </c>
      <c r="R41" s="40">
        <f t="shared" si="9"/>
        <v>0</v>
      </c>
      <c r="S41" s="40">
        <f t="shared" si="9"/>
        <v>0</v>
      </c>
      <c r="T41" s="40">
        <f t="shared" si="9"/>
        <v>0</v>
      </c>
      <c r="U41" s="40">
        <f t="shared" si="9"/>
        <v>0</v>
      </c>
      <c r="V41" s="40">
        <f t="shared" si="9"/>
        <v>0</v>
      </c>
      <c r="W41" s="40">
        <f t="shared" si="9"/>
        <v>0</v>
      </c>
      <c r="X41" s="40">
        <f t="shared" si="9"/>
        <v>0</v>
      </c>
      <c r="Y41" s="40">
        <f t="shared" si="9"/>
        <v>0</v>
      </c>
      <c r="Z41" s="40">
        <f t="shared" si="9"/>
        <v>0</v>
      </c>
      <c r="AA41" s="40">
        <f t="shared" si="9"/>
        <v>0</v>
      </c>
      <c r="AB41" s="40">
        <f t="shared" si="9"/>
        <v>0</v>
      </c>
      <c r="AC41" s="40">
        <f t="shared" si="9"/>
        <v>0</v>
      </c>
      <c r="AD41" s="40">
        <f t="shared" si="9"/>
        <v>0</v>
      </c>
      <c r="AE41" s="40">
        <f t="shared" si="9"/>
        <v>0</v>
      </c>
      <c r="AF41" s="40">
        <f t="shared" si="9"/>
        <v>0</v>
      </c>
      <c r="AG41" s="40">
        <f t="shared" si="9"/>
        <v>0</v>
      </c>
      <c r="AH41" s="40">
        <f t="shared" si="9"/>
        <v>0</v>
      </c>
      <c r="AI41" s="40">
        <f t="shared" si="9"/>
        <v>0</v>
      </c>
      <c r="AJ41" s="40">
        <f t="shared" si="9"/>
        <v>0</v>
      </c>
      <c r="AK41" s="40">
        <f t="shared" si="9"/>
        <v>0</v>
      </c>
      <c r="AL41" s="40">
        <f t="shared" si="9"/>
        <v>0</v>
      </c>
      <c r="AM41" s="40">
        <f t="shared" si="9"/>
        <v>0</v>
      </c>
      <c r="AN41" s="40">
        <f t="shared" si="9"/>
        <v>0</v>
      </c>
      <c r="AO41" s="40">
        <f t="shared" si="9"/>
        <v>0</v>
      </c>
      <c r="AP41" s="40">
        <f t="shared" si="9"/>
        <v>0</v>
      </c>
      <c r="AQ41" s="40">
        <f t="shared" si="9"/>
        <v>0</v>
      </c>
      <c r="AR41" s="40">
        <f t="shared" si="9"/>
        <v>0</v>
      </c>
      <c r="AS41" s="40">
        <f t="shared" si="9"/>
        <v>0</v>
      </c>
      <c r="AT41" s="40">
        <f t="shared" si="9"/>
        <v>0</v>
      </c>
      <c r="AU41" s="40">
        <f t="shared" si="9"/>
        <v>0</v>
      </c>
      <c r="AV41" s="40">
        <f t="shared" si="9"/>
        <v>0</v>
      </c>
      <c r="AW41" s="40">
        <f t="shared" si="9"/>
        <v>0</v>
      </c>
      <c r="AX41" s="40">
        <f t="shared" si="9"/>
        <v>0</v>
      </c>
      <c r="AY41" s="40">
        <f t="shared" si="9"/>
        <v>0</v>
      </c>
      <c r="AZ41" s="40">
        <f t="shared" si="9"/>
        <v>0</v>
      </c>
      <c r="BA41" s="40">
        <f t="shared" si="9"/>
        <v>0</v>
      </c>
      <c r="BB41" s="40">
        <f t="shared" si="9"/>
        <v>0</v>
      </c>
      <c r="BC41" s="40">
        <f t="shared" si="9"/>
        <v>0</v>
      </c>
      <c r="BD41" s="40">
        <f t="shared" si="9"/>
        <v>0</v>
      </c>
      <c r="BE41" s="40">
        <f t="shared" si="9"/>
        <v>0</v>
      </c>
      <c r="BF41" s="40">
        <f t="shared" si="9"/>
        <v>0</v>
      </c>
      <c r="BG41" s="40">
        <f t="shared" si="9"/>
        <v>0</v>
      </c>
      <c r="BH41" s="40">
        <f t="shared" si="9"/>
        <v>0</v>
      </c>
      <c r="BI41" s="41">
        <f t="shared" si="9"/>
        <v>0</v>
      </c>
    </row>
    <row r="42">
      <c r="A42" s="14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</row>
    <row r="43">
      <c r="A43" s="27" t="s">
        <v>33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5"/>
    </row>
    <row r="44">
      <c r="A44" s="32" t="s">
        <v>34</v>
      </c>
      <c r="B44" s="33">
        <f t="shared" ref="B44:BI44" si="10">IF(B12=0,0,B35/B12)</f>
        <v>0</v>
      </c>
      <c r="C44" s="33">
        <f t="shared" si="10"/>
        <v>0</v>
      </c>
      <c r="D44" s="33">
        <f t="shared" si="10"/>
        <v>0</v>
      </c>
      <c r="E44" s="33">
        <f t="shared" si="10"/>
        <v>0</v>
      </c>
      <c r="F44" s="33">
        <f t="shared" si="10"/>
        <v>0</v>
      </c>
      <c r="G44" s="33">
        <f t="shared" si="10"/>
        <v>0</v>
      </c>
      <c r="H44" s="33">
        <f t="shared" si="10"/>
        <v>0</v>
      </c>
      <c r="I44" s="33">
        <f t="shared" si="10"/>
        <v>0</v>
      </c>
      <c r="J44" s="33">
        <f t="shared" si="10"/>
        <v>0</v>
      </c>
      <c r="K44" s="33">
        <f t="shared" si="10"/>
        <v>0</v>
      </c>
      <c r="L44" s="33">
        <f t="shared" si="10"/>
        <v>0</v>
      </c>
      <c r="M44" s="33">
        <f t="shared" si="10"/>
        <v>0</v>
      </c>
      <c r="N44" s="33">
        <f t="shared" si="10"/>
        <v>0</v>
      </c>
      <c r="O44" s="33">
        <f t="shared" si="10"/>
        <v>0</v>
      </c>
      <c r="P44" s="33">
        <f t="shared" si="10"/>
        <v>0</v>
      </c>
      <c r="Q44" s="33">
        <f t="shared" si="10"/>
        <v>0</v>
      </c>
      <c r="R44" s="33">
        <f t="shared" si="10"/>
        <v>0</v>
      </c>
      <c r="S44" s="33">
        <f t="shared" si="10"/>
        <v>0</v>
      </c>
      <c r="T44" s="33">
        <f t="shared" si="10"/>
        <v>0</v>
      </c>
      <c r="U44" s="33">
        <f t="shared" si="10"/>
        <v>0</v>
      </c>
      <c r="V44" s="33">
        <f t="shared" si="10"/>
        <v>0</v>
      </c>
      <c r="W44" s="33">
        <f t="shared" si="10"/>
        <v>0</v>
      </c>
      <c r="X44" s="33">
        <f t="shared" si="10"/>
        <v>0</v>
      </c>
      <c r="Y44" s="33">
        <f t="shared" si="10"/>
        <v>0</v>
      </c>
      <c r="Z44" s="33">
        <f t="shared" si="10"/>
        <v>0</v>
      </c>
      <c r="AA44" s="33">
        <f t="shared" si="10"/>
        <v>0</v>
      </c>
      <c r="AB44" s="33">
        <f t="shared" si="10"/>
        <v>0</v>
      </c>
      <c r="AC44" s="33">
        <f t="shared" si="10"/>
        <v>0</v>
      </c>
      <c r="AD44" s="33">
        <f t="shared" si="10"/>
        <v>0</v>
      </c>
      <c r="AE44" s="33">
        <f t="shared" si="10"/>
        <v>0</v>
      </c>
      <c r="AF44" s="33">
        <f t="shared" si="10"/>
        <v>0</v>
      </c>
      <c r="AG44" s="33">
        <f t="shared" si="10"/>
        <v>0</v>
      </c>
      <c r="AH44" s="33">
        <f t="shared" si="10"/>
        <v>0</v>
      </c>
      <c r="AI44" s="33">
        <f t="shared" si="10"/>
        <v>0</v>
      </c>
      <c r="AJ44" s="33">
        <f t="shared" si="10"/>
        <v>0</v>
      </c>
      <c r="AK44" s="33">
        <f t="shared" si="10"/>
        <v>0</v>
      </c>
      <c r="AL44" s="33">
        <f t="shared" si="10"/>
        <v>0</v>
      </c>
      <c r="AM44" s="33">
        <f t="shared" si="10"/>
        <v>0</v>
      </c>
      <c r="AN44" s="33">
        <f t="shared" si="10"/>
        <v>0</v>
      </c>
      <c r="AO44" s="33">
        <f t="shared" si="10"/>
        <v>0</v>
      </c>
      <c r="AP44" s="33">
        <f t="shared" si="10"/>
        <v>0</v>
      </c>
      <c r="AQ44" s="33">
        <f t="shared" si="10"/>
        <v>0</v>
      </c>
      <c r="AR44" s="33">
        <f t="shared" si="10"/>
        <v>0</v>
      </c>
      <c r="AS44" s="33">
        <f t="shared" si="10"/>
        <v>0</v>
      </c>
      <c r="AT44" s="33">
        <f t="shared" si="10"/>
        <v>0</v>
      </c>
      <c r="AU44" s="33">
        <f t="shared" si="10"/>
        <v>0</v>
      </c>
      <c r="AV44" s="33">
        <f t="shared" si="10"/>
        <v>0</v>
      </c>
      <c r="AW44" s="33">
        <f t="shared" si="10"/>
        <v>0</v>
      </c>
      <c r="AX44" s="33">
        <f t="shared" si="10"/>
        <v>0</v>
      </c>
      <c r="AY44" s="33">
        <f t="shared" si="10"/>
        <v>0</v>
      </c>
      <c r="AZ44" s="33">
        <f t="shared" si="10"/>
        <v>0</v>
      </c>
      <c r="BA44" s="33">
        <f t="shared" si="10"/>
        <v>0</v>
      </c>
      <c r="BB44" s="33">
        <f t="shared" si="10"/>
        <v>0</v>
      </c>
      <c r="BC44" s="33">
        <f t="shared" si="10"/>
        <v>0</v>
      </c>
      <c r="BD44" s="33">
        <f t="shared" si="10"/>
        <v>0</v>
      </c>
      <c r="BE44" s="33">
        <f t="shared" si="10"/>
        <v>0</v>
      </c>
      <c r="BF44" s="33">
        <f t="shared" si="10"/>
        <v>0</v>
      </c>
      <c r="BG44" s="33">
        <f t="shared" si="10"/>
        <v>0</v>
      </c>
      <c r="BH44" s="33">
        <f t="shared" si="10"/>
        <v>0</v>
      </c>
      <c r="BI44" s="34">
        <f t="shared" si="10"/>
        <v>0</v>
      </c>
    </row>
    <row r="45">
      <c r="A45" s="8" t="s">
        <v>35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1"/>
    </row>
    <row r="46">
      <c r="A46" s="8" t="s">
        <v>36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1"/>
    </row>
    <row r="47">
      <c r="A47" s="8" t="s">
        <v>37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1"/>
    </row>
    <row r="48">
      <c r="A48" s="8" t="s">
        <v>38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</row>
    <row r="49">
      <c r="A49" s="32" t="s">
        <v>39</v>
      </c>
      <c r="B49" s="33">
        <f t="shared" ref="B49:BI49" si="11">IF(B48&gt;0,B48,B44)</f>
        <v>0</v>
      </c>
      <c r="C49" s="33">
        <f t="shared" si="11"/>
        <v>0</v>
      </c>
      <c r="D49" s="33">
        <f t="shared" si="11"/>
        <v>0</v>
      </c>
      <c r="E49" s="33">
        <f t="shared" si="11"/>
        <v>0</v>
      </c>
      <c r="F49" s="33">
        <f t="shared" si="11"/>
        <v>0</v>
      </c>
      <c r="G49" s="33">
        <f t="shared" si="11"/>
        <v>0</v>
      </c>
      <c r="H49" s="33">
        <f t="shared" si="11"/>
        <v>0</v>
      </c>
      <c r="I49" s="33">
        <f t="shared" si="11"/>
        <v>0</v>
      </c>
      <c r="J49" s="33">
        <f t="shared" si="11"/>
        <v>0</v>
      </c>
      <c r="K49" s="33">
        <f t="shared" si="11"/>
        <v>0</v>
      </c>
      <c r="L49" s="33">
        <f t="shared" si="11"/>
        <v>0</v>
      </c>
      <c r="M49" s="33">
        <f t="shared" si="11"/>
        <v>0</v>
      </c>
      <c r="N49" s="33">
        <f t="shared" si="11"/>
        <v>0</v>
      </c>
      <c r="O49" s="33">
        <f t="shared" si="11"/>
        <v>0</v>
      </c>
      <c r="P49" s="33">
        <f t="shared" si="11"/>
        <v>0</v>
      </c>
      <c r="Q49" s="33">
        <f t="shared" si="11"/>
        <v>0</v>
      </c>
      <c r="R49" s="33">
        <f t="shared" si="11"/>
        <v>0</v>
      </c>
      <c r="S49" s="33">
        <f t="shared" si="11"/>
        <v>0</v>
      </c>
      <c r="T49" s="33">
        <f t="shared" si="11"/>
        <v>0</v>
      </c>
      <c r="U49" s="33">
        <f t="shared" si="11"/>
        <v>0</v>
      </c>
      <c r="V49" s="33">
        <f t="shared" si="11"/>
        <v>0</v>
      </c>
      <c r="W49" s="33">
        <f t="shared" si="11"/>
        <v>0</v>
      </c>
      <c r="X49" s="33">
        <f t="shared" si="11"/>
        <v>0</v>
      </c>
      <c r="Y49" s="33">
        <f t="shared" si="11"/>
        <v>0</v>
      </c>
      <c r="Z49" s="33">
        <f t="shared" si="11"/>
        <v>0</v>
      </c>
      <c r="AA49" s="33">
        <f t="shared" si="11"/>
        <v>0</v>
      </c>
      <c r="AB49" s="33">
        <f t="shared" si="11"/>
        <v>0</v>
      </c>
      <c r="AC49" s="33">
        <f t="shared" si="11"/>
        <v>0</v>
      </c>
      <c r="AD49" s="33">
        <f t="shared" si="11"/>
        <v>0</v>
      </c>
      <c r="AE49" s="33">
        <f t="shared" si="11"/>
        <v>0</v>
      </c>
      <c r="AF49" s="33">
        <f t="shared" si="11"/>
        <v>0</v>
      </c>
      <c r="AG49" s="33">
        <f t="shared" si="11"/>
        <v>0</v>
      </c>
      <c r="AH49" s="33">
        <f t="shared" si="11"/>
        <v>0</v>
      </c>
      <c r="AI49" s="33">
        <f t="shared" si="11"/>
        <v>0</v>
      </c>
      <c r="AJ49" s="33">
        <f t="shared" si="11"/>
        <v>0</v>
      </c>
      <c r="AK49" s="33">
        <f t="shared" si="11"/>
        <v>0</v>
      </c>
      <c r="AL49" s="33">
        <f t="shared" si="11"/>
        <v>0</v>
      </c>
      <c r="AM49" s="33">
        <f t="shared" si="11"/>
        <v>0</v>
      </c>
      <c r="AN49" s="33">
        <f t="shared" si="11"/>
        <v>0</v>
      </c>
      <c r="AO49" s="33">
        <f t="shared" si="11"/>
        <v>0</v>
      </c>
      <c r="AP49" s="33">
        <f t="shared" si="11"/>
        <v>0</v>
      </c>
      <c r="AQ49" s="33">
        <f t="shared" si="11"/>
        <v>0</v>
      </c>
      <c r="AR49" s="33">
        <f t="shared" si="11"/>
        <v>0</v>
      </c>
      <c r="AS49" s="33">
        <f t="shared" si="11"/>
        <v>0</v>
      </c>
      <c r="AT49" s="33">
        <f t="shared" si="11"/>
        <v>0</v>
      </c>
      <c r="AU49" s="33">
        <f t="shared" si="11"/>
        <v>0</v>
      </c>
      <c r="AV49" s="33">
        <f t="shared" si="11"/>
        <v>0</v>
      </c>
      <c r="AW49" s="33">
        <f t="shared" si="11"/>
        <v>0</v>
      </c>
      <c r="AX49" s="33">
        <f t="shared" si="11"/>
        <v>0</v>
      </c>
      <c r="AY49" s="33">
        <f t="shared" si="11"/>
        <v>0</v>
      </c>
      <c r="AZ49" s="33">
        <f t="shared" si="11"/>
        <v>0</v>
      </c>
      <c r="BA49" s="33">
        <f t="shared" si="11"/>
        <v>0</v>
      </c>
      <c r="BB49" s="33">
        <f t="shared" si="11"/>
        <v>0</v>
      </c>
      <c r="BC49" s="33">
        <f t="shared" si="11"/>
        <v>0</v>
      </c>
      <c r="BD49" s="33">
        <f t="shared" si="11"/>
        <v>0</v>
      </c>
      <c r="BE49" s="33">
        <f t="shared" si="11"/>
        <v>0</v>
      </c>
      <c r="BF49" s="33">
        <f t="shared" si="11"/>
        <v>0</v>
      </c>
      <c r="BG49" s="33">
        <f t="shared" si="11"/>
        <v>0</v>
      </c>
      <c r="BH49" s="33">
        <f t="shared" si="11"/>
        <v>0</v>
      </c>
      <c r="BI49" s="34">
        <f t="shared" si="11"/>
        <v>0</v>
      </c>
    </row>
    <row r="50">
      <c r="A50" s="39" t="s">
        <v>40</v>
      </c>
      <c r="B50" s="40">
        <f t="shared" ref="B50:BI50" si="12">B14*B49</f>
        <v>0</v>
      </c>
      <c r="C50" s="40">
        <f t="shared" si="12"/>
        <v>0</v>
      </c>
      <c r="D50" s="40">
        <f t="shared" si="12"/>
        <v>0</v>
      </c>
      <c r="E50" s="40">
        <f t="shared" si="12"/>
        <v>0</v>
      </c>
      <c r="F50" s="40">
        <f t="shared" si="12"/>
        <v>0</v>
      </c>
      <c r="G50" s="40">
        <f t="shared" si="12"/>
        <v>0</v>
      </c>
      <c r="H50" s="40">
        <f t="shared" si="12"/>
        <v>0</v>
      </c>
      <c r="I50" s="40">
        <f t="shared" si="12"/>
        <v>0</v>
      </c>
      <c r="J50" s="40">
        <f t="shared" si="12"/>
        <v>0</v>
      </c>
      <c r="K50" s="40">
        <f t="shared" si="12"/>
        <v>0</v>
      </c>
      <c r="L50" s="40">
        <f t="shared" si="12"/>
        <v>0</v>
      </c>
      <c r="M50" s="40">
        <f t="shared" si="12"/>
        <v>0</v>
      </c>
      <c r="N50" s="40">
        <f t="shared" si="12"/>
        <v>0</v>
      </c>
      <c r="O50" s="40">
        <f t="shared" si="12"/>
        <v>0</v>
      </c>
      <c r="P50" s="40">
        <f t="shared" si="12"/>
        <v>0</v>
      </c>
      <c r="Q50" s="40">
        <f t="shared" si="12"/>
        <v>0</v>
      </c>
      <c r="R50" s="40">
        <f t="shared" si="12"/>
        <v>0</v>
      </c>
      <c r="S50" s="40">
        <f t="shared" si="12"/>
        <v>0</v>
      </c>
      <c r="T50" s="40">
        <f t="shared" si="12"/>
        <v>0</v>
      </c>
      <c r="U50" s="40">
        <f t="shared" si="12"/>
        <v>0</v>
      </c>
      <c r="V50" s="40">
        <f t="shared" si="12"/>
        <v>0</v>
      </c>
      <c r="W50" s="40">
        <f t="shared" si="12"/>
        <v>0</v>
      </c>
      <c r="X50" s="40">
        <f t="shared" si="12"/>
        <v>0</v>
      </c>
      <c r="Y50" s="40">
        <f t="shared" si="12"/>
        <v>0</v>
      </c>
      <c r="Z50" s="40">
        <f t="shared" si="12"/>
        <v>0</v>
      </c>
      <c r="AA50" s="40">
        <f t="shared" si="12"/>
        <v>0</v>
      </c>
      <c r="AB50" s="40">
        <f t="shared" si="12"/>
        <v>0</v>
      </c>
      <c r="AC50" s="40">
        <f t="shared" si="12"/>
        <v>0</v>
      </c>
      <c r="AD50" s="40">
        <f t="shared" si="12"/>
        <v>0</v>
      </c>
      <c r="AE50" s="40">
        <f t="shared" si="12"/>
        <v>0</v>
      </c>
      <c r="AF50" s="40">
        <f t="shared" si="12"/>
        <v>0</v>
      </c>
      <c r="AG50" s="40">
        <f t="shared" si="12"/>
        <v>0</v>
      </c>
      <c r="AH50" s="40">
        <f t="shared" si="12"/>
        <v>0</v>
      </c>
      <c r="AI50" s="40">
        <f t="shared" si="12"/>
        <v>0</v>
      </c>
      <c r="AJ50" s="40">
        <f t="shared" si="12"/>
        <v>0</v>
      </c>
      <c r="AK50" s="40">
        <f t="shared" si="12"/>
        <v>0</v>
      </c>
      <c r="AL50" s="40">
        <f t="shared" si="12"/>
        <v>0</v>
      </c>
      <c r="AM50" s="40">
        <f t="shared" si="12"/>
        <v>0</v>
      </c>
      <c r="AN50" s="40">
        <f t="shared" si="12"/>
        <v>0</v>
      </c>
      <c r="AO50" s="40">
        <f t="shared" si="12"/>
        <v>0</v>
      </c>
      <c r="AP50" s="40">
        <f t="shared" si="12"/>
        <v>0</v>
      </c>
      <c r="AQ50" s="40">
        <f t="shared" si="12"/>
        <v>0</v>
      </c>
      <c r="AR50" s="40">
        <f t="shared" si="12"/>
        <v>0</v>
      </c>
      <c r="AS50" s="40">
        <f t="shared" si="12"/>
        <v>0</v>
      </c>
      <c r="AT50" s="40">
        <f t="shared" si="12"/>
        <v>0</v>
      </c>
      <c r="AU50" s="40">
        <f t="shared" si="12"/>
        <v>0</v>
      </c>
      <c r="AV50" s="40">
        <f t="shared" si="12"/>
        <v>0</v>
      </c>
      <c r="AW50" s="40">
        <f t="shared" si="12"/>
        <v>0</v>
      </c>
      <c r="AX50" s="40">
        <f t="shared" si="12"/>
        <v>0</v>
      </c>
      <c r="AY50" s="40">
        <f t="shared" si="12"/>
        <v>0</v>
      </c>
      <c r="AZ50" s="40">
        <f t="shared" si="12"/>
        <v>0</v>
      </c>
      <c r="BA50" s="40">
        <f t="shared" si="12"/>
        <v>0</v>
      </c>
      <c r="BB50" s="40">
        <f t="shared" si="12"/>
        <v>0</v>
      </c>
      <c r="BC50" s="40">
        <f t="shared" si="12"/>
        <v>0</v>
      </c>
      <c r="BD50" s="40">
        <f t="shared" si="12"/>
        <v>0</v>
      </c>
      <c r="BE50" s="40">
        <f t="shared" si="12"/>
        <v>0</v>
      </c>
      <c r="BF50" s="40">
        <f t="shared" si="12"/>
        <v>0</v>
      </c>
      <c r="BG50" s="40">
        <f t="shared" si="12"/>
        <v>0</v>
      </c>
      <c r="BH50" s="40">
        <f t="shared" si="12"/>
        <v>0</v>
      </c>
      <c r="BI50" s="41">
        <f t="shared" si="12"/>
        <v>0</v>
      </c>
    </row>
    <row r="51">
      <c r="A51" s="14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</row>
    <row r="52">
      <c r="A52" s="27" t="s">
        <v>41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5"/>
    </row>
    <row r="53">
      <c r="A53" s="8" t="s">
        <v>42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</row>
    <row r="54">
      <c r="A54" s="8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1"/>
    </row>
    <row r="55">
      <c r="A55" s="39" t="s">
        <v>44</v>
      </c>
      <c r="B55" s="40">
        <f t="shared" ref="B55:BI55" si="13">B53+B54</f>
        <v>0</v>
      </c>
      <c r="C55" s="40">
        <f t="shared" si="13"/>
        <v>0</v>
      </c>
      <c r="D55" s="40">
        <f t="shared" si="13"/>
        <v>0</v>
      </c>
      <c r="E55" s="40">
        <f t="shared" si="13"/>
        <v>0</v>
      </c>
      <c r="F55" s="40">
        <f t="shared" si="13"/>
        <v>0</v>
      </c>
      <c r="G55" s="40">
        <f t="shared" si="13"/>
        <v>0</v>
      </c>
      <c r="H55" s="40">
        <f t="shared" si="13"/>
        <v>0</v>
      </c>
      <c r="I55" s="40">
        <f t="shared" si="13"/>
        <v>0</v>
      </c>
      <c r="J55" s="40">
        <f t="shared" si="13"/>
        <v>0</v>
      </c>
      <c r="K55" s="40">
        <f t="shared" si="13"/>
        <v>0</v>
      </c>
      <c r="L55" s="40">
        <f t="shared" si="13"/>
        <v>0</v>
      </c>
      <c r="M55" s="40">
        <f t="shared" si="13"/>
        <v>0</v>
      </c>
      <c r="N55" s="40">
        <f t="shared" si="13"/>
        <v>0</v>
      </c>
      <c r="O55" s="40">
        <f t="shared" si="13"/>
        <v>0</v>
      </c>
      <c r="P55" s="40">
        <f t="shared" si="13"/>
        <v>0</v>
      </c>
      <c r="Q55" s="40">
        <f t="shared" si="13"/>
        <v>0</v>
      </c>
      <c r="R55" s="40">
        <f t="shared" si="13"/>
        <v>0</v>
      </c>
      <c r="S55" s="40">
        <f t="shared" si="13"/>
        <v>0</v>
      </c>
      <c r="T55" s="40">
        <f t="shared" si="13"/>
        <v>0</v>
      </c>
      <c r="U55" s="40">
        <f t="shared" si="13"/>
        <v>0</v>
      </c>
      <c r="V55" s="40">
        <f t="shared" si="13"/>
        <v>0</v>
      </c>
      <c r="W55" s="40">
        <f t="shared" si="13"/>
        <v>0</v>
      </c>
      <c r="X55" s="40">
        <f t="shared" si="13"/>
        <v>0</v>
      </c>
      <c r="Y55" s="40">
        <f t="shared" si="13"/>
        <v>0</v>
      </c>
      <c r="Z55" s="40">
        <f t="shared" si="13"/>
        <v>0</v>
      </c>
      <c r="AA55" s="40">
        <f t="shared" si="13"/>
        <v>0</v>
      </c>
      <c r="AB55" s="40">
        <f t="shared" si="13"/>
        <v>0</v>
      </c>
      <c r="AC55" s="40">
        <f t="shared" si="13"/>
        <v>0</v>
      </c>
      <c r="AD55" s="40">
        <f t="shared" si="13"/>
        <v>0</v>
      </c>
      <c r="AE55" s="40">
        <f t="shared" si="13"/>
        <v>0</v>
      </c>
      <c r="AF55" s="40">
        <f t="shared" si="13"/>
        <v>0</v>
      </c>
      <c r="AG55" s="40">
        <f t="shared" si="13"/>
        <v>0</v>
      </c>
      <c r="AH55" s="40">
        <f t="shared" si="13"/>
        <v>0</v>
      </c>
      <c r="AI55" s="40">
        <f t="shared" si="13"/>
        <v>0</v>
      </c>
      <c r="AJ55" s="40">
        <f t="shared" si="13"/>
        <v>0</v>
      </c>
      <c r="AK55" s="40">
        <f t="shared" si="13"/>
        <v>0</v>
      </c>
      <c r="AL55" s="40">
        <f t="shared" si="13"/>
        <v>0</v>
      </c>
      <c r="AM55" s="40">
        <f t="shared" si="13"/>
        <v>0</v>
      </c>
      <c r="AN55" s="40">
        <f t="shared" si="13"/>
        <v>0</v>
      </c>
      <c r="AO55" s="40">
        <f t="shared" si="13"/>
        <v>0</v>
      </c>
      <c r="AP55" s="40">
        <f t="shared" si="13"/>
        <v>0</v>
      </c>
      <c r="AQ55" s="40">
        <f t="shared" si="13"/>
        <v>0</v>
      </c>
      <c r="AR55" s="40">
        <f t="shared" si="13"/>
        <v>0</v>
      </c>
      <c r="AS55" s="40">
        <f t="shared" si="13"/>
        <v>0</v>
      </c>
      <c r="AT55" s="40">
        <f t="shared" si="13"/>
        <v>0</v>
      </c>
      <c r="AU55" s="40">
        <f t="shared" si="13"/>
        <v>0</v>
      </c>
      <c r="AV55" s="40">
        <f t="shared" si="13"/>
        <v>0</v>
      </c>
      <c r="AW55" s="40">
        <f t="shared" si="13"/>
        <v>0</v>
      </c>
      <c r="AX55" s="40">
        <f t="shared" si="13"/>
        <v>0</v>
      </c>
      <c r="AY55" s="40">
        <f t="shared" si="13"/>
        <v>0</v>
      </c>
      <c r="AZ55" s="40">
        <f t="shared" si="13"/>
        <v>0</v>
      </c>
      <c r="BA55" s="40">
        <f t="shared" si="13"/>
        <v>0</v>
      </c>
      <c r="BB55" s="40">
        <f t="shared" si="13"/>
        <v>0</v>
      </c>
      <c r="BC55" s="40">
        <f t="shared" si="13"/>
        <v>0</v>
      </c>
      <c r="BD55" s="40">
        <f t="shared" si="13"/>
        <v>0</v>
      </c>
      <c r="BE55" s="40">
        <f t="shared" si="13"/>
        <v>0</v>
      </c>
      <c r="BF55" s="40">
        <f t="shared" si="13"/>
        <v>0</v>
      </c>
      <c r="BG55" s="40">
        <f t="shared" si="13"/>
        <v>0</v>
      </c>
      <c r="BH55" s="40">
        <f t="shared" si="13"/>
        <v>0</v>
      </c>
      <c r="BI55" s="41">
        <f t="shared" si="13"/>
        <v>0</v>
      </c>
    </row>
    <row r="56">
      <c r="A56" s="14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</row>
    <row r="57">
      <c r="A57" s="47" t="s">
        <v>45</v>
      </c>
      <c r="B57" s="48">
        <f t="shared" ref="B57:BI57" si="14">IF(B39=0,0,B35/B41)</f>
        <v>0</v>
      </c>
      <c r="C57" s="48">
        <f t="shared" si="14"/>
        <v>0</v>
      </c>
      <c r="D57" s="48">
        <f t="shared" si="14"/>
        <v>0</v>
      </c>
      <c r="E57" s="48">
        <f t="shared" si="14"/>
        <v>0</v>
      </c>
      <c r="F57" s="48">
        <f t="shared" si="14"/>
        <v>0</v>
      </c>
      <c r="G57" s="48">
        <f t="shared" si="14"/>
        <v>0</v>
      </c>
      <c r="H57" s="48">
        <f t="shared" si="14"/>
        <v>0</v>
      </c>
      <c r="I57" s="48">
        <f t="shared" si="14"/>
        <v>0</v>
      </c>
      <c r="J57" s="48">
        <f t="shared" si="14"/>
        <v>0</v>
      </c>
      <c r="K57" s="48">
        <f t="shared" si="14"/>
        <v>0</v>
      </c>
      <c r="L57" s="48">
        <f t="shared" si="14"/>
        <v>0</v>
      </c>
      <c r="M57" s="48">
        <f t="shared" si="14"/>
        <v>0</v>
      </c>
      <c r="N57" s="48">
        <f t="shared" si="14"/>
        <v>0</v>
      </c>
      <c r="O57" s="48">
        <f t="shared" si="14"/>
        <v>0</v>
      </c>
      <c r="P57" s="48">
        <f t="shared" si="14"/>
        <v>0</v>
      </c>
      <c r="Q57" s="48">
        <f t="shared" si="14"/>
        <v>0</v>
      </c>
      <c r="R57" s="48">
        <f t="shared" si="14"/>
        <v>0</v>
      </c>
      <c r="S57" s="48">
        <f t="shared" si="14"/>
        <v>0</v>
      </c>
      <c r="T57" s="48">
        <f t="shared" si="14"/>
        <v>0</v>
      </c>
      <c r="U57" s="48">
        <f t="shared" si="14"/>
        <v>0</v>
      </c>
      <c r="V57" s="48">
        <f t="shared" si="14"/>
        <v>0</v>
      </c>
      <c r="W57" s="48">
        <f t="shared" si="14"/>
        <v>0</v>
      </c>
      <c r="X57" s="48">
        <f t="shared" si="14"/>
        <v>0</v>
      </c>
      <c r="Y57" s="48">
        <f t="shared" si="14"/>
        <v>0</v>
      </c>
      <c r="Z57" s="48">
        <f t="shared" si="14"/>
        <v>0</v>
      </c>
      <c r="AA57" s="48">
        <f t="shared" si="14"/>
        <v>0</v>
      </c>
      <c r="AB57" s="48">
        <f t="shared" si="14"/>
        <v>0</v>
      </c>
      <c r="AC57" s="48">
        <f t="shared" si="14"/>
        <v>0</v>
      </c>
      <c r="AD57" s="48">
        <f t="shared" si="14"/>
        <v>0</v>
      </c>
      <c r="AE57" s="48">
        <f t="shared" si="14"/>
        <v>0</v>
      </c>
      <c r="AF57" s="48">
        <f t="shared" si="14"/>
        <v>0</v>
      </c>
      <c r="AG57" s="48">
        <f t="shared" si="14"/>
        <v>0</v>
      </c>
      <c r="AH57" s="48">
        <f t="shared" si="14"/>
        <v>0</v>
      </c>
      <c r="AI57" s="48">
        <f t="shared" si="14"/>
        <v>0</v>
      </c>
      <c r="AJ57" s="48">
        <f t="shared" si="14"/>
        <v>0</v>
      </c>
      <c r="AK57" s="48">
        <f t="shared" si="14"/>
        <v>0</v>
      </c>
      <c r="AL57" s="48">
        <f t="shared" si="14"/>
        <v>0</v>
      </c>
      <c r="AM57" s="48">
        <f t="shared" si="14"/>
        <v>0</v>
      </c>
      <c r="AN57" s="48">
        <f t="shared" si="14"/>
        <v>0</v>
      </c>
      <c r="AO57" s="48">
        <f t="shared" si="14"/>
        <v>0</v>
      </c>
      <c r="AP57" s="48">
        <f t="shared" si="14"/>
        <v>0</v>
      </c>
      <c r="AQ57" s="48">
        <f t="shared" si="14"/>
        <v>0</v>
      </c>
      <c r="AR57" s="48">
        <f t="shared" si="14"/>
        <v>0</v>
      </c>
      <c r="AS57" s="48">
        <f t="shared" si="14"/>
        <v>0</v>
      </c>
      <c r="AT57" s="48">
        <f t="shared" si="14"/>
        <v>0</v>
      </c>
      <c r="AU57" s="48">
        <f t="shared" si="14"/>
        <v>0</v>
      </c>
      <c r="AV57" s="48">
        <f t="shared" si="14"/>
        <v>0</v>
      </c>
      <c r="AW57" s="48">
        <f t="shared" si="14"/>
        <v>0</v>
      </c>
      <c r="AX57" s="48">
        <f t="shared" si="14"/>
        <v>0</v>
      </c>
      <c r="AY57" s="48">
        <f t="shared" si="14"/>
        <v>0</v>
      </c>
      <c r="AZ57" s="48">
        <f t="shared" si="14"/>
        <v>0</v>
      </c>
      <c r="BA57" s="48">
        <f t="shared" si="14"/>
        <v>0</v>
      </c>
      <c r="BB57" s="48">
        <f t="shared" si="14"/>
        <v>0</v>
      </c>
      <c r="BC57" s="48">
        <f t="shared" si="14"/>
        <v>0</v>
      </c>
      <c r="BD57" s="48">
        <f t="shared" si="14"/>
        <v>0</v>
      </c>
      <c r="BE57" s="48">
        <f t="shared" si="14"/>
        <v>0</v>
      </c>
      <c r="BF57" s="48">
        <f t="shared" si="14"/>
        <v>0</v>
      </c>
      <c r="BG57" s="48">
        <f t="shared" si="14"/>
        <v>0</v>
      </c>
      <c r="BH57" s="48">
        <f t="shared" si="14"/>
        <v>0</v>
      </c>
      <c r="BI57" s="49">
        <f t="shared" si="14"/>
        <v>0</v>
      </c>
    </row>
    <row r="58">
      <c r="A58" s="39" t="s">
        <v>46</v>
      </c>
      <c r="B58" s="50" t="str">
        <f t="shared" ref="B58:BI58" si="15">IF(B49=0,"N/A",B55/B49)</f>
        <v>N/A</v>
      </c>
      <c r="C58" s="50" t="str">
        <f t="shared" si="15"/>
        <v>N/A</v>
      </c>
      <c r="D58" s="50" t="str">
        <f t="shared" si="15"/>
        <v>N/A</v>
      </c>
      <c r="E58" s="50" t="str">
        <f t="shared" si="15"/>
        <v>N/A</v>
      </c>
      <c r="F58" s="50" t="str">
        <f t="shared" si="15"/>
        <v>N/A</v>
      </c>
      <c r="G58" s="50" t="str">
        <f t="shared" si="15"/>
        <v>N/A</v>
      </c>
      <c r="H58" s="50" t="str">
        <f t="shared" si="15"/>
        <v>N/A</v>
      </c>
      <c r="I58" s="50" t="str">
        <f t="shared" si="15"/>
        <v>N/A</v>
      </c>
      <c r="J58" s="50" t="str">
        <f t="shared" si="15"/>
        <v>N/A</v>
      </c>
      <c r="K58" s="50" t="str">
        <f t="shared" si="15"/>
        <v>N/A</v>
      </c>
      <c r="L58" s="50" t="str">
        <f t="shared" si="15"/>
        <v>N/A</v>
      </c>
      <c r="M58" s="50" t="str">
        <f t="shared" si="15"/>
        <v>N/A</v>
      </c>
      <c r="N58" s="50" t="str">
        <f t="shared" si="15"/>
        <v>N/A</v>
      </c>
      <c r="O58" s="50" t="str">
        <f t="shared" si="15"/>
        <v>N/A</v>
      </c>
      <c r="P58" s="50" t="str">
        <f t="shared" si="15"/>
        <v>N/A</v>
      </c>
      <c r="Q58" s="50" t="str">
        <f t="shared" si="15"/>
        <v>N/A</v>
      </c>
      <c r="R58" s="50" t="str">
        <f t="shared" si="15"/>
        <v>N/A</v>
      </c>
      <c r="S58" s="50" t="str">
        <f t="shared" si="15"/>
        <v>N/A</v>
      </c>
      <c r="T58" s="50" t="str">
        <f t="shared" si="15"/>
        <v>N/A</v>
      </c>
      <c r="U58" s="50" t="str">
        <f t="shared" si="15"/>
        <v>N/A</v>
      </c>
      <c r="V58" s="50" t="str">
        <f t="shared" si="15"/>
        <v>N/A</v>
      </c>
      <c r="W58" s="50" t="str">
        <f t="shared" si="15"/>
        <v>N/A</v>
      </c>
      <c r="X58" s="50" t="str">
        <f t="shared" si="15"/>
        <v>N/A</v>
      </c>
      <c r="Y58" s="50" t="str">
        <f t="shared" si="15"/>
        <v>N/A</v>
      </c>
      <c r="Z58" s="50" t="str">
        <f t="shared" si="15"/>
        <v>N/A</v>
      </c>
      <c r="AA58" s="50" t="str">
        <f t="shared" si="15"/>
        <v>N/A</v>
      </c>
      <c r="AB58" s="50" t="str">
        <f t="shared" si="15"/>
        <v>N/A</v>
      </c>
      <c r="AC58" s="50" t="str">
        <f t="shared" si="15"/>
        <v>N/A</v>
      </c>
      <c r="AD58" s="50" t="str">
        <f t="shared" si="15"/>
        <v>N/A</v>
      </c>
      <c r="AE58" s="50" t="str">
        <f t="shared" si="15"/>
        <v>N/A</v>
      </c>
      <c r="AF58" s="50" t="str">
        <f t="shared" si="15"/>
        <v>N/A</v>
      </c>
      <c r="AG58" s="50" t="str">
        <f t="shared" si="15"/>
        <v>N/A</v>
      </c>
      <c r="AH58" s="50" t="str">
        <f t="shared" si="15"/>
        <v>N/A</v>
      </c>
      <c r="AI58" s="50" t="str">
        <f t="shared" si="15"/>
        <v>N/A</v>
      </c>
      <c r="AJ58" s="50" t="str">
        <f t="shared" si="15"/>
        <v>N/A</v>
      </c>
      <c r="AK58" s="50" t="str">
        <f t="shared" si="15"/>
        <v>N/A</v>
      </c>
      <c r="AL58" s="50" t="str">
        <f t="shared" si="15"/>
        <v>N/A</v>
      </c>
      <c r="AM58" s="50" t="str">
        <f t="shared" si="15"/>
        <v>N/A</v>
      </c>
      <c r="AN58" s="50" t="str">
        <f t="shared" si="15"/>
        <v>N/A</v>
      </c>
      <c r="AO58" s="50" t="str">
        <f t="shared" si="15"/>
        <v>N/A</v>
      </c>
      <c r="AP58" s="50" t="str">
        <f t="shared" si="15"/>
        <v>N/A</v>
      </c>
      <c r="AQ58" s="50" t="str">
        <f t="shared" si="15"/>
        <v>N/A</v>
      </c>
      <c r="AR58" s="50" t="str">
        <f t="shared" si="15"/>
        <v>N/A</v>
      </c>
      <c r="AS58" s="50" t="str">
        <f t="shared" si="15"/>
        <v>N/A</v>
      </c>
      <c r="AT58" s="50" t="str">
        <f t="shared" si="15"/>
        <v>N/A</v>
      </c>
      <c r="AU58" s="50" t="str">
        <f t="shared" si="15"/>
        <v>N/A</v>
      </c>
      <c r="AV58" s="50" t="str">
        <f t="shared" si="15"/>
        <v>N/A</v>
      </c>
      <c r="AW58" s="50" t="str">
        <f t="shared" si="15"/>
        <v>N/A</v>
      </c>
      <c r="AX58" s="50" t="str">
        <f t="shared" si="15"/>
        <v>N/A</v>
      </c>
      <c r="AY58" s="50" t="str">
        <f t="shared" si="15"/>
        <v>N/A</v>
      </c>
      <c r="AZ58" s="50" t="str">
        <f t="shared" si="15"/>
        <v>N/A</v>
      </c>
      <c r="BA58" s="50" t="str">
        <f t="shared" si="15"/>
        <v>N/A</v>
      </c>
      <c r="BB58" s="50" t="str">
        <f t="shared" si="15"/>
        <v>N/A</v>
      </c>
      <c r="BC58" s="50" t="str">
        <f t="shared" si="15"/>
        <v>N/A</v>
      </c>
      <c r="BD58" s="50" t="str">
        <f t="shared" si="15"/>
        <v>N/A</v>
      </c>
      <c r="BE58" s="50" t="str">
        <f t="shared" si="15"/>
        <v>N/A</v>
      </c>
      <c r="BF58" s="50" t="str">
        <f t="shared" si="15"/>
        <v>N/A</v>
      </c>
      <c r="BG58" s="50" t="str">
        <f t="shared" si="15"/>
        <v>N/A</v>
      </c>
      <c r="BH58" s="50" t="str">
        <f t="shared" si="15"/>
        <v>N/A</v>
      </c>
      <c r="BI58" s="51" t="str">
        <f t="shared" si="15"/>
        <v>N/A</v>
      </c>
    </row>
    <row r="59">
      <c r="A59" s="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</row>
    <row r="60">
      <c r="A60" s="52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53"/>
      <c r="M60" s="53"/>
      <c r="N60" s="53"/>
      <c r="O60" s="53"/>
      <c r="P60" s="53"/>
      <c r="Q60" s="53"/>
      <c r="R60" s="53"/>
      <c r="S60" s="53"/>
      <c r="T60" s="15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</row>
    <row r="61">
      <c r="A61" s="52"/>
      <c r="B61" s="54" t="s">
        <v>47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6"/>
      <c r="T61" s="15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</row>
    <row r="62">
      <c r="A62" s="52"/>
      <c r="B62" s="57" t="s">
        <v>48</v>
      </c>
      <c r="C62" s="58" t="s">
        <v>49</v>
      </c>
      <c r="D62" s="58" t="s">
        <v>50</v>
      </c>
      <c r="E62" s="58" t="s">
        <v>51</v>
      </c>
      <c r="F62" s="58" t="s">
        <v>52</v>
      </c>
      <c r="G62" s="58" t="s">
        <v>53</v>
      </c>
      <c r="H62" s="58" t="s">
        <v>54</v>
      </c>
      <c r="I62" s="58" t="s">
        <v>55</v>
      </c>
      <c r="J62" s="58" t="s">
        <v>56</v>
      </c>
      <c r="K62" s="58" t="s">
        <v>57</v>
      </c>
      <c r="L62" s="58" t="s">
        <v>58</v>
      </c>
      <c r="M62" s="58" t="s">
        <v>59</v>
      </c>
      <c r="N62" s="58" t="s">
        <v>60</v>
      </c>
      <c r="O62" s="58" t="s">
        <v>61</v>
      </c>
      <c r="P62" s="58" t="s">
        <v>62</v>
      </c>
      <c r="Q62" s="58" t="s">
        <v>63</v>
      </c>
      <c r="R62" s="58" t="s">
        <v>64</v>
      </c>
      <c r="S62" s="59" t="s">
        <v>65</v>
      </c>
      <c r="T62" s="15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</row>
    <row r="63">
      <c r="A63" s="47" t="s">
        <v>12</v>
      </c>
      <c r="B63" s="60">
        <f t="shared" ref="B63:B68" si="16">SUM(C63:S63)</f>
        <v>0</v>
      </c>
      <c r="C63" s="60">
        <f>SUMPRODUCT($B$15:$BI$15,$B$90:$BI$90)</f>
        <v>0</v>
      </c>
      <c r="D63" s="60">
        <f>SUMPRODUCT($B$15:$BI$15,$B$91:$BI$91)</f>
        <v>0</v>
      </c>
      <c r="E63" s="60">
        <f>SUMPRODUCT($B$15:$BI$15,$B$92:$BI$92)</f>
        <v>0</v>
      </c>
      <c r="F63" s="60">
        <f>SUMPRODUCT($B$15:$BI$15,$B$93:$BI$93)</f>
        <v>0</v>
      </c>
      <c r="G63" s="60">
        <f>SUMPRODUCT($B$15:$BI$15,$B$94:$BI$94)</f>
        <v>0</v>
      </c>
      <c r="H63" s="60">
        <f>SUMPRODUCT($B$15:$BI$15,$B$95:$BI$95)</f>
        <v>0</v>
      </c>
      <c r="I63" s="60">
        <f>SUMPRODUCT($B$15:$BI$15,$B$96:$BI$96)</f>
        <v>0</v>
      </c>
      <c r="J63" s="60">
        <f>SUMPRODUCT($B$15:$BI$15,$B$97:$BI$97)</f>
        <v>0</v>
      </c>
      <c r="K63" s="60">
        <f>SUMPRODUCT($B$15:$BI$15,$B$98:$BI$98)</f>
        <v>0</v>
      </c>
      <c r="L63" s="60">
        <f>SUMPRODUCT($B$15:$BI$15,$B$99:$BI$99)</f>
        <v>0</v>
      </c>
      <c r="M63" s="60">
        <f>SUMPRODUCT($B$15:$BI$15,$B$100:$BI$100)</f>
        <v>0</v>
      </c>
      <c r="N63" s="60">
        <f>SUMPRODUCT($B$15:$BI$15,$B$101:$BI$101)</f>
        <v>0</v>
      </c>
      <c r="O63" s="60">
        <f>SUMPRODUCT($B$15:$BI$15,$B$102:$BI$102)</f>
        <v>0</v>
      </c>
      <c r="P63" s="60">
        <f>SUMPRODUCT($B$15:$BI$15,$B$103:$BI$103)</f>
        <v>0</v>
      </c>
      <c r="Q63" s="60">
        <f>SUMPRODUCT($B$15:$BI$15,$B$104:$BI$104)</f>
        <v>0</v>
      </c>
      <c r="R63" s="60">
        <f>SUMPRODUCT($B$15:$BI$15,$B$105:$BI$105)</f>
        <v>0</v>
      </c>
      <c r="S63" s="61">
        <f>SUMPRODUCT($B$15:$BI$15,$B$106:$BI$106)</f>
        <v>0</v>
      </c>
      <c r="T63" s="15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</row>
    <row r="64">
      <c r="A64" s="32" t="s">
        <v>13</v>
      </c>
      <c r="B64" s="62">
        <f t="shared" si="16"/>
        <v>0</v>
      </c>
      <c r="C64" s="62">
        <f>SUMPRODUCT($B$16:$BI$16,$B$90:$BI$90)</f>
        <v>0</v>
      </c>
      <c r="D64" s="62">
        <f>SUMPRODUCT($B$16:$BI$16,$B$91:$BI$91)</f>
        <v>0</v>
      </c>
      <c r="E64" s="62">
        <f>SUMPRODUCT($B$16:$BI$16,$B$92:$BI$92)</f>
        <v>0</v>
      </c>
      <c r="F64" s="62">
        <f>SUMPRODUCT($B$16:$BI$16,$B$93:$BI$93)</f>
        <v>0</v>
      </c>
      <c r="G64" s="62">
        <f>SUMPRODUCT($B$16:$BI$16,$B$94:$BI$94)</f>
        <v>0</v>
      </c>
      <c r="H64" s="62">
        <f>SUMPRODUCT($B$16:$BI$16,$B$95:$BI$95)</f>
        <v>0</v>
      </c>
      <c r="I64" s="62">
        <f>SUMPRODUCT($B$16:$BI$16,$B$96:$BI$96)</f>
        <v>0</v>
      </c>
      <c r="J64" s="62">
        <f>SUMPRODUCT($B$16:$BI$16,$B$97:$BI$97)</f>
        <v>0</v>
      </c>
      <c r="K64" s="62">
        <f>SUMPRODUCT($B$16:$BI$16,$B$98:$BI$98)</f>
        <v>0</v>
      </c>
      <c r="L64" s="62">
        <f>SUMPRODUCT($B$16:$BI$16,$B$99:$BI$99)</f>
        <v>0</v>
      </c>
      <c r="M64" s="62">
        <f>SUMPRODUCT($B$16:$BI$16,$B$100:$BI$100)</f>
        <v>0</v>
      </c>
      <c r="N64" s="62">
        <f>SUMPRODUCT($B$16:$BI$16,$B$101:$BI$101)</f>
        <v>0</v>
      </c>
      <c r="O64" s="62">
        <f>SUMPRODUCT($B$16:$BI$16,$B$102:$BI$102)</f>
        <v>0</v>
      </c>
      <c r="P64" s="62">
        <f>SUMPRODUCT($B$16:$BI$16,$B$103:$BI$103)</f>
        <v>0</v>
      </c>
      <c r="Q64" s="62">
        <f>SUMPRODUCT($B$16:$BI$16,$B$104:$BI$104)</f>
        <v>0</v>
      </c>
      <c r="R64" s="62">
        <f>SUMPRODUCT($B$16:$BI$16,$B$105:$BI$105)</f>
        <v>0</v>
      </c>
      <c r="S64" s="63">
        <f>SUMPRODUCT($B$16:$BI$16,$B$106:$BI$106)</f>
        <v>0</v>
      </c>
      <c r="T64" s="15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</row>
    <row r="65">
      <c r="A65" s="32" t="s">
        <v>28</v>
      </c>
      <c r="B65" s="33">
        <f t="shared" si="16"/>
        <v>0</v>
      </c>
      <c r="C65" s="33">
        <f>SUMPRODUCT($B$35:$BI$35,$B$14:$BI$14,$B$90:$BI$90)</f>
        <v>0</v>
      </c>
      <c r="D65" s="33">
        <f>SUMPRODUCT($B$35:$BI$35,$B$14:$BI$14,$B$91:$BI$91)</f>
        <v>0</v>
      </c>
      <c r="E65" s="33">
        <f>SUMPRODUCT($B$35:$BI$35,$B$14:$BI$14,$B$92:$BI$92)</f>
        <v>0</v>
      </c>
      <c r="F65" s="33">
        <f>SUMPRODUCT($B$35:$BI$35,$B$14:$BI$14,$B$93:$BI$93)</f>
        <v>0</v>
      </c>
      <c r="G65" s="33">
        <f>SUMPRODUCT($B$35:$BI$35,$B$14:$BI$14,$B$94:$BI$94)</f>
        <v>0</v>
      </c>
      <c r="H65" s="33">
        <f>SUMPRODUCT($B$35:$BI$35,$B$14:$BI$14,$B$95:$BI$95)</f>
        <v>0</v>
      </c>
      <c r="I65" s="33">
        <f>SUMPRODUCT($B$35:$BI$35,$B$14:$BI$14,$B$96:$BI$96)</f>
        <v>0</v>
      </c>
      <c r="J65" s="33">
        <f>SUMPRODUCT($B$35:$BI$35,$B$14:$BI$14,$B$97:$BI$97)</f>
        <v>0</v>
      </c>
      <c r="K65" s="33">
        <f>SUMPRODUCT($B$35:$BI$35,$B$14:$BI$14,$B$98:$BI$98)</f>
        <v>0</v>
      </c>
      <c r="L65" s="33">
        <f>SUMPRODUCT($B$35:$BI$35,$B$14:$BI$14,$B$99:$BI$99)</f>
        <v>0</v>
      </c>
      <c r="M65" s="33">
        <f>SUMPRODUCT($B$35:$BI$35,$B$14:$BI$14,$B$100:$BI$100)</f>
        <v>0</v>
      </c>
      <c r="N65" s="33">
        <f>SUMPRODUCT($B$35:$BI$35,$B$14:$BI$14,$B$101:$BI$101)</f>
        <v>0</v>
      </c>
      <c r="O65" s="33">
        <f>SUMPRODUCT($B$35:$BI$35,$B$14:$BI$14,$B$102:$BI$102)</f>
        <v>0</v>
      </c>
      <c r="P65" s="33">
        <f>SUMPRODUCT($B$35:$BI$35,$B$14:$BI$14,$B$103:$BI$103)</f>
        <v>0</v>
      </c>
      <c r="Q65" s="33">
        <f>SUMPRODUCT($B$35:$BI$35,$B$14:$BI$14,$B$104:$BI$104)</f>
        <v>0</v>
      </c>
      <c r="R65" s="33">
        <f>SUMPRODUCT($B$35:$BI$35,$B$14:$BI$14,$B$105:$BI$105)</f>
        <v>0</v>
      </c>
      <c r="S65" s="34">
        <f>SUMPRODUCT($B$35:$BI$35,$B$14:$BI$14,$B$106:$BI$106)</f>
        <v>0</v>
      </c>
      <c r="T65" s="15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</row>
    <row r="66">
      <c r="A66" s="32" t="s">
        <v>66</v>
      </c>
      <c r="B66" s="33">
        <f t="shared" si="16"/>
        <v>0</v>
      </c>
      <c r="C66" s="33">
        <f>SUMPRODUCT($B$41:$BI$41,$B$14:$BI$14,$B$90:$BI$90)</f>
        <v>0</v>
      </c>
      <c r="D66" s="33">
        <f>SUMPRODUCT($B$41:$BI$41,$B$14:$BI$14,$B$91:$BI$91)</f>
        <v>0</v>
      </c>
      <c r="E66" s="33">
        <f>SUMPRODUCT($B$41:$BI$41,$B$14:$BI$14,$B$92:$BI$92)</f>
        <v>0</v>
      </c>
      <c r="F66" s="33">
        <f>SUMPRODUCT($B$41:$BI$41,$B$14:$BI$14,$B$93:$BI$93)</f>
        <v>0</v>
      </c>
      <c r="G66" s="33">
        <f>SUMPRODUCT($B$41:$BI$41,$B$14:$BI$14,$B$94:$BI$94)</f>
        <v>0</v>
      </c>
      <c r="H66" s="33">
        <f>SUMPRODUCT($B$41:$BI$41,$B$14:$BI$14,$B$95:$BI$95)</f>
        <v>0</v>
      </c>
      <c r="I66" s="33">
        <f>SUMPRODUCT($B$41:$BI$41,$B$14:$BI$14,$B$96:$BI$96)</f>
        <v>0</v>
      </c>
      <c r="J66" s="33">
        <f>SUMPRODUCT($B$41:$BI$41,$B$14:$BI$14,$B$97:$BI$97)</f>
        <v>0</v>
      </c>
      <c r="K66" s="33">
        <f>SUMPRODUCT($B$41:$BI$41,$B$14:$BI$14,$B$98:$BI$98)</f>
        <v>0</v>
      </c>
      <c r="L66" s="33">
        <f>SUMPRODUCT($B$41:$BI$41,$B$14:$BI$14,$B$99:$BI$99)</f>
        <v>0</v>
      </c>
      <c r="M66" s="33">
        <f>SUMPRODUCT($B$41:$BI$41,$B$14:$BI$14,$B$100:$BI$100)</f>
        <v>0</v>
      </c>
      <c r="N66" s="33">
        <f>SUMPRODUCT($B$41:$BI$41,$B$14:$BI$14,$B$101:$BI$101)</f>
        <v>0</v>
      </c>
      <c r="O66" s="33">
        <f>SUMPRODUCT($B$41:$BI$41,$B$14:$BI$14,$B$102:$BI$102)</f>
        <v>0</v>
      </c>
      <c r="P66" s="33">
        <f>SUMPRODUCT($B$41:$BI$41,$B$14:$BI$14,$B$103:$BI$103)</f>
        <v>0</v>
      </c>
      <c r="Q66" s="33">
        <f>SUMPRODUCT($B$41:$BI$41,$B$14:$BI$14,$B$104:$BI$104)</f>
        <v>0</v>
      </c>
      <c r="R66" s="33">
        <f>SUMPRODUCT($B$41:$BI$41,$B$14:$BI$14,$B$105:$BI$105)</f>
        <v>0</v>
      </c>
      <c r="S66" s="34">
        <f>SUMPRODUCT($B$41:$BI$41,$B$14:$BI$14,$B$106:$BI$106)</f>
        <v>0</v>
      </c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</row>
    <row r="67">
      <c r="A67" s="32" t="s">
        <v>40</v>
      </c>
      <c r="B67" s="33">
        <f t="shared" si="16"/>
        <v>0</v>
      </c>
      <c r="C67" s="33">
        <f>SUMPRODUCT($B$49:$BI$49,$B$14:$BI$14,$B$90:$BI$90)</f>
        <v>0</v>
      </c>
      <c r="D67" s="33">
        <f>SUMPRODUCT($B$49:$BI$49,$B$14:$BI$14,$B$91:$BI$91)</f>
        <v>0</v>
      </c>
      <c r="E67" s="33">
        <f>SUMPRODUCT($B$49:$BI$49,$B$14:$BI$14,$B$92:$BI$92)</f>
        <v>0</v>
      </c>
      <c r="F67" s="33">
        <f>SUMPRODUCT($B$49:$BI$49,$B$14:$BI$14,$B$93:$BI$93)</f>
        <v>0</v>
      </c>
      <c r="G67" s="33">
        <f>SUMPRODUCT($B$49:$BI$49,$B$14:$BI$14,$B$94:$BI$94)</f>
        <v>0</v>
      </c>
      <c r="H67" s="33">
        <f>SUMPRODUCT($B$49:$BI$49,$B$14:$BI$14,$B$95:$BI$95)</f>
        <v>0</v>
      </c>
      <c r="I67" s="33">
        <f>SUMPRODUCT($B$49:$BI$49,$B$14:$BI$14,$B$96:$BI$96)</f>
        <v>0</v>
      </c>
      <c r="J67" s="33">
        <f>SUMPRODUCT($B$49:$BI$49,$B$14:$BI$14,$B$97:$BI$97)</f>
        <v>0</v>
      </c>
      <c r="K67" s="33">
        <f>SUMPRODUCT($B$49:$BI$49,$B$14:$BI$14,$B$98:$BI$98)</f>
        <v>0</v>
      </c>
      <c r="L67" s="33">
        <f>SUMPRODUCT($B$49:$BI$49,$B$14:$BI$14,$B$99:$BI$99)</f>
        <v>0</v>
      </c>
      <c r="M67" s="33">
        <f>SUMPRODUCT($B$49:$BI$49,$B$14:$BI$14,$B$100:$BI$100)</f>
        <v>0</v>
      </c>
      <c r="N67" s="33">
        <f>SUMPRODUCT($B$49:$BI$49,$B$14:$BI$14,$B$101:$BI$101)</f>
        <v>0</v>
      </c>
      <c r="O67" s="33">
        <f>SUMPRODUCT($B$49:$BI$49,$B$14:$BI$14,$B$102:$BI$102)</f>
        <v>0</v>
      </c>
      <c r="P67" s="33">
        <f>SUMPRODUCT($B$49:$BI$49,$B$14:$BI$14,$B$103:$BI$103)</f>
        <v>0</v>
      </c>
      <c r="Q67" s="33">
        <f>SUMPRODUCT($B$49:$BI$49,$B$14:$BI$14,$B$104:$BI$104)</f>
        <v>0</v>
      </c>
      <c r="R67" s="33">
        <f>SUMPRODUCT($B$49:$BI$49,$B$14:$BI$14,$B$105:$BI$105)</f>
        <v>0</v>
      </c>
      <c r="S67" s="34">
        <f>SUMPRODUCT($B$49:$BI$49,$B$14:$BI$14,$B$106:$BI$106)</f>
        <v>0</v>
      </c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</row>
    <row r="68">
      <c r="A68" s="39" t="s">
        <v>67</v>
      </c>
      <c r="B68" s="40">
        <f t="shared" si="16"/>
        <v>0</v>
      </c>
      <c r="C68" s="40">
        <f>SUMPRODUCT($B$55:$BI$55,$B$14:$BI$14,$B$90:$BI$90)</f>
        <v>0</v>
      </c>
      <c r="D68" s="40">
        <f>SUMPRODUCT($B$55:$BI$55,$B$14:$BI$14,$B$91:$BI$91)</f>
        <v>0</v>
      </c>
      <c r="E68" s="40">
        <f>SUMPRODUCT($B$55:$BI$55,$B$14:$BI$14,$B$92:$BI$92)</f>
        <v>0</v>
      </c>
      <c r="F68" s="40">
        <f>SUMPRODUCT($B$55:$BI$55,$B$14:$BI$14,$B$93:$BI$93)</f>
        <v>0</v>
      </c>
      <c r="G68" s="40">
        <f>SUMPRODUCT($B$55:$BI$55,$B$14:$BI$14,$B$94:$BI$94)</f>
        <v>0</v>
      </c>
      <c r="H68" s="40">
        <f>SUMPRODUCT($B$55:$BI$55,$B$14:$BI$14,$B$95:$BI$95)</f>
        <v>0</v>
      </c>
      <c r="I68" s="40">
        <f>SUMPRODUCT($B$55:$BI$55,$B$14:$BI$14,$B$96:$BI$96)</f>
        <v>0</v>
      </c>
      <c r="J68" s="40">
        <f>SUMPRODUCT($B$55:$BI$55,$B$14:$BI$14,$B$97:$BI$97)</f>
        <v>0</v>
      </c>
      <c r="K68" s="40">
        <f>SUMPRODUCT($B$55:$BI$55,$B$14:$BI$14,$B$98:$BI$98)</f>
        <v>0</v>
      </c>
      <c r="L68" s="40">
        <f>SUMPRODUCT($B$55:$BI$55,$B$14:$BI$14,$B$99:$BI$99)</f>
        <v>0</v>
      </c>
      <c r="M68" s="40">
        <f>SUMPRODUCT($B$55:$BI$55,$B$14:$BI$14,$B$100:$BI$100)</f>
        <v>0</v>
      </c>
      <c r="N68" s="40">
        <f>SUMPRODUCT($B$55:$BI$55,$B$14:$BI$14,$B$101:$BI$101)</f>
        <v>0</v>
      </c>
      <c r="O68" s="40">
        <f>SUMPRODUCT($B$55:$BI$55,$B$14:$BI$14,$B$102:$BI$102)</f>
        <v>0</v>
      </c>
      <c r="P68" s="40">
        <f>SUMPRODUCT($B$55:$BI$55,$B$14:$BI$14,$B$103:$BI$103)</f>
        <v>0</v>
      </c>
      <c r="Q68" s="40">
        <f>SUMPRODUCT($B$55:$BI$55,$B$14:$BI$14,$B$104:$BI$104)</f>
        <v>0</v>
      </c>
      <c r="R68" s="40">
        <f>SUMPRODUCT($B$55:$BI$55,$B$14:$BI$14,$B$105:$BI$105)</f>
        <v>0</v>
      </c>
      <c r="S68" s="41">
        <f>SUMPRODUCT($B$55:$BI$55,$B$14:$BI$14,$B$106:$BI$106)</f>
        <v>0</v>
      </c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</row>
    <row r="69">
      <c r="A69" s="14"/>
      <c r="B69" s="26"/>
      <c r="C69" s="26"/>
      <c r="D69" s="26"/>
      <c r="E69" s="26"/>
      <c r="F69" s="2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</row>
    <row r="70">
      <c r="A70" s="47" t="s">
        <v>68</v>
      </c>
      <c r="B70" s="48" t="str">
        <f t="shared" ref="B70:S70" si="17">IF(B66=0,"N/A",B65/B66)</f>
        <v>N/A</v>
      </c>
      <c r="C70" s="48" t="str">
        <f t="shared" si="17"/>
        <v>N/A</v>
      </c>
      <c r="D70" s="48" t="str">
        <f t="shared" si="17"/>
        <v>N/A</v>
      </c>
      <c r="E70" s="48" t="str">
        <f t="shared" si="17"/>
        <v>N/A</v>
      </c>
      <c r="F70" s="48" t="str">
        <f t="shared" si="17"/>
        <v>N/A</v>
      </c>
      <c r="G70" s="48" t="str">
        <f t="shared" si="17"/>
        <v>N/A</v>
      </c>
      <c r="H70" s="48" t="str">
        <f t="shared" si="17"/>
        <v>N/A</v>
      </c>
      <c r="I70" s="48" t="str">
        <f t="shared" si="17"/>
        <v>N/A</v>
      </c>
      <c r="J70" s="48" t="str">
        <f t="shared" si="17"/>
        <v>N/A</v>
      </c>
      <c r="K70" s="48" t="str">
        <f t="shared" si="17"/>
        <v>N/A</v>
      </c>
      <c r="L70" s="48" t="str">
        <f t="shared" si="17"/>
        <v>N/A</v>
      </c>
      <c r="M70" s="48" t="str">
        <f t="shared" si="17"/>
        <v>N/A</v>
      </c>
      <c r="N70" s="48" t="str">
        <f t="shared" si="17"/>
        <v>N/A</v>
      </c>
      <c r="O70" s="48" t="str">
        <f t="shared" si="17"/>
        <v>N/A</v>
      </c>
      <c r="P70" s="48" t="str">
        <f t="shared" si="17"/>
        <v>N/A</v>
      </c>
      <c r="Q70" s="48" t="str">
        <f t="shared" si="17"/>
        <v>N/A</v>
      </c>
      <c r="R70" s="48" t="str">
        <f t="shared" si="17"/>
        <v>N/A</v>
      </c>
      <c r="S70" s="49" t="str">
        <f t="shared" si="17"/>
        <v>N/A</v>
      </c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</row>
    <row r="71">
      <c r="A71" s="32" t="s">
        <v>69</v>
      </c>
      <c r="B71" s="64" t="str">
        <f t="shared" ref="B71:S71" si="18">IF(B67=0,"N/A",B68/B67)</f>
        <v>N/A</v>
      </c>
      <c r="C71" s="64" t="str">
        <f t="shared" si="18"/>
        <v>N/A</v>
      </c>
      <c r="D71" s="64" t="str">
        <f t="shared" si="18"/>
        <v>N/A</v>
      </c>
      <c r="E71" s="64" t="str">
        <f t="shared" si="18"/>
        <v>N/A</v>
      </c>
      <c r="F71" s="64" t="str">
        <f t="shared" si="18"/>
        <v>N/A</v>
      </c>
      <c r="G71" s="64" t="str">
        <f t="shared" si="18"/>
        <v>N/A</v>
      </c>
      <c r="H71" s="64" t="str">
        <f t="shared" si="18"/>
        <v>N/A</v>
      </c>
      <c r="I71" s="64" t="str">
        <f t="shared" si="18"/>
        <v>N/A</v>
      </c>
      <c r="J71" s="64" t="str">
        <f t="shared" si="18"/>
        <v>N/A</v>
      </c>
      <c r="K71" s="64" t="str">
        <f t="shared" si="18"/>
        <v>N/A</v>
      </c>
      <c r="L71" s="64" t="str">
        <f t="shared" si="18"/>
        <v>N/A</v>
      </c>
      <c r="M71" s="64" t="str">
        <f t="shared" si="18"/>
        <v>N/A</v>
      </c>
      <c r="N71" s="64" t="str">
        <f t="shared" si="18"/>
        <v>N/A</v>
      </c>
      <c r="O71" s="64" t="str">
        <f t="shared" si="18"/>
        <v>N/A</v>
      </c>
      <c r="P71" s="64" t="str">
        <f t="shared" si="18"/>
        <v>N/A</v>
      </c>
      <c r="Q71" s="64" t="str">
        <f t="shared" si="18"/>
        <v>N/A</v>
      </c>
      <c r="R71" s="64" t="str">
        <f t="shared" si="18"/>
        <v>N/A</v>
      </c>
      <c r="S71" s="65" t="str">
        <f t="shared" si="18"/>
        <v>N/A</v>
      </c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</row>
    <row r="72">
      <c r="A72" s="39" t="s">
        <v>70</v>
      </c>
      <c r="B72" s="50" t="str">
        <f t="shared" ref="B72:S72" si="19">IF(B67=0,"N/A",B65/B67)</f>
        <v>N/A</v>
      </c>
      <c r="C72" s="50" t="str">
        <f t="shared" si="19"/>
        <v>N/A</v>
      </c>
      <c r="D72" s="50" t="str">
        <f t="shared" si="19"/>
        <v>N/A</v>
      </c>
      <c r="E72" s="50" t="str">
        <f t="shared" si="19"/>
        <v>N/A</v>
      </c>
      <c r="F72" s="50" t="str">
        <f t="shared" si="19"/>
        <v>N/A</v>
      </c>
      <c r="G72" s="50" t="str">
        <f t="shared" si="19"/>
        <v>N/A</v>
      </c>
      <c r="H72" s="50" t="str">
        <f t="shared" si="19"/>
        <v>N/A</v>
      </c>
      <c r="I72" s="50" t="str">
        <f t="shared" si="19"/>
        <v>N/A</v>
      </c>
      <c r="J72" s="50" t="str">
        <f t="shared" si="19"/>
        <v>N/A</v>
      </c>
      <c r="K72" s="50" t="str">
        <f t="shared" si="19"/>
        <v>N/A</v>
      </c>
      <c r="L72" s="50" t="str">
        <f t="shared" si="19"/>
        <v>N/A</v>
      </c>
      <c r="M72" s="50" t="str">
        <f t="shared" si="19"/>
        <v>N/A</v>
      </c>
      <c r="N72" s="50" t="str">
        <f t="shared" si="19"/>
        <v>N/A</v>
      </c>
      <c r="O72" s="50" t="str">
        <f t="shared" si="19"/>
        <v>N/A</v>
      </c>
      <c r="P72" s="50" t="str">
        <f t="shared" si="19"/>
        <v>N/A</v>
      </c>
      <c r="Q72" s="50" t="str">
        <f t="shared" si="19"/>
        <v>N/A</v>
      </c>
      <c r="R72" s="50" t="str">
        <f t="shared" si="19"/>
        <v>N/A</v>
      </c>
      <c r="S72" s="51" t="str">
        <f t="shared" si="19"/>
        <v>N/A</v>
      </c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</row>
    <row r="73">
      <c r="A73" s="52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</row>
    <row r="74">
      <c r="A74" s="52"/>
      <c r="B74" s="66" t="s">
        <v>71</v>
      </c>
      <c r="C74" s="15"/>
      <c r="D74" s="15"/>
      <c r="E74" s="15"/>
      <c r="F74" s="15"/>
      <c r="G74" s="15"/>
      <c r="H74" s="15"/>
      <c r="I74" s="15"/>
      <c r="J74" s="15"/>
      <c r="K74" s="15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</row>
    <row r="75">
      <c r="A75" s="47" t="s">
        <v>12</v>
      </c>
      <c r="B75" s="67">
        <f>SUMPRODUCT($B$15:$BI$15,$B$108:$BI$108)</f>
        <v>0</v>
      </c>
      <c r="C75" s="15"/>
      <c r="D75" s="15"/>
      <c r="E75" s="15"/>
      <c r="F75" s="15"/>
      <c r="G75" s="15"/>
      <c r="H75" s="15"/>
      <c r="I75" s="15"/>
      <c r="J75" s="15"/>
      <c r="K75" s="15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</row>
    <row r="76">
      <c r="A76" s="32" t="s">
        <v>13</v>
      </c>
      <c r="B76" s="68">
        <f>SUMPRODUCT($B$16:$BI$16,$B$108:$BI$108)</f>
        <v>0</v>
      </c>
      <c r="C76" s="15"/>
      <c r="D76" s="15"/>
      <c r="E76" s="15"/>
      <c r="F76" s="15"/>
      <c r="G76" s="15"/>
      <c r="H76" s="15"/>
      <c r="I76" s="15"/>
      <c r="J76" s="15"/>
      <c r="K76" s="15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</row>
    <row r="77">
      <c r="A77" s="32" t="s">
        <v>28</v>
      </c>
      <c r="B77" s="68">
        <f>SUMPRODUCT($B$35:$BI$35,$B$14:$BI$14,$B$108:$BI$108)</f>
        <v>0</v>
      </c>
      <c r="C77" s="15"/>
      <c r="D77" s="15"/>
      <c r="E77" s="15"/>
      <c r="F77" s="15"/>
      <c r="G77" s="15"/>
      <c r="H77" s="15"/>
      <c r="I77" s="15"/>
      <c r="J77" s="15"/>
      <c r="K77" s="15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</row>
    <row r="78">
      <c r="A78" s="32" t="s">
        <v>66</v>
      </c>
      <c r="B78" s="68">
        <f>SUMPRODUCT($B$41:$BI$41,$B$14:$BI$14,$B$108:$BI$108)</f>
        <v>0</v>
      </c>
      <c r="C78" s="15"/>
      <c r="D78" s="15"/>
      <c r="E78" s="15"/>
      <c r="F78" s="15"/>
      <c r="G78" s="15"/>
      <c r="H78" s="15"/>
      <c r="I78" s="15"/>
      <c r="J78" s="15"/>
      <c r="K78" s="15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</row>
    <row r="79">
      <c r="A79" s="32" t="s">
        <v>40</v>
      </c>
      <c r="B79" s="68">
        <f>SUMPRODUCT($B$49:$BI$49,$B$14:$BI$14,$B$108:$BI$108)</f>
        <v>0</v>
      </c>
      <c r="C79" s="15"/>
      <c r="D79" s="15"/>
      <c r="E79" s="15"/>
      <c r="F79" s="15"/>
      <c r="G79" s="15"/>
      <c r="H79" s="15"/>
      <c r="I79" s="15"/>
      <c r="J79" s="15"/>
      <c r="K79" s="15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</row>
    <row r="80">
      <c r="A80" s="39" t="s">
        <v>67</v>
      </c>
      <c r="B80" s="69">
        <f>SUMPRODUCT($B$55:$BI$55,$B$14:$BI$14,$B$108:$BI$108)</f>
        <v>0</v>
      </c>
      <c r="C80" s="15"/>
      <c r="D80" s="15"/>
      <c r="E80" s="15"/>
      <c r="F80" s="15"/>
      <c r="G80" s="15"/>
      <c r="H80" s="15"/>
      <c r="I80" s="15"/>
      <c r="J80" s="15"/>
      <c r="K80" s="15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</row>
    <row r="81">
      <c r="A81" s="14"/>
      <c r="B81" s="26"/>
      <c r="C81" s="15"/>
      <c r="D81" s="15"/>
      <c r="E81" s="15"/>
      <c r="F81" s="15"/>
      <c r="G81" s="15"/>
      <c r="H81" s="15"/>
      <c r="I81" s="15"/>
      <c r="J81" s="15"/>
      <c r="K81" s="15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</row>
    <row r="82">
      <c r="A82" s="47" t="s">
        <v>68</v>
      </c>
      <c r="B82" s="70" t="str">
        <f>IF(B78=0,"N/A",B77/B78)</f>
        <v>N/A</v>
      </c>
      <c r="C82" s="15"/>
      <c r="D82" s="15"/>
      <c r="E82" s="15"/>
      <c r="F82" s="15"/>
      <c r="G82" s="15"/>
      <c r="H82" s="15"/>
      <c r="I82" s="15"/>
      <c r="J82" s="15"/>
      <c r="K82" s="15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</row>
    <row r="83">
      <c r="A83" s="32" t="s">
        <v>69</v>
      </c>
      <c r="B83" s="71" t="str">
        <f>IF(B79=0,"N/A",B80/B79)</f>
        <v>N/A</v>
      </c>
      <c r="C83" s="15"/>
      <c r="D83" s="15"/>
      <c r="E83" s="15"/>
      <c r="F83" s="15"/>
      <c r="G83" s="15"/>
      <c r="H83" s="15"/>
      <c r="I83" s="15"/>
      <c r="J83" s="15"/>
      <c r="K83" s="15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</row>
    <row r="84">
      <c r="A84" s="39" t="s">
        <v>70</v>
      </c>
      <c r="B84" s="72" t="str">
        <f>IF(B79=0,"N/A",B77/B79)</f>
        <v>N/A</v>
      </c>
      <c r="C84" s="15"/>
      <c r="D84" s="15"/>
      <c r="E84" s="15"/>
      <c r="F84" s="15"/>
      <c r="G84" s="15"/>
      <c r="H84" s="15"/>
      <c r="I84" s="15"/>
      <c r="J84" s="15"/>
      <c r="K84" s="15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</row>
    <row r="85">
      <c r="A85" s="52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</row>
    <row r="86">
      <c r="A86" s="52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</row>
    <row r="87">
      <c r="A87" s="52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</row>
    <row r="88">
      <c r="A88" s="52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</row>
    <row r="89">
      <c r="A89" s="52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</row>
    <row r="90">
      <c r="A90" s="52" t="s">
        <v>72</v>
      </c>
      <c r="B90" s="73">
        <f t="shared" ref="B90:BI90" si="20">IF(+B$3=$A114,1,0)</f>
        <v>0</v>
      </c>
      <c r="C90" s="73">
        <f t="shared" si="20"/>
        <v>0</v>
      </c>
      <c r="D90" s="73">
        <f t="shared" si="20"/>
        <v>0</v>
      </c>
      <c r="E90" s="73">
        <f t="shared" si="20"/>
        <v>0</v>
      </c>
      <c r="F90" s="73">
        <f t="shared" si="20"/>
        <v>0</v>
      </c>
      <c r="G90" s="73">
        <f t="shared" si="20"/>
        <v>0</v>
      </c>
      <c r="H90" s="73">
        <f t="shared" si="20"/>
        <v>0</v>
      </c>
      <c r="I90" s="73">
        <f t="shared" si="20"/>
        <v>0</v>
      </c>
      <c r="J90" s="73">
        <f t="shared" si="20"/>
        <v>0</v>
      </c>
      <c r="K90" s="73">
        <f t="shared" si="20"/>
        <v>0</v>
      </c>
      <c r="L90" s="73">
        <f t="shared" si="20"/>
        <v>0</v>
      </c>
      <c r="M90" s="73">
        <f t="shared" si="20"/>
        <v>0</v>
      </c>
      <c r="N90" s="73">
        <f t="shared" si="20"/>
        <v>0</v>
      </c>
      <c r="O90" s="73">
        <f t="shared" si="20"/>
        <v>0</v>
      </c>
      <c r="P90" s="73">
        <f t="shared" si="20"/>
        <v>0</v>
      </c>
      <c r="Q90" s="73">
        <f t="shared" si="20"/>
        <v>0</v>
      </c>
      <c r="R90" s="73">
        <f t="shared" si="20"/>
        <v>0</v>
      </c>
      <c r="S90" s="73">
        <f t="shared" si="20"/>
        <v>0</v>
      </c>
      <c r="T90" s="73">
        <f t="shared" si="20"/>
        <v>0</v>
      </c>
      <c r="U90" s="73">
        <f t="shared" si="20"/>
        <v>0</v>
      </c>
      <c r="V90" s="73">
        <f t="shared" si="20"/>
        <v>0</v>
      </c>
      <c r="W90" s="73">
        <f t="shared" si="20"/>
        <v>0</v>
      </c>
      <c r="X90" s="73">
        <f t="shared" si="20"/>
        <v>0</v>
      </c>
      <c r="Y90" s="73">
        <f t="shared" si="20"/>
        <v>0</v>
      </c>
      <c r="Z90" s="73">
        <f t="shared" si="20"/>
        <v>0</v>
      </c>
      <c r="AA90" s="73">
        <f t="shared" si="20"/>
        <v>0</v>
      </c>
      <c r="AB90" s="73">
        <f t="shared" si="20"/>
        <v>0</v>
      </c>
      <c r="AC90" s="73">
        <f t="shared" si="20"/>
        <v>0</v>
      </c>
      <c r="AD90" s="73">
        <f t="shared" si="20"/>
        <v>0</v>
      </c>
      <c r="AE90" s="73">
        <f t="shared" si="20"/>
        <v>0</v>
      </c>
      <c r="AF90" s="73">
        <f t="shared" si="20"/>
        <v>0</v>
      </c>
      <c r="AG90" s="73">
        <f t="shared" si="20"/>
        <v>0</v>
      </c>
      <c r="AH90" s="73">
        <f t="shared" si="20"/>
        <v>0</v>
      </c>
      <c r="AI90" s="73">
        <f t="shared" si="20"/>
        <v>0</v>
      </c>
      <c r="AJ90" s="73">
        <f t="shared" si="20"/>
        <v>0</v>
      </c>
      <c r="AK90" s="73">
        <f t="shared" si="20"/>
        <v>0</v>
      </c>
      <c r="AL90" s="73">
        <f t="shared" si="20"/>
        <v>0</v>
      </c>
      <c r="AM90" s="73">
        <f t="shared" si="20"/>
        <v>0</v>
      </c>
      <c r="AN90" s="73">
        <f t="shared" si="20"/>
        <v>0</v>
      </c>
      <c r="AO90" s="73">
        <f t="shared" si="20"/>
        <v>0</v>
      </c>
      <c r="AP90" s="73">
        <f t="shared" si="20"/>
        <v>0</v>
      </c>
      <c r="AQ90" s="73">
        <f t="shared" si="20"/>
        <v>0</v>
      </c>
      <c r="AR90" s="73">
        <f t="shared" si="20"/>
        <v>0</v>
      </c>
      <c r="AS90" s="73">
        <f t="shared" si="20"/>
        <v>0</v>
      </c>
      <c r="AT90" s="73">
        <f t="shared" si="20"/>
        <v>0</v>
      </c>
      <c r="AU90" s="73">
        <f t="shared" si="20"/>
        <v>0</v>
      </c>
      <c r="AV90" s="73">
        <f t="shared" si="20"/>
        <v>0</v>
      </c>
      <c r="AW90" s="73">
        <f t="shared" si="20"/>
        <v>0</v>
      </c>
      <c r="AX90" s="73">
        <f t="shared" si="20"/>
        <v>0</v>
      </c>
      <c r="AY90" s="73">
        <f t="shared" si="20"/>
        <v>0</v>
      </c>
      <c r="AZ90" s="73">
        <f t="shared" si="20"/>
        <v>0</v>
      </c>
      <c r="BA90" s="73">
        <f t="shared" si="20"/>
        <v>0</v>
      </c>
      <c r="BB90" s="73">
        <f t="shared" si="20"/>
        <v>0</v>
      </c>
      <c r="BC90" s="73">
        <f t="shared" si="20"/>
        <v>0</v>
      </c>
      <c r="BD90" s="73">
        <f t="shared" si="20"/>
        <v>0</v>
      </c>
      <c r="BE90" s="73">
        <f t="shared" si="20"/>
        <v>0</v>
      </c>
      <c r="BF90" s="73">
        <f t="shared" si="20"/>
        <v>0</v>
      </c>
      <c r="BG90" s="73">
        <f t="shared" si="20"/>
        <v>0</v>
      </c>
      <c r="BH90" s="73">
        <f t="shared" si="20"/>
        <v>0</v>
      </c>
      <c r="BI90" s="73">
        <f t="shared" si="20"/>
        <v>0</v>
      </c>
    </row>
    <row r="91">
      <c r="A91" s="52" t="s">
        <v>73</v>
      </c>
      <c r="B91" s="73">
        <f t="shared" ref="B91:BI91" si="21">IF(+B$3=$A115,1,0)</f>
        <v>0</v>
      </c>
      <c r="C91" s="73">
        <f t="shared" si="21"/>
        <v>0</v>
      </c>
      <c r="D91" s="73">
        <f t="shared" si="21"/>
        <v>0</v>
      </c>
      <c r="E91" s="73">
        <f t="shared" si="21"/>
        <v>0</v>
      </c>
      <c r="F91" s="73">
        <f t="shared" si="21"/>
        <v>0</v>
      </c>
      <c r="G91" s="73">
        <f t="shared" si="21"/>
        <v>0</v>
      </c>
      <c r="H91" s="73">
        <f t="shared" si="21"/>
        <v>0</v>
      </c>
      <c r="I91" s="73">
        <f t="shared" si="21"/>
        <v>0</v>
      </c>
      <c r="J91" s="73">
        <f t="shared" si="21"/>
        <v>0</v>
      </c>
      <c r="K91" s="73">
        <f t="shared" si="21"/>
        <v>0</v>
      </c>
      <c r="L91" s="73">
        <f t="shared" si="21"/>
        <v>0</v>
      </c>
      <c r="M91" s="73">
        <f t="shared" si="21"/>
        <v>0</v>
      </c>
      <c r="N91" s="73">
        <f t="shared" si="21"/>
        <v>0</v>
      </c>
      <c r="O91" s="73">
        <f t="shared" si="21"/>
        <v>0</v>
      </c>
      <c r="P91" s="73">
        <f t="shared" si="21"/>
        <v>0</v>
      </c>
      <c r="Q91" s="73">
        <f t="shared" si="21"/>
        <v>0</v>
      </c>
      <c r="R91" s="73">
        <f t="shared" si="21"/>
        <v>0</v>
      </c>
      <c r="S91" s="73">
        <f t="shared" si="21"/>
        <v>0</v>
      </c>
      <c r="T91" s="73">
        <f t="shared" si="21"/>
        <v>0</v>
      </c>
      <c r="U91" s="73">
        <f t="shared" si="21"/>
        <v>0</v>
      </c>
      <c r="V91" s="73">
        <f t="shared" si="21"/>
        <v>0</v>
      </c>
      <c r="W91" s="73">
        <f t="shared" si="21"/>
        <v>0</v>
      </c>
      <c r="X91" s="73">
        <f t="shared" si="21"/>
        <v>0</v>
      </c>
      <c r="Y91" s="73">
        <f t="shared" si="21"/>
        <v>0</v>
      </c>
      <c r="Z91" s="73">
        <f t="shared" si="21"/>
        <v>0</v>
      </c>
      <c r="AA91" s="73">
        <f t="shared" si="21"/>
        <v>0</v>
      </c>
      <c r="AB91" s="73">
        <f t="shared" si="21"/>
        <v>0</v>
      </c>
      <c r="AC91" s="73">
        <f t="shared" si="21"/>
        <v>0</v>
      </c>
      <c r="AD91" s="73">
        <f t="shared" si="21"/>
        <v>0</v>
      </c>
      <c r="AE91" s="73">
        <f t="shared" si="21"/>
        <v>0</v>
      </c>
      <c r="AF91" s="73">
        <f t="shared" si="21"/>
        <v>0</v>
      </c>
      <c r="AG91" s="73">
        <f t="shared" si="21"/>
        <v>0</v>
      </c>
      <c r="AH91" s="73">
        <f t="shared" si="21"/>
        <v>0</v>
      </c>
      <c r="AI91" s="73">
        <f t="shared" si="21"/>
        <v>0</v>
      </c>
      <c r="AJ91" s="73">
        <f t="shared" si="21"/>
        <v>0</v>
      </c>
      <c r="AK91" s="73">
        <f t="shared" si="21"/>
        <v>0</v>
      </c>
      <c r="AL91" s="73">
        <f t="shared" si="21"/>
        <v>0</v>
      </c>
      <c r="AM91" s="73">
        <f t="shared" si="21"/>
        <v>0</v>
      </c>
      <c r="AN91" s="73">
        <f t="shared" si="21"/>
        <v>0</v>
      </c>
      <c r="AO91" s="73">
        <f t="shared" si="21"/>
        <v>0</v>
      </c>
      <c r="AP91" s="73">
        <f t="shared" si="21"/>
        <v>0</v>
      </c>
      <c r="AQ91" s="73">
        <f t="shared" si="21"/>
        <v>0</v>
      </c>
      <c r="AR91" s="73">
        <f t="shared" si="21"/>
        <v>0</v>
      </c>
      <c r="AS91" s="73">
        <f t="shared" si="21"/>
        <v>0</v>
      </c>
      <c r="AT91" s="73">
        <f t="shared" si="21"/>
        <v>0</v>
      </c>
      <c r="AU91" s="73">
        <f t="shared" si="21"/>
        <v>0</v>
      </c>
      <c r="AV91" s="73">
        <f t="shared" si="21"/>
        <v>0</v>
      </c>
      <c r="AW91" s="73">
        <f t="shared" si="21"/>
        <v>0</v>
      </c>
      <c r="AX91" s="73">
        <f t="shared" si="21"/>
        <v>0</v>
      </c>
      <c r="AY91" s="73">
        <f t="shared" si="21"/>
        <v>0</v>
      </c>
      <c r="AZ91" s="73">
        <f t="shared" si="21"/>
        <v>0</v>
      </c>
      <c r="BA91" s="73">
        <f t="shared" si="21"/>
        <v>0</v>
      </c>
      <c r="BB91" s="73">
        <f t="shared" si="21"/>
        <v>0</v>
      </c>
      <c r="BC91" s="73">
        <f t="shared" si="21"/>
        <v>0</v>
      </c>
      <c r="BD91" s="73">
        <f t="shared" si="21"/>
        <v>0</v>
      </c>
      <c r="BE91" s="73">
        <f t="shared" si="21"/>
        <v>0</v>
      </c>
      <c r="BF91" s="73">
        <f t="shared" si="21"/>
        <v>0</v>
      </c>
      <c r="BG91" s="73">
        <f t="shared" si="21"/>
        <v>0</v>
      </c>
      <c r="BH91" s="73">
        <f t="shared" si="21"/>
        <v>0</v>
      </c>
      <c r="BI91" s="73">
        <f t="shared" si="21"/>
        <v>0</v>
      </c>
    </row>
    <row r="92">
      <c r="A92" s="52" t="s">
        <v>74</v>
      </c>
      <c r="B92" s="73">
        <f t="shared" ref="B92:BI92" si="22">IF(+B$3=$A116,1,0)</f>
        <v>0</v>
      </c>
      <c r="C92" s="73">
        <f t="shared" si="22"/>
        <v>0</v>
      </c>
      <c r="D92" s="73">
        <f t="shared" si="22"/>
        <v>0</v>
      </c>
      <c r="E92" s="73">
        <f t="shared" si="22"/>
        <v>0</v>
      </c>
      <c r="F92" s="73">
        <f t="shared" si="22"/>
        <v>0</v>
      </c>
      <c r="G92" s="73">
        <f t="shared" si="22"/>
        <v>0</v>
      </c>
      <c r="H92" s="73">
        <f t="shared" si="22"/>
        <v>0</v>
      </c>
      <c r="I92" s="73">
        <f t="shared" si="22"/>
        <v>0</v>
      </c>
      <c r="J92" s="73">
        <f t="shared" si="22"/>
        <v>0</v>
      </c>
      <c r="K92" s="73">
        <f t="shared" si="22"/>
        <v>0</v>
      </c>
      <c r="L92" s="73">
        <f t="shared" si="22"/>
        <v>0</v>
      </c>
      <c r="M92" s="73">
        <f t="shared" si="22"/>
        <v>0</v>
      </c>
      <c r="N92" s="73">
        <f t="shared" si="22"/>
        <v>0</v>
      </c>
      <c r="O92" s="73">
        <f t="shared" si="22"/>
        <v>0</v>
      </c>
      <c r="P92" s="73">
        <f t="shared" si="22"/>
        <v>0</v>
      </c>
      <c r="Q92" s="73">
        <f t="shared" si="22"/>
        <v>0</v>
      </c>
      <c r="R92" s="73">
        <f t="shared" si="22"/>
        <v>0</v>
      </c>
      <c r="S92" s="73">
        <f t="shared" si="22"/>
        <v>0</v>
      </c>
      <c r="T92" s="73">
        <f t="shared" si="22"/>
        <v>0</v>
      </c>
      <c r="U92" s="73">
        <f t="shared" si="22"/>
        <v>0</v>
      </c>
      <c r="V92" s="73">
        <f t="shared" si="22"/>
        <v>0</v>
      </c>
      <c r="W92" s="73">
        <f t="shared" si="22"/>
        <v>0</v>
      </c>
      <c r="X92" s="73">
        <f t="shared" si="22"/>
        <v>0</v>
      </c>
      <c r="Y92" s="73">
        <f t="shared" si="22"/>
        <v>0</v>
      </c>
      <c r="Z92" s="73">
        <f t="shared" si="22"/>
        <v>0</v>
      </c>
      <c r="AA92" s="73">
        <f t="shared" si="22"/>
        <v>0</v>
      </c>
      <c r="AB92" s="73">
        <f t="shared" si="22"/>
        <v>0</v>
      </c>
      <c r="AC92" s="73">
        <f t="shared" si="22"/>
        <v>0</v>
      </c>
      <c r="AD92" s="73">
        <f t="shared" si="22"/>
        <v>0</v>
      </c>
      <c r="AE92" s="73">
        <f t="shared" si="22"/>
        <v>0</v>
      </c>
      <c r="AF92" s="73">
        <f t="shared" si="22"/>
        <v>0</v>
      </c>
      <c r="AG92" s="73">
        <f t="shared" si="22"/>
        <v>0</v>
      </c>
      <c r="AH92" s="73">
        <f t="shared" si="22"/>
        <v>0</v>
      </c>
      <c r="AI92" s="73">
        <f t="shared" si="22"/>
        <v>0</v>
      </c>
      <c r="AJ92" s="73">
        <f t="shared" si="22"/>
        <v>0</v>
      </c>
      <c r="AK92" s="73">
        <f t="shared" si="22"/>
        <v>0</v>
      </c>
      <c r="AL92" s="73">
        <f t="shared" si="22"/>
        <v>0</v>
      </c>
      <c r="AM92" s="73">
        <f t="shared" si="22"/>
        <v>0</v>
      </c>
      <c r="AN92" s="73">
        <f t="shared" si="22"/>
        <v>0</v>
      </c>
      <c r="AO92" s="73">
        <f t="shared" si="22"/>
        <v>0</v>
      </c>
      <c r="AP92" s="73">
        <f t="shared" si="22"/>
        <v>0</v>
      </c>
      <c r="AQ92" s="73">
        <f t="shared" si="22"/>
        <v>0</v>
      </c>
      <c r="AR92" s="73">
        <f t="shared" si="22"/>
        <v>0</v>
      </c>
      <c r="AS92" s="73">
        <f t="shared" si="22"/>
        <v>0</v>
      </c>
      <c r="AT92" s="73">
        <f t="shared" si="22"/>
        <v>0</v>
      </c>
      <c r="AU92" s="73">
        <f t="shared" si="22"/>
        <v>0</v>
      </c>
      <c r="AV92" s="73">
        <f t="shared" si="22"/>
        <v>0</v>
      </c>
      <c r="AW92" s="73">
        <f t="shared" si="22"/>
        <v>0</v>
      </c>
      <c r="AX92" s="73">
        <f t="shared" si="22"/>
        <v>0</v>
      </c>
      <c r="AY92" s="73">
        <f t="shared" si="22"/>
        <v>0</v>
      </c>
      <c r="AZ92" s="73">
        <f t="shared" si="22"/>
        <v>0</v>
      </c>
      <c r="BA92" s="73">
        <f t="shared" si="22"/>
        <v>0</v>
      </c>
      <c r="BB92" s="73">
        <f t="shared" si="22"/>
        <v>0</v>
      </c>
      <c r="BC92" s="73">
        <f t="shared" si="22"/>
        <v>0</v>
      </c>
      <c r="BD92" s="73">
        <f t="shared" si="22"/>
        <v>0</v>
      </c>
      <c r="BE92" s="73">
        <f t="shared" si="22"/>
        <v>0</v>
      </c>
      <c r="BF92" s="73">
        <f t="shared" si="22"/>
        <v>0</v>
      </c>
      <c r="BG92" s="73">
        <f t="shared" si="22"/>
        <v>0</v>
      </c>
      <c r="BH92" s="73">
        <f t="shared" si="22"/>
        <v>0</v>
      </c>
      <c r="BI92" s="73">
        <f t="shared" si="22"/>
        <v>0</v>
      </c>
    </row>
    <row r="93">
      <c r="A93" s="52" t="s">
        <v>75</v>
      </c>
      <c r="B93" s="73">
        <f t="shared" ref="B93:BI93" si="23">IF(+B$3=$A117,1,0)</f>
        <v>0</v>
      </c>
      <c r="C93" s="73">
        <f t="shared" si="23"/>
        <v>0</v>
      </c>
      <c r="D93" s="73">
        <f t="shared" si="23"/>
        <v>0</v>
      </c>
      <c r="E93" s="73">
        <f t="shared" si="23"/>
        <v>0</v>
      </c>
      <c r="F93" s="73">
        <f t="shared" si="23"/>
        <v>0</v>
      </c>
      <c r="G93" s="73">
        <f t="shared" si="23"/>
        <v>0</v>
      </c>
      <c r="H93" s="73">
        <f t="shared" si="23"/>
        <v>0</v>
      </c>
      <c r="I93" s="73">
        <f t="shared" si="23"/>
        <v>0</v>
      </c>
      <c r="J93" s="73">
        <f t="shared" si="23"/>
        <v>0</v>
      </c>
      <c r="K93" s="73">
        <f t="shared" si="23"/>
        <v>0</v>
      </c>
      <c r="L93" s="73">
        <f t="shared" si="23"/>
        <v>0</v>
      </c>
      <c r="M93" s="73">
        <f t="shared" si="23"/>
        <v>0</v>
      </c>
      <c r="N93" s="73">
        <f t="shared" si="23"/>
        <v>0</v>
      </c>
      <c r="O93" s="73">
        <f t="shared" si="23"/>
        <v>0</v>
      </c>
      <c r="P93" s="73">
        <f t="shared" si="23"/>
        <v>0</v>
      </c>
      <c r="Q93" s="73">
        <f t="shared" si="23"/>
        <v>0</v>
      </c>
      <c r="R93" s="73">
        <f t="shared" si="23"/>
        <v>0</v>
      </c>
      <c r="S93" s="73">
        <f t="shared" si="23"/>
        <v>0</v>
      </c>
      <c r="T93" s="73">
        <f t="shared" si="23"/>
        <v>0</v>
      </c>
      <c r="U93" s="73">
        <f t="shared" si="23"/>
        <v>0</v>
      </c>
      <c r="V93" s="73">
        <f t="shared" si="23"/>
        <v>0</v>
      </c>
      <c r="W93" s="73">
        <f t="shared" si="23"/>
        <v>0</v>
      </c>
      <c r="X93" s="73">
        <f t="shared" si="23"/>
        <v>0</v>
      </c>
      <c r="Y93" s="73">
        <f t="shared" si="23"/>
        <v>0</v>
      </c>
      <c r="Z93" s="73">
        <f t="shared" si="23"/>
        <v>0</v>
      </c>
      <c r="AA93" s="73">
        <f t="shared" si="23"/>
        <v>0</v>
      </c>
      <c r="AB93" s="73">
        <f t="shared" si="23"/>
        <v>0</v>
      </c>
      <c r="AC93" s="73">
        <f t="shared" si="23"/>
        <v>0</v>
      </c>
      <c r="AD93" s="73">
        <f t="shared" si="23"/>
        <v>0</v>
      </c>
      <c r="AE93" s="73">
        <f t="shared" si="23"/>
        <v>0</v>
      </c>
      <c r="AF93" s="73">
        <f t="shared" si="23"/>
        <v>0</v>
      </c>
      <c r="AG93" s="73">
        <f t="shared" si="23"/>
        <v>0</v>
      </c>
      <c r="AH93" s="73">
        <f t="shared" si="23"/>
        <v>0</v>
      </c>
      <c r="AI93" s="73">
        <f t="shared" si="23"/>
        <v>0</v>
      </c>
      <c r="AJ93" s="73">
        <f t="shared" si="23"/>
        <v>0</v>
      </c>
      <c r="AK93" s="73">
        <f t="shared" si="23"/>
        <v>0</v>
      </c>
      <c r="AL93" s="73">
        <f t="shared" si="23"/>
        <v>0</v>
      </c>
      <c r="AM93" s="73">
        <f t="shared" si="23"/>
        <v>0</v>
      </c>
      <c r="AN93" s="73">
        <f t="shared" si="23"/>
        <v>0</v>
      </c>
      <c r="AO93" s="73">
        <f t="shared" si="23"/>
        <v>0</v>
      </c>
      <c r="AP93" s="73">
        <f t="shared" si="23"/>
        <v>0</v>
      </c>
      <c r="AQ93" s="73">
        <f t="shared" si="23"/>
        <v>0</v>
      </c>
      <c r="AR93" s="73">
        <f t="shared" si="23"/>
        <v>0</v>
      </c>
      <c r="AS93" s="73">
        <f t="shared" si="23"/>
        <v>0</v>
      </c>
      <c r="AT93" s="73">
        <f t="shared" si="23"/>
        <v>0</v>
      </c>
      <c r="AU93" s="73">
        <f t="shared" si="23"/>
        <v>0</v>
      </c>
      <c r="AV93" s="73">
        <f t="shared" si="23"/>
        <v>0</v>
      </c>
      <c r="AW93" s="73">
        <f t="shared" si="23"/>
        <v>0</v>
      </c>
      <c r="AX93" s="73">
        <f t="shared" si="23"/>
        <v>0</v>
      </c>
      <c r="AY93" s="73">
        <f t="shared" si="23"/>
        <v>0</v>
      </c>
      <c r="AZ93" s="73">
        <f t="shared" si="23"/>
        <v>0</v>
      </c>
      <c r="BA93" s="73">
        <f t="shared" si="23"/>
        <v>0</v>
      </c>
      <c r="BB93" s="73">
        <f t="shared" si="23"/>
        <v>0</v>
      </c>
      <c r="BC93" s="73">
        <f t="shared" si="23"/>
        <v>0</v>
      </c>
      <c r="BD93" s="73">
        <f t="shared" si="23"/>
        <v>0</v>
      </c>
      <c r="BE93" s="73">
        <f t="shared" si="23"/>
        <v>0</v>
      </c>
      <c r="BF93" s="73">
        <f t="shared" si="23"/>
        <v>0</v>
      </c>
      <c r="BG93" s="73">
        <f t="shared" si="23"/>
        <v>0</v>
      </c>
      <c r="BH93" s="73">
        <f t="shared" si="23"/>
        <v>0</v>
      </c>
      <c r="BI93" s="73">
        <f t="shared" si="23"/>
        <v>0</v>
      </c>
    </row>
    <row r="94">
      <c r="A94" s="52" t="s">
        <v>76</v>
      </c>
      <c r="B94" s="73">
        <f t="shared" ref="B94:BI94" si="24">IF(+B$3=$A118,1,0)</f>
        <v>0</v>
      </c>
      <c r="C94" s="73">
        <f t="shared" si="24"/>
        <v>0</v>
      </c>
      <c r="D94" s="73">
        <f t="shared" si="24"/>
        <v>0</v>
      </c>
      <c r="E94" s="73">
        <f t="shared" si="24"/>
        <v>0</v>
      </c>
      <c r="F94" s="73">
        <f t="shared" si="24"/>
        <v>0</v>
      </c>
      <c r="G94" s="73">
        <f t="shared" si="24"/>
        <v>0</v>
      </c>
      <c r="H94" s="73">
        <f t="shared" si="24"/>
        <v>0</v>
      </c>
      <c r="I94" s="73">
        <f t="shared" si="24"/>
        <v>0</v>
      </c>
      <c r="J94" s="73">
        <f t="shared" si="24"/>
        <v>0</v>
      </c>
      <c r="K94" s="73">
        <f t="shared" si="24"/>
        <v>0</v>
      </c>
      <c r="L94" s="73">
        <f t="shared" si="24"/>
        <v>0</v>
      </c>
      <c r="M94" s="73">
        <f t="shared" si="24"/>
        <v>0</v>
      </c>
      <c r="N94" s="73">
        <f t="shared" si="24"/>
        <v>0</v>
      </c>
      <c r="O94" s="73">
        <f t="shared" si="24"/>
        <v>0</v>
      </c>
      <c r="P94" s="73">
        <f t="shared" si="24"/>
        <v>0</v>
      </c>
      <c r="Q94" s="73">
        <f t="shared" si="24"/>
        <v>0</v>
      </c>
      <c r="R94" s="73">
        <f t="shared" si="24"/>
        <v>0</v>
      </c>
      <c r="S94" s="73">
        <f t="shared" si="24"/>
        <v>0</v>
      </c>
      <c r="T94" s="73">
        <f t="shared" si="24"/>
        <v>0</v>
      </c>
      <c r="U94" s="73">
        <f t="shared" si="24"/>
        <v>0</v>
      </c>
      <c r="V94" s="73">
        <f t="shared" si="24"/>
        <v>0</v>
      </c>
      <c r="W94" s="73">
        <f t="shared" si="24"/>
        <v>0</v>
      </c>
      <c r="X94" s="73">
        <f t="shared" si="24"/>
        <v>0</v>
      </c>
      <c r="Y94" s="73">
        <f t="shared" si="24"/>
        <v>0</v>
      </c>
      <c r="Z94" s="73">
        <f t="shared" si="24"/>
        <v>0</v>
      </c>
      <c r="AA94" s="73">
        <f t="shared" si="24"/>
        <v>0</v>
      </c>
      <c r="AB94" s="73">
        <f t="shared" si="24"/>
        <v>0</v>
      </c>
      <c r="AC94" s="73">
        <f t="shared" si="24"/>
        <v>0</v>
      </c>
      <c r="AD94" s="73">
        <f t="shared" si="24"/>
        <v>0</v>
      </c>
      <c r="AE94" s="73">
        <f t="shared" si="24"/>
        <v>0</v>
      </c>
      <c r="AF94" s="73">
        <f t="shared" si="24"/>
        <v>0</v>
      </c>
      <c r="AG94" s="73">
        <f t="shared" si="24"/>
        <v>0</v>
      </c>
      <c r="AH94" s="73">
        <f t="shared" si="24"/>
        <v>0</v>
      </c>
      <c r="AI94" s="73">
        <f t="shared" si="24"/>
        <v>0</v>
      </c>
      <c r="AJ94" s="73">
        <f t="shared" si="24"/>
        <v>0</v>
      </c>
      <c r="AK94" s="73">
        <f t="shared" si="24"/>
        <v>0</v>
      </c>
      <c r="AL94" s="73">
        <f t="shared" si="24"/>
        <v>0</v>
      </c>
      <c r="AM94" s="73">
        <f t="shared" si="24"/>
        <v>0</v>
      </c>
      <c r="AN94" s="73">
        <f t="shared" si="24"/>
        <v>0</v>
      </c>
      <c r="AO94" s="73">
        <f t="shared" si="24"/>
        <v>0</v>
      </c>
      <c r="AP94" s="73">
        <f t="shared" si="24"/>
        <v>0</v>
      </c>
      <c r="AQ94" s="73">
        <f t="shared" si="24"/>
        <v>0</v>
      </c>
      <c r="AR94" s="73">
        <f t="shared" si="24"/>
        <v>0</v>
      </c>
      <c r="AS94" s="73">
        <f t="shared" si="24"/>
        <v>0</v>
      </c>
      <c r="AT94" s="73">
        <f t="shared" si="24"/>
        <v>0</v>
      </c>
      <c r="AU94" s="73">
        <f t="shared" si="24"/>
        <v>0</v>
      </c>
      <c r="AV94" s="73">
        <f t="shared" si="24"/>
        <v>0</v>
      </c>
      <c r="AW94" s="73">
        <f t="shared" si="24"/>
        <v>0</v>
      </c>
      <c r="AX94" s="73">
        <f t="shared" si="24"/>
        <v>0</v>
      </c>
      <c r="AY94" s="73">
        <f t="shared" si="24"/>
        <v>0</v>
      </c>
      <c r="AZ94" s="73">
        <f t="shared" si="24"/>
        <v>0</v>
      </c>
      <c r="BA94" s="73">
        <f t="shared" si="24"/>
        <v>0</v>
      </c>
      <c r="BB94" s="73">
        <f t="shared" si="24"/>
        <v>0</v>
      </c>
      <c r="BC94" s="73">
        <f t="shared" si="24"/>
        <v>0</v>
      </c>
      <c r="BD94" s="73">
        <f t="shared" si="24"/>
        <v>0</v>
      </c>
      <c r="BE94" s="73">
        <f t="shared" si="24"/>
        <v>0</v>
      </c>
      <c r="BF94" s="73">
        <f t="shared" si="24"/>
        <v>0</v>
      </c>
      <c r="BG94" s="73">
        <f t="shared" si="24"/>
        <v>0</v>
      </c>
      <c r="BH94" s="73">
        <f t="shared" si="24"/>
        <v>0</v>
      </c>
      <c r="BI94" s="73">
        <f t="shared" si="24"/>
        <v>0</v>
      </c>
    </row>
    <row r="95">
      <c r="A95" s="52" t="s">
        <v>77</v>
      </c>
      <c r="B95" s="73">
        <f t="shared" ref="B95:BI95" si="25">IF(+B$3=$A119,1,0)</f>
        <v>0</v>
      </c>
      <c r="C95" s="73">
        <f t="shared" si="25"/>
        <v>0</v>
      </c>
      <c r="D95" s="73">
        <f t="shared" si="25"/>
        <v>0</v>
      </c>
      <c r="E95" s="73">
        <f t="shared" si="25"/>
        <v>0</v>
      </c>
      <c r="F95" s="73">
        <f t="shared" si="25"/>
        <v>0</v>
      </c>
      <c r="G95" s="73">
        <f t="shared" si="25"/>
        <v>0</v>
      </c>
      <c r="H95" s="73">
        <f t="shared" si="25"/>
        <v>0</v>
      </c>
      <c r="I95" s="73">
        <f t="shared" si="25"/>
        <v>0</v>
      </c>
      <c r="J95" s="73">
        <f t="shared" si="25"/>
        <v>0</v>
      </c>
      <c r="K95" s="73">
        <f t="shared" si="25"/>
        <v>0</v>
      </c>
      <c r="L95" s="73">
        <f t="shared" si="25"/>
        <v>0</v>
      </c>
      <c r="M95" s="73">
        <f t="shared" si="25"/>
        <v>0</v>
      </c>
      <c r="N95" s="73">
        <f t="shared" si="25"/>
        <v>0</v>
      </c>
      <c r="O95" s="73">
        <f t="shared" si="25"/>
        <v>0</v>
      </c>
      <c r="P95" s="73">
        <f t="shared" si="25"/>
        <v>0</v>
      </c>
      <c r="Q95" s="73">
        <f t="shared" si="25"/>
        <v>0</v>
      </c>
      <c r="R95" s="73">
        <f t="shared" si="25"/>
        <v>0</v>
      </c>
      <c r="S95" s="73">
        <f t="shared" si="25"/>
        <v>0</v>
      </c>
      <c r="T95" s="73">
        <f t="shared" si="25"/>
        <v>0</v>
      </c>
      <c r="U95" s="73">
        <f t="shared" si="25"/>
        <v>0</v>
      </c>
      <c r="V95" s="73">
        <f t="shared" si="25"/>
        <v>0</v>
      </c>
      <c r="W95" s="73">
        <f t="shared" si="25"/>
        <v>0</v>
      </c>
      <c r="X95" s="73">
        <f t="shared" si="25"/>
        <v>0</v>
      </c>
      <c r="Y95" s="73">
        <f t="shared" si="25"/>
        <v>0</v>
      </c>
      <c r="Z95" s="73">
        <f t="shared" si="25"/>
        <v>0</v>
      </c>
      <c r="AA95" s="73">
        <f t="shared" si="25"/>
        <v>0</v>
      </c>
      <c r="AB95" s="73">
        <f t="shared" si="25"/>
        <v>0</v>
      </c>
      <c r="AC95" s="73">
        <f t="shared" si="25"/>
        <v>0</v>
      </c>
      <c r="AD95" s="73">
        <f t="shared" si="25"/>
        <v>0</v>
      </c>
      <c r="AE95" s="73">
        <f t="shared" si="25"/>
        <v>0</v>
      </c>
      <c r="AF95" s="73">
        <f t="shared" si="25"/>
        <v>0</v>
      </c>
      <c r="AG95" s="73">
        <f t="shared" si="25"/>
        <v>0</v>
      </c>
      <c r="AH95" s="73">
        <f t="shared" si="25"/>
        <v>0</v>
      </c>
      <c r="AI95" s="73">
        <f t="shared" si="25"/>
        <v>0</v>
      </c>
      <c r="AJ95" s="73">
        <f t="shared" si="25"/>
        <v>0</v>
      </c>
      <c r="AK95" s="73">
        <f t="shared" si="25"/>
        <v>0</v>
      </c>
      <c r="AL95" s="73">
        <f t="shared" si="25"/>
        <v>0</v>
      </c>
      <c r="AM95" s="73">
        <f t="shared" si="25"/>
        <v>0</v>
      </c>
      <c r="AN95" s="73">
        <f t="shared" si="25"/>
        <v>0</v>
      </c>
      <c r="AO95" s="73">
        <f t="shared" si="25"/>
        <v>0</v>
      </c>
      <c r="AP95" s="73">
        <f t="shared" si="25"/>
        <v>0</v>
      </c>
      <c r="AQ95" s="73">
        <f t="shared" si="25"/>
        <v>0</v>
      </c>
      <c r="AR95" s="73">
        <f t="shared" si="25"/>
        <v>0</v>
      </c>
      <c r="AS95" s="73">
        <f t="shared" si="25"/>
        <v>0</v>
      </c>
      <c r="AT95" s="73">
        <f t="shared" si="25"/>
        <v>0</v>
      </c>
      <c r="AU95" s="73">
        <f t="shared" si="25"/>
        <v>0</v>
      </c>
      <c r="AV95" s="73">
        <f t="shared" si="25"/>
        <v>0</v>
      </c>
      <c r="AW95" s="73">
        <f t="shared" si="25"/>
        <v>0</v>
      </c>
      <c r="AX95" s="73">
        <f t="shared" si="25"/>
        <v>0</v>
      </c>
      <c r="AY95" s="73">
        <f t="shared" si="25"/>
        <v>0</v>
      </c>
      <c r="AZ95" s="73">
        <f t="shared" si="25"/>
        <v>0</v>
      </c>
      <c r="BA95" s="73">
        <f t="shared" si="25"/>
        <v>0</v>
      </c>
      <c r="BB95" s="73">
        <f t="shared" si="25"/>
        <v>0</v>
      </c>
      <c r="BC95" s="73">
        <f t="shared" si="25"/>
        <v>0</v>
      </c>
      <c r="BD95" s="73">
        <f t="shared" si="25"/>
        <v>0</v>
      </c>
      <c r="BE95" s="73">
        <f t="shared" si="25"/>
        <v>0</v>
      </c>
      <c r="BF95" s="73">
        <f t="shared" si="25"/>
        <v>0</v>
      </c>
      <c r="BG95" s="73">
        <f t="shared" si="25"/>
        <v>0</v>
      </c>
      <c r="BH95" s="73">
        <f t="shared" si="25"/>
        <v>0</v>
      </c>
      <c r="BI95" s="73">
        <f t="shared" si="25"/>
        <v>0</v>
      </c>
    </row>
    <row r="96">
      <c r="A96" s="52" t="s">
        <v>78</v>
      </c>
      <c r="B96" s="73">
        <f t="shared" ref="B96:BI96" si="26">IF(+B$3=$A120,1,0)</f>
        <v>0</v>
      </c>
      <c r="C96" s="73">
        <f t="shared" si="26"/>
        <v>0</v>
      </c>
      <c r="D96" s="73">
        <f t="shared" si="26"/>
        <v>0</v>
      </c>
      <c r="E96" s="73">
        <f t="shared" si="26"/>
        <v>0</v>
      </c>
      <c r="F96" s="73">
        <f t="shared" si="26"/>
        <v>0</v>
      </c>
      <c r="G96" s="73">
        <f t="shared" si="26"/>
        <v>0</v>
      </c>
      <c r="H96" s="73">
        <f t="shared" si="26"/>
        <v>0</v>
      </c>
      <c r="I96" s="73">
        <f t="shared" si="26"/>
        <v>0</v>
      </c>
      <c r="J96" s="73">
        <f t="shared" si="26"/>
        <v>0</v>
      </c>
      <c r="K96" s="73">
        <f t="shared" si="26"/>
        <v>0</v>
      </c>
      <c r="L96" s="73">
        <f t="shared" si="26"/>
        <v>0</v>
      </c>
      <c r="M96" s="73">
        <f t="shared" si="26"/>
        <v>0</v>
      </c>
      <c r="N96" s="73">
        <f t="shared" si="26"/>
        <v>0</v>
      </c>
      <c r="O96" s="73">
        <f t="shared" si="26"/>
        <v>0</v>
      </c>
      <c r="P96" s="73">
        <f t="shared" si="26"/>
        <v>0</v>
      </c>
      <c r="Q96" s="73">
        <f t="shared" si="26"/>
        <v>0</v>
      </c>
      <c r="R96" s="73">
        <f t="shared" si="26"/>
        <v>0</v>
      </c>
      <c r="S96" s="73">
        <f t="shared" si="26"/>
        <v>0</v>
      </c>
      <c r="T96" s="73">
        <f t="shared" si="26"/>
        <v>0</v>
      </c>
      <c r="U96" s="73">
        <f t="shared" si="26"/>
        <v>0</v>
      </c>
      <c r="V96" s="73">
        <f t="shared" si="26"/>
        <v>0</v>
      </c>
      <c r="W96" s="73">
        <f t="shared" si="26"/>
        <v>0</v>
      </c>
      <c r="X96" s="73">
        <f t="shared" si="26"/>
        <v>0</v>
      </c>
      <c r="Y96" s="73">
        <f t="shared" si="26"/>
        <v>0</v>
      </c>
      <c r="Z96" s="73">
        <f t="shared" si="26"/>
        <v>0</v>
      </c>
      <c r="AA96" s="73">
        <f t="shared" si="26"/>
        <v>0</v>
      </c>
      <c r="AB96" s="73">
        <f t="shared" si="26"/>
        <v>0</v>
      </c>
      <c r="AC96" s="73">
        <f t="shared" si="26"/>
        <v>0</v>
      </c>
      <c r="AD96" s="73">
        <f t="shared" si="26"/>
        <v>0</v>
      </c>
      <c r="AE96" s="73">
        <f t="shared" si="26"/>
        <v>0</v>
      </c>
      <c r="AF96" s="73">
        <f t="shared" si="26"/>
        <v>0</v>
      </c>
      <c r="AG96" s="73">
        <f t="shared" si="26"/>
        <v>0</v>
      </c>
      <c r="AH96" s="73">
        <f t="shared" si="26"/>
        <v>0</v>
      </c>
      <c r="AI96" s="73">
        <f t="shared" si="26"/>
        <v>0</v>
      </c>
      <c r="AJ96" s="73">
        <f t="shared" si="26"/>
        <v>0</v>
      </c>
      <c r="AK96" s="73">
        <f t="shared" si="26"/>
        <v>0</v>
      </c>
      <c r="AL96" s="73">
        <f t="shared" si="26"/>
        <v>0</v>
      </c>
      <c r="AM96" s="73">
        <f t="shared" si="26"/>
        <v>0</v>
      </c>
      <c r="AN96" s="73">
        <f t="shared" si="26"/>
        <v>0</v>
      </c>
      <c r="AO96" s="73">
        <f t="shared" si="26"/>
        <v>0</v>
      </c>
      <c r="AP96" s="73">
        <f t="shared" si="26"/>
        <v>0</v>
      </c>
      <c r="AQ96" s="73">
        <f t="shared" si="26"/>
        <v>0</v>
      </c>
      <c r="AR96" s="73">
        <f t="shared" si="26"/>
        <v>0</v>
      </c>
      <c r="AS96" s="73">
        <f t="shared" si="26"/>
        <v>0</v>
      </c>
      <c r="AT96" s="73">
        <f t="shared" si="26"/>
        <v>0</v>
      </c>
      <c r="AU96" s="73">
        <f t="shared" si="26"/>
        <v>0</v>
      </c>
      <c r="AV96" s="73">
        <f t="shared" si="26"/>
        <v>0</v>
      </c>
      <c r="AW96" s="73">
        <f t="shared" si="26"/>
        <v>0</v>
      </c>
      <c r="AX96" s="73">
        <f t="shared" si="26"/>
        <v>0</v>
      </c>
      <c r="AY96" s="73">
        <f t="shared" si="26"/>
        <v>0</v>
      </c>
      <c r="AZ96" s="73">
        <f t="shared" si="26"/>
        <v>0</v>
      </c>
      <c r="BA96" s="73">
        <f t="shared" si="26"/>
        <v>0</v>
      </c>
      <c r="BB96" s="73">
        <f t="shared" si="26"/>
        <v>0</v>
      </c>
      <c r="BC96" s="73">
        <f t="shared" si="26"/>
        <v>0</v>
      </c>
      <c r="BD96" s="73">
        <f t="shared" si="26"/>
        <v>0</v>
      </c>
      <c r="BE96" s="73">
        <f t="shared" si="26"/>
        <v>0</v>
      </c>
      <c r="BF96" s="73">
        <f t="shared" si="26"/>
        <v>0</v>
      </c>
      <c r="BG96" s="73">
        <f t="shared" si="26"/>
        <v>0</v>
      </c>
      <c r="BH96" s="73">
        <f t="shared" si="26"/>
        <v>0</v>
      </c>
      <c r="BI96" s="73">
        <f t="shared" si="26"/>
        <v>0</v>
      </c>
    </row>
    <row r="97">
      <c r="A97" s="52" t="s">
        <v>79</v>
      </c>
      <c r="B97" s="73">
        <f t="shared" ref="B97:BI97" si="27">IF(+B$3=$A121,1,0)</f>
        <v>0</v>
      </c>
      <c r="C97" s="73">
        <f t="shared" si="27"/>
        <v>0</v>
      </c>
      <c r="D97" s="73">
        <f t="shared" si="27"/>
        <v>0</v>
      </c>
      <c r="E97" s="73">
        <f t="shared" si="27"/>
        <v>0</v>
      </c>
      <c r="F97" s="73">
        <f t="shared" si="27"/>
        <v>0</v>
      </c>
      <c r="G97" s="73">
        <f t="shared" si="27"/>
        <v>0</v>
      </c>
      <c r="H97" s="73">
        <f t="shared" si="27"/>
        <v>0</v>
      </c>
      <c r="I97" s="73">
        <f t="shared" si="27"/>
        <v>0</v>
      </c>
      <c r="J97" s="73">
        <f t="shared" si="27"/>
        <v>0</v>
      </c>
      <c r="K97" s="73">
        <f t="shared" si="27"/>
        <v>0</v>
      </c>
      <c r="L97" s="73">
        <f t="shared" si="27"/>
        <v>0</v>
      </c>
      <c r="M97" s="73">
        <f t="shared" si="27"/>
        <v>0</v>
      </c>
      <c r="N97" s="73">
        <f t="shared" si="27"/>
        <v>0</v>
      </c>
      <c r="O97" s="73">
        <f t="shared" si="27"/>
        <v>0</v>
      </c>
      <c r="P97" s="73">
        <f t="shared" si="27"/>
        <v>0</v>
      </c>
      <c r="Q97" s="73">
        <f t="shared" si="27"/>
        <v>0</v>
      </c>
      <c r="R97" s="73">
        <f t="shared" si="27"/>
        <v>0</v>
      </c>
      <c r="S97" s="73">
        <f t="shared" si="27"/>
        <v>0</v>
      </c>
      <c r="T97" s="73">
        <f t="shared" si="27"/>
        <v>0</v>
      </c>
      <c r="U97" s="73">
        <f t="shared" si="27"/>
        <v>0</v>
      </c>
      <c r="V97" s="73">
        <f t="shared" si="27"/>
        <v>0</v>
      </c>
      <c r="W97" s="73">
        <f t="shared" si="27"/>
        <v>0</v>
      </c>
      <c r="X97" s="73">
        <f t="shared" si="27"/>
        <v>0</v>
      </c>
      <c r="Y97" s="73">
        <f t="shared" si="27"/>
        <v>0</v>
      </c>
      <c r="Z97" s="73">
        <f t="shared" si="27"/>
        <v>0</v>
      </c>
      <c r="AA97" s="73">
        <f t="shared" si="27"/>
        <v>0</v>
      </c>
      <c r="AB97" s="73">
        <f t="shared" si="27"/>
        <v>0</v>
      </c>
      <c r="AC97" s="73">
        <f t="shared" si="27"/>
        <v>0</v>
      </c>
      <c r="AD97" s="73">
        <f t="shared" si="27"/>
        <v>0</v>
      </c>
      <c r="AE97" s="73">
        <f t="shared" si="27"/>
        <v>0</v>
      </c>
      <c r="AF97" s="73">
        <f t="shared" si="27"/>
        <v>0</v>
      </c>
      <c r="AG97" s="73">
        <f t="shared" si="27"/>
        <v>0</v>
      </c>
      <c r="AH97" s="73">
        <f t="shared" si="27"/>
        <v>0</v>
      </c>
      <c r="AI97" s="73">
        <f t="shared" si="27"/>
        <v>0</v>
      </c>
      <c r="AJ97" s="73">
        <f t="shared" si="27"/>
        <v>0</v>
      </c>
      <c r="AK97" s="73">
        <f t="shared" si="27"/>
        <v>0</v>
      </c>
      <c r="AL97" s="73">
        <f t="shared" si="27"/>
        <v>0</v>
      </c>
      <c r="AM97" s="73">
        <f t="shared" si="27"/>
        <v>0</v>
      </c>
      <c r="AN97" s="73">
        <f t="shared" si="27"/>
        <v>0</v>
      </c>
      <c r="AO97" s="73">
        <f t="shared" si="27"/>
        <v>0</v>
      </c>
      <c r="AP97" s="73">
        <f t="shared" si="27"/>
        <v>0</v>
      </c>
      <c r="AQ97" s="73">
        <f t="shared" si="27"/>
        <v>0</v>
      </c>
      <c r="AR97" s="73">
        <f t="shared" si="27"/>
        <v>0</v>
      </c>
      <c r="AS97" s="73">
        <f t="shared" si="27"/>
        <v>0</v>
      </c>
      <c r="AT97" s="73">
        <f t="shared" si="27"/>
        <v>0</v>
      </c>
      <c r="AU97" s="73">
        <f t="shared" si="27"/>
        <v>0</v>
      </c>
      <c r="AV97" s="73">
        <f t="shared" si="27"/>
        <v>0</v>
      </c>
      <c r="AW97" s="73">
        <f t="shared" si="27"/>
        <v>0</v>
      </c>
      <c r="AX97" s="73">
        <f t="shared" si="27"/>
        <v>0</v>
      </c>
      <c r="AY97" s="73">
        <f t="shared" si="27"/>
        <v>0</v>
      </c>
      <c r="AZ97" s="73">
        <f t="shared" si="27"/>
        <v>0</v>
      </c>
      <c r="BA97" s="73">
        <f t="shared" si="27"/>
        <v>0</v>
      </c>
      <c r="BB97" s="73">
        <f t="shared" si="27"/>
        <v>0</v>
      </c>
      <c r="BC97" s="73">
        <f t="shared" si="27"/>
        <v>0</v>
      </c>
      <c r="BD97" s="73">
        <f t="shared" si="27"/>
        <v>0</v>
      </c>
      <c r="BE97" s="73">
        <f t="shared" si="27"/>
        <v>0</v>
      </c>
      <c r="BF97" s="73">
        <f t="shared" si="27"/>
        <v>0</v>
      </c>
      <c r="BG97" s="73">
        <f t="shared" si="27"/>
        <v>0</v>
      </c>
      <c r="BH97" s="73">
        <f t="shared" si="27"/>
        <v>0</v>
      </c>
      <c r="BI97" s="73">
        <f t="shared" si="27"/>
        <v>0</v>
      </c>
    </row>
    <row r="98">
      <c r="A98" s="52" t="s">
        <v>80</v>
      </c>
      <c r="B98" s="73">
        <f t="shared" ref="B98:BI98" si="28">IF(+B$3=$A122,1,0)</f>
        <v>0</v>
      </c>
      <c r="C98" s="73">
        <f t="shared" si="28"/>
        <v>0</v>
      </c>
      <c r="D98" s="73">
        <f t="shared" si="28"/>
        <v>0</v>
      </c>
      <c r="E98" s="73">
        <f t="shared" si="28"/>
        <v>0</v>
      </c>
      <c r="F98" s="73">
        <f t="shared" si="28"/>
        <v>0</v>
      </c>
      <c r="G98" s="73">
        <f t="shared" si="28"/>
        <v>0</v>
      </c>
      <c r="H98" s="73">
        <f t="shared" si="28"/>
        <v>0</v>
      </c>
      <c r="I98" s="73">
        <f t="shared" si="28"/>
        <v>0</v>
      </c>
      <c r="J98" s="73">
        <f t="shared" si="28"/>
        <v>0</v>
      </c>
      <c r="K98" s="73">
        <f t="shared" si="28"/>
        <v>0</v>
      </c>
      <c r="L98" s="73">
        <f t="shared" si="28"/>
        <v>0</v>
      </c>
      <c r="M98" s="73">
        <f t="shared" si="28"/>
        <v>0</v>
      </c>
      <c r="N98" s="73">
        <f t="shared" si="28"/>
        <v>0</v>
      </c>
      <c r="O98" s="73">
        <f t="shared" si="28"/>
        <v>0</v>
      </c>
      <c r="P98" s="73">
        <f t="shared" si="28"/>
        <v>0</v>
      </c>
      <c r="Q98" s="73">
        <f t="shared" si="28"/>
        <v>0</v>
      </c>
      <c r="R98" s="73">
        <f t="shared" si="28"/>
        <v>0</v>
      </c>
      <c r="S98" s="73">
        <f t="shared" si="28"/>
        <v>0</v>
      </c>
      <c r="T98" s="73">
        <f t="shared" si="28"/>
        <v>0</v>
      </c>
      <c r="U98" s="73">
        <f t="shared" si="28"/>
        <v>0</v>
      </c>
      <c r="V98" s="73">
        <f t="shared" si="28"/>
        <v>0</v>
      </c>
      <c r="W98" s="73">
        <f t="shared" si="28"/>
        <v>0</v>
      </c>
      <c r="X98" s="73">
        <f t="shared" si="28"/>
        <v>0</v>
      </c>
      <c r="Y98" s="73">
        <f t="shared" si="28"/>
        <v>0</v>
      </c>
      <c r="Z98" s="73">
        <f t="shared" si="28"/>
        <v>0</v>
      </c>
      <c r="AA98" s="73">
        <f t="shared" si="28"/>
        <v>0</v>
      </c>
      <c r="AB98" s="73">
        <f t="shared" si="28"/>
        <v>0</v>
      </c>
      <c r="AC98" s="73">
        <f t="shared" si="28"/>
        <v>0</v>
      </c>
      <c r="AD98" s="73">
        <f t="shared" si="28"/>
        <v>0</v>
      </c>
      <c r="AE98" s="73">
        <f t="shared" si="28"/>
        <v>0</v>
      </c>
      <c r="AF98" s="73">
        <f t="shared" si="28"/>
        <v>0</v>
      </c>
      <c r="AG98" s="73">
        <f t="shared" si="28"/>
        <v>0</v>
      </c>
      <c r="AH98" s="73">
        <f t="shared" si="28"/>
        <v>0</v>
      </c>
      <c r="AI98" s="73">
        <f t="shared" si="28"/>
        <v>0</v>
      </c>
      <c r="AJ98" s="73">
        <f t="shared" si="28"/>
        <v>0</v>
      </c>
      <c r="AK98" s="73">
        <f t="shared" si="28"/>
        <v>0</v>
      </c>
      <c r="AL98" s="73">
        <f t="shared" si="28"/>
        <v>0</v>
      </c>
      <c r="AM98" s="73">
        <f t="shared" si="28"/>
        <v>0</v>
      </c>
      <c r="AN98" s="73">
        <f t="shared" si="28"/>
        <v>0</v>
      </c>
      <c r="AO98" s="73">
        <f t="shared" si="28"/>
        <v>0</v>
      </c>
      <c r="AP98" s="73">
        <f t="shared" si="28"/>
        <v>0</v>
      </c>
      <c r="AQ98" s="73">
        <f t="shared" si="28"/>
        <v>0</v>
      </c>
      <c r="AR98" s="73">
        <f t="shared" si="28"/>
        <v>0</v>
      </c>
      <c r="AS98" s="73">
        <f t="shared" si="28"/>
        <v>0</v>
      </c>
      <c r="AT98" s="73">
        <f t="shared" si="28"/>
        <v>0</v>
      </c>
      <c r="AU98" s="73">
        <f t="shared" si="28"/>
        <v>0</v>
      </c>
      <c r="AV98" s="73">
        <f t="shared" si="28"/>
        <v>0</v>
      </c>
      <c r="AW98" s="73">
        <f t="shared" si="28"/>
        <v>0</v>
      </c>
      <c r="AX98" s="73">
        <f t="shared" si="28"/>
        <v>0</v>
      </c>
      <c r="AY98" s="73">
        <f t="shared" si="28"/>
        <v>0</v>
      </c>
      <c r="AZ98" s="73">
        <f t="shared" si="28"/>
        <v>0</v>
      </c>
      <c r="BA98" s="73">
        <f t="shared" si="28"/>
        <v>0</v>
      </c>
      <c r="BB98" s="73">
        <f t="shared" si="28"/>
        <v>0</v>
      </c>
      <c r="BC98" s="73">
        <f t="shared" si="28"/>
        <v>0</v>
      </c>
      <c r="BD98" s="73">
        <f t="shared" si="28"/>
        <v>0</v>
      </c>
      <c r="BE98" s="73">
        <f t="shared" si="28"/>
        <v>0</v>
      </c>
      <c r="BF98" s="73">
        <f t="shared" si="28"/>
        <v>0</v>
      </c>
      <c r="BG98" s="73">
        <f t="shared" si="28"/>
        <v>0</v>
      </c>
      <c r="BH98" s="73">
        <f t="shared" si="28"/>
        <v>0</v>
      </c>
      <c r="BI98" s="73">
        <f t="shared" si="28"/>
        <v>0</v>
      </c>
    </row>
    <row r="99">
      <c r="A99" s="52" t="s">
        <v>81</v>
      </c>
      <c r="B99" s="73">
        <f t="shared" ref="B99:BI99" si="29">IF(+B$3=$A123,1,0)</f>
        <v>0</v>
      </c>
      <c r="C99" s="73">
        <f t="shared" si="29"/>
        <v>0</v>
      </c>
      <c r="D99" s="73">
        <f t="shared" si="29"/>
        <v>0</v>
      </c>
      <c r="E99" s="73">
        <f t="shared" si="29"/>
        <v>0</v>
      </c>
      <c r="F99" s="73">
        <f t="shared" si="29"/>
        <v>0</v>
      </c>
      <c r="G99" s="73">
        <f t="shared" si="29"/>
        <v>0</v>
      </c>
      <c r="H99" s="73">
        <f t="shared" si="29"/>
        <v>0</v>
      </c>
      <c r="I99" s="73">
        <f t="shared" si="29"/>
        <v>0</v>
      </c>
      <c r="J99" s="73">
        <f t="shared" si="29"/>
        <v>0</v>
      </c>
      <c r="K99" s="73">
        <f t="shared" si="29"/>
        <v>0</v>
      </c>
      <c r="L99" s="73">
        <f t="shared" si="29"/>
        <v>0</v>
      </c>
      <c r="M99" s="73">
        <f t="shared" si="29"/>
        <v>0</v>
      </c>
      <c r="N99" s="73">
        <f t="shared" si="29"/>
        <v>0</v>
      </c>
      <c r="O99" s="73">
        <f t="shared" si="29"/>
        <v>0</v>
      </c>
      <c r="P99" s="73">
        <f t="shared" si="29"/>
        <v>0</v>
      </c>
      <c r="Q99" s="73">
        <f t="shared" si="29"/>
        <v>0</v>
      </c>
      <c r="R99" s="73">
        <f t="shared" si="29"/>
        <v>0</v>
      </c>
      <c r="S99" s="73">
        <f t="shared" si="29"/>
        <v>0</v>
      </c>
      <c r="T99" s="73">
        <f t="shared" si="29"/>
        <v>0</v>
      </c>
      <c r="U99" s="73">
        <f t="shared" si="29"/>
        <v>0</v>
      </c>
      <c r="V99" s="73">
        <f t="shared" si="29"/>
        <v>0</v>
      </c>
      <c r="W99" s="73">
        <f t="shared" si="29"/>
        <v>0</v>
      </c>
      <c r="X99" s="73">
        <f t="shared" si="29"/>
        <v>0</v>
      </c>
      <c r="Y99" s="73">
        <f t="shared" si="29"/>
        <v>0</v>
      </c>
      <c r="Z99" s="73">
        <f t="shared" si="29"/>
        <v>0</v>
      </c>
      <c r="AA99" s="73">
        <f t="shared" si="29"/>
        <v>0</v>
      </c>
      <c r="AB99" s="73">
        <f t="shared" si="29"/>
        <v>0</v>
      </c>
      <c r="AC99" s="73">
        <f t="shared" si="29"/>
        <v>0</v>
      </c>
      <c r="AD99" s="73">
        <f t="shared" si="29"/>
        <v>0</v>
      </c>
      <c r="AE99" s="73">
        <f t="shared" si="29"/>
        <v>0</v>
      </c>
      <c r="AF99" s="73">
        <f t="shared" si="29"/>
        <v>0</v>
      </c>
      <c r="AG99" s="73">
        <f t="shared" si="29"/>
        <v>0</v>
      </c>
      <c r="AH99" s="73">
        <f t="shared" si="29"/>
        <v>0</v>
      </c>
      <c r="AI99" s="73">
        <f t="shared" si="29"/>
        <v>0</v>
      </c>
      <c r="AJ99" s="73">
        <f t="shared" si="29"/>
        <v>0</v>
      </c>
      <c r="AK99" s="73">
        <f t="shared" si="29"/>
        <v>0</v>
      </c>
      <c r="AL99" s="73">
        <f t="shared" si="29"/>
        <v>0</v>
      </c>
      <c r="AM99" s="73">
        <f t="shared" si="29"/>
        <v>0</v>
      </c>
      <c r="AN99" s="73">
        <f t="shared" si="29"/>
        <v>0</v>
      </c>
      <c r="AO99" s="73">
        <f t="shared" si="29"/>
        <v>0</v>
      </c>
      <c r="AP99" s="73">
        <f t="shared" si="29"/>
        <v>0</v>
      </c>
      <c r="AQ99" s="73">
        <f t="shared" si="29"/>
        <v>0</v>
      </c>
      <c r="AR99" s="73">
        <f t="shared" si="29"/>
        <v>0</v>
      </c>
      <c r="AS99" s="73">
        <f t="shared" si="29"/>
        <v>0</v>
      </c>
      <c r="AT99" s="73">
        <f t="shared" si="29"/>
        <v>0</v>
      </c>
      <c r="AU99" s="73">
        <f t="shared" si="29"/>
        <v>0</v>
      </c>
      <c r="AV99" s="73">
        <f t="shared" si="29"/>
        <v>0</v>
      </c>
      <c r="AW99" s="73">
        <f t="shared" si="29"/>
        <v>0</v>
      </c>
      <c r="AX99" s="73">
        <f t="shared" si="29"/>
        <v>0</v>
      </c>
      <c r="AY99" s="73">
        <f t="shared" si="29"/>
        <v>0</v>
      </c>
      <c r="AZ99" s="73">
        <f t="shared" si="29"/>
        <v>0</v>
      </c>
      <c r="BA99" s="73">
        <f t="shared" si="29"/>
        <v>0</v>
      </c>
      <c r="BB99" s="73">
        <f t="shared" si="29"/>
        <v>0</v>
      </c>
      <c r="BC99" s="73">
        <f t="shared" si="29"/>
        <v>0</v>
      </c>
      <c r="BD99" s="73">
        <f t="shared" si="29"/>
        <v>0</v>
      </c>
      <c r="BE99" s="73">
        <f t="shared" si="29"/>
        <v>0</v>
      </c>
      <c r="BF99" s="73">
        <f t="shared" si="29"/>
        <v>0</v>
      </c>
      <c r="BG99" s="73">
        <f t="shared" si="29"/>
        <v>0</v>
      </c>
      <c r="BH99" s="73">
        <f t="shared" si="29"/>
        <v>0</v>
      </c>
      <c r="BI99" s="73">
        <f t="shared" si="29"/>
        <v>0</v>
      </c>
    </row>
    <row r="100">
      <c r="A100" s="52" t="s">
        <v>82</v>
      </c>
      <c r="B100" s="73">
        <f t="shared" ref="B100:BI100" si="30">IF(+B$3=$A124,1,0)</f>
        <v>0</v>
      </c>
      <c r="C100" s="73">
        <f t="shared" si="30"/>
        <v>0</v>
      </c>
      <c r="D100" s="73">
        <f t="shared" si="30"/>
        <v>0</v>
      </c>
      <c r="E100" s="73">
        <f t="shared" si="30"/>
        <v>0</v>
      </c>
      <c r="F100" s="73">
        <f t="shared" si="30"/>
        <v>0</v>
      </c>
      <c r="G100" s="73">
        <f t="shared" si="30"/>
        <v>0</v>
      </c>
      <c r="H100" s="73">
        <f t="shared" si="30"/>
        <v>0</v>
      </c>
      <c r="I100" s="73">
        <f t="shared" si="30"/>
        <v>0</v>
      </c>
      <c r="J100" s="73">
        <f t="shared" si="30"/>
        <v>0</v>
      </c>
      <c r="K100" s="73">
        <f t="shared" si="30"/>
        <v>0</v>
      </c>
      <c r="L100" s="73">
        <f t="shared" si="30"/>
        <v>0</v>
      </c>
      <c r="M100" s="73">
        <f t="shared" si="30"/>
        <v>0</v>
      </c>
      <c r="N100" s="73">
        <f t="shared" si="30"/>
        <v>0</v>
      </c>
      <c r="O100" s="73">
        <f t="shared" si="30"/>
        <v>0</v>
      </c>
      <c r="P100" s="73">
        <f t="shared" si="30"/>
        <v>0</v>
      </c>
      <c r="Q100" s="73">
        <f t="shared" si="30"/>
        <v>0</v>
      </c>
      <c r="R100" s="73">
        <f t="shared" si="30"/>
        <v>0</v>
      </c>
      <c r="S100" s="73">
        <f t="shared" si="30"/>
        <v>0</v>
      </c>
      <c r="T100" s="73">
        <f t="shared" si="30"/>
        <v>0</v>
      </c>
      <c r="U100" s="73">
        <f t="shared" si="30"/>
        <v>0</v>
      </c>
      <c r="V100" s="73">
        <f t="shared" si="30"/>
        <v>0</v>
      </c>
      <c r="W100" s="73">
        <f t="shared" si="30"/>
        <v>0</v>
      </c>
      <c r="X100" s="73">
        <f t="shared" si="30"/>
        <v>0</v>
      </c>
      <c r="Y100" s="73">
        <f t="shared" si="30"/>
        <v>0</v>
      </c>
      <c r="Z100" s="73">
        <f t="shared" si="30"/>
        <v>0</v>
      </c>
      <c r="AA100" s="73">
        <f t="shared" si="30"/>
        <v>0</v>
      </c>
      <c r="AB100" s="73">
        <f t="shared" si="30"/>
        <v>0</v>
      </c>
      <c r="AC100" s="73">
        <f t="shared" si="30"/>
        <v>0</v>
      </c>
      <c r="AD100" s="73">
        <f t="shared" si="30"/>
        <v>0</v>
      </c>
      <c r="AE100" s="73">
        <f t="shared" si="30"/>
        <v>0</v>
      </c>
      <c r="AF100" s="73">
        <f t="shared" si="30"/>
        <v>0</v>
      </c>
      <c r="AG100" s="73">
        <f t="shared" si="30"/>
        <v>0</v>
      </c>
      <c r="AH100" s="73">
        <f t="shared" si="30"/>
        <v>0</v>
      </c>
      <c r="AI100" s="73">
        <f t="shared" si="30"/>
        <v>0</v>
      </c>
      <c r="AJ100" s="73">
        <f t="shared" si="30"/>
        <v>0</v>
      </c>
      <c r="AK100" s="73">
        <f t="shared" si="30"/>
        <v>0</v>
      </c>
      <c r="AL100" s="73">
        <f t="shared" si="30"/>
        <v>0</v>
      </c>
      <c r="AM100" s="73">
        <f t="shared" si="30"/>
        <v>0</v>
      </c>
      <c r="AN100" s="73">
        <f t="shared" si="30"/>
        <v>0</v>
      </c>
      <c r="AO100" s="73">
        <f t="shared" si="30"/>
        <v>0</v>
      </c>
      <c r="AP100" s="73">
        <f t="shared" si="30"/>
        <v>0</v>
      </c>
      <c r="AQ100" s="73">
        <f t="shared" si="30"/>
        <v>0</v>
      </c>
      <c r="AR100" s="73">
        <f t="shared" si="30"/>
        <v>0</v>
      </c>
      <c r="AS100" s="73">
        <f t="shared" si="30"/>
        <v>0</v>
      </c>
      <c r="AT100" s="73">
        <f t="shared" si="30"/>
        <v>0</v>
      </c>
      <c r="AU100" s="73">
        <f t="shared" si="30"/>
        <v>0</v>
      </c>
      <c r="AV100" s="73">
        <f t="shared" si="30"/>
        <v>0</v>
      </c>
      <c r="AW100" s="73">
        <f t="shared" si="30"/>
        <v>0</v>
      </c>
      <c r="AX100" s="73">
        <f t="shared" si="30"/>
        <v>0</v>
      </c>
      <c r="AY100" s="73">
        <f t="shared" si="30"/>
        <v>0</v>
      </c>
      <c r="AZ100" s="73">
        <f t="shared" si="30"/>
        <v>0</v>
      </c>
      <c r="BA100" s="73">
        <f t="shared" si="30"/>
        <v>0</v>
      </c>
      <c r="BB100" s="73">
        <f t="shared" si="30"/>
        <v>0</v>
      </c>
      <c r="BC100" s="73">
        <f t="shared" si="30"/>
        <v>0</v>
      </c>
      <c r="BD100" s="73">
        <f t="shared" si="30"/>
        <v>0</v>
      </c>
      <c r="BE100" s="73">
        <f t="shared" si="30"/>
        <v>0</v>
      </c>
      <c r="BF100" s="73">
        <f t="shared" si="30"/>
        <v>0</v>
      </c>
      <c r="BG100" s="73">
        <f t="shared" si="30"/>
        <v>0</v>
      </c>
      <c r="BH100" s="73">
        <f t="shared" si="30"/>
        <v>0</v>
      </c>
      <c r="BI100" s="73">
        <f t="shared" si="30"/>
        <v>0</v>
      </c>
    </row>
    <row r="101">
      <c r="A101" s="52" t="s">
        <v>83</v>
      </c>
      <c r="B101" s="73">
        <f t="shared" ref="B101:BI101" si="31">IF(+B$3=$A125,1,0)</f>
        <v>0</v>
      </c>
      <c r="C101" s="73">
        <f t="shared" si="31"/>
        <v>0</v>
      </c>
      <c r="D101" s="73">
        <f t="shared" si="31"/>
        <v>0</v>
      </c>
      <c r="E101" s="73">
        <f t="shared" si="31"/>
        <v>0</v>
      </c>
      <c r="F101" s="73">
        <f t="shared" si="31"/>
        <v>0</v>
      </c>
      <c r="G101" s="73">
        <f t="shared" si="31"/>
        <v>0</v>
      </c>
      <c r="H101" s="73">
        <f t="shared" si="31"/>
        <v>0</v>
      </c>
      <c r="I101" s="73">
        <f t="shared" si="31"/>
        <v>0</v>
      </c>
      <c r="J101" s="73">
        <f t="shared" si="31"/>
        <v>0</v>
      </c>
      <c r="K101" s="73">
        <f t="shared" si="31"/>
        <v>0</v>
      </c>
      <c r="L101" s="73">
        <f t="shared" si="31"/>
        <v>0</v>
      </c>
      <c r="M101" s="73">
        <f t="shared" si="31"/>
        <v>0</v>
      </c>
      <c r="N101" s="73">
        <f t="shared" si="31"/>
        <v>0</v>
      </c>
      <c r="O101" s="73">
        <f t="shared" si="31"/>
        <v>0</v>
      </c>
      <c r="P101" s="73">
        <f t="shared" si="31"/>
        <v>0</v>
      </c>
      <c r="Q101" s="73">
        <f t="shared" si="31"/>
        <v>0</v>
      </c>
      <c r="R101" s="73">
        <f t="shared" si="31"/>
        <v>0</v>
      </c>
      <c r="S101" s="73">
        <f t="shared" si="31"/>
        <v>0</v>
      </c>
      <c r="T101" s="73">
        <f t="shared" si="31"/>
        <v>0</v>
      </c>
      <c r="U101" s="73">
        <f t="shared" si="31"/>
        <v>0</v>
      </c>
      <c r="V101" s="73">
        <f t="shared" si="31"/>
        <v>0</v>
      </c>
      <c r="W101" s="73">
        <f t="shared" si="31"/>
        <v>0</v>
      </c>
      <c r="X101" s="73">
        <f t="shared" si="31"/>
        <v>0</v>
      </c>
      <c r="Y101" s="73">
        <f t="shared" si="31"/>
        <v>0</v>
      </c>
      <c r="Z101" s="73">
        <f t="shared" si="31"/>
        <v>0</v>
      </c>
      <c r="AA101" s="73">
        <f t="shared" si="31"/>
        <v>0</v>
      </c>
      <c r="AB101" s="73">
        <f t="shared" si="31"/>
        <v>0</v>
      </c>
      <c r="AC101" s="73">
        <f t="shared" si="31"/>
        <v>0</v>
      </c>
      <c r="AD101" s="73">
        <f t="shared" si="31"/>
        <v>0</v>
      </c>
      <c r="AE101" s="73">
        <f t="shared" si="31"/>
        <v>0</v>
      </c>
      <c r="AF101" s="73">
        <f t="shared" si="31"/>
        <v>0</v>
      </c>
      <c r="AG101" s="73">
        <f t="shared" si="31"/>
        <v>0</v>
      </c>
      <c r="AH101" s="73">
        <f t="shared" si="31"/>
        <v>0</v>
      </c>
      <c r="AI101" s="73">
        <f t="shared" si="31"/>
        <v>0</v>
      </c>
      <c r="AJ101" s="73">
        <f t="shared" si="31"/>
        <v>0</v>
      </c>
      <c r="AK101" s="73">
        <f t="shared" si="31"/>
        <v>0</v>
      </c>
      <c r="AL101" s="73">
        <f t="shared" si="31"/>
        <v>0</v>
      </c>
      <c r="AM101" s="73">
        <f t="shared" si="31"/>
        <v>0</v>
      </c>
      <c r="AN101" s="73">
        <f t="shared" si="31"/>
        <v>0</v>
      </c>
      <c r="AO101" s="73">
        <f t="shared" si="31"/>
        <v>0</v>
      </c>
      <c r="AP101" s="73">
        <f t="shared" si="31"/>
        <v>0</v>
      </c>
      <c r="AQ101" s="73">
        <f t="shared" si="31"/>
        <v>0</v>
      </c>
      <c r="AR101" s="73">
        <f t="shared" si="31"/>
        <v>0</v>
      </c>
      <c r="AS101" s="73">
        <f t="shared" si="31"/>
        <v>0</v>
      </c>
      <c r="AT101" s="73">
        <f t="shared" si="31"/>
        <v>0</v>
      </c>
      <c r="AU101" s="73">
        <f t="shared" si="31"/>
        <v>0</v>
      </c>
      <c r="AV101" s="73">
        <f t="shared" si="31"/>
        <v>0</v>
      </c>
      <c r="AW101" s="73">
        <f t="shared" si="31"/>
        <v>0</v>
      </c>
      <c r="AX101" s="73">
        <f t="shared" si="31"/>
        <v>0</v>
      </c>
      <c r="AY101" s="73">
        <f t="shared" si="31"/>
        <v>0</v>
      </c>
      <c r="AZ101" s="73">
        <f t="shared" si="31"/>
        <v>0</v>
      </c>
      <c r="BA101" s="73">
        <f t="shared" si="31"/>
        <v>0</v>
      </c>
      <c r="BB101" s="73">
        <f t="shared" si="31"/>
        <v>0</v>
      </c>
      <c r="BC101" s="73">
        <f t="shared" si="31"/>
        <v>0</v>
      </c>
      <c r="BD101" s="73">
        <f t="shared" si="31"/>
        <v>0</v>
      </c>
      <c r="BE101" s="73">
        <f t="shared" si="31"/>
        <v>0</v>
      </c>
      <c r="BF101" s="73">
        <f t="shared" si="31"/>
        <v>0</v>
      </c>
      <c r="BG101" s="73">
        <f t="shared" si="31"/>
        <v>0</v>
      </c>
      <c r="BH101" s="73">
        <f t="shared" si="31"/>
        <v>0</v>
      </c>
      <c r="BI101" s="73">
        <f t="shared" si="31"/>
        <v>0</v>
      </c>
    </row>
    <row r="102">
      <c r="A102" s="52" t="s">
        <v>84</v>
      </c>
      <c r="B102" s="73">
        <f t="shared" ref="B102:BI102" si="32">IF(+B$3=$A126,1,0)</f>
        <v>0</v>
      </c>
      <c r="C102" s="73">
        <f t="shared" si="32"/>
        <v>0</v>
      </c>
      <c r="D102" s="73">
        <f t="shared" si="32"/>
        <v>0</v>
      </c>
      <c r="E102" s="73">
        <f t="shared" si="32"/>
        <v>0</v>
      </c>
      <c r="F102" s="73">
        <f t="shared" si="32"/>
        <v>0</v>
      </c>
      <c r="G102" s="73">
        <f t="shared" si="32"/>
        <v>0</v>
      </c>
      <c r="H102" s="73">
        <f t="shared" si="32"/>
        <v>0</v>
      </c>
      <c r="I102" s="73">
        <f t="shared" si="32"/>
        <v>0</v>
      </c>
      <c r="J102" s="73">
        <f t="shared" si="32"/>
        <v>0</v>
      </c>
      <c r="K102" s="73">
        <f t="shared" si="32"/>
        <v>0</v>
      </c>
      <c r="L102" s="73">
        <f t="shared" si="32"/>
        <v>0</v>
      </c>
      <c r="M102" s="73">
        <f t="shared" si="32"/>
        <v>0</v>
      </c>
      <c r="N102" s="73">
        <f t="shared" si="32"/>
        <v>0</v>
      </c>
      <c r="O102" s="73">
        <f t="shared" si="32"/>
        <v>0</v>
      </c>
      <c r="P102" s="73">
        <f t="shared" si="32"/>
        <v>0</v>
      </c>
      <c r="Q102" s="73">
        <f t="shared" si="32"/>
        <v>0</v>
      </c>
      <c r="R102" s="73">
        <f t="shared" si="32"/>
        <v>0</v>
      </c>
      <c r="S102" s="73">
        <f t="shared" si="32"/>
        <v>0</v>
      </c>
      <c r="T102" s="73">
        <f t="shared" si="32"/>
        <v>0</v>
      </c>
      <c r="U102" s="73">
        <f t="shared" si="32"/>
        <v>0</v>
      </c>
      <c r="V102" s="73">
        <f t="shared" si="32"/>
        <v>0</v>
      </c>
      <c r="W102" s="73">
        <f t="shared" si="32"/>
        <v>0</v>
      </c>
      <c r="X102" s="73">
        <f t="shared" si="32"/>
        <v>0</v>
      </c>
      <c r="Y102" s="73">
        <f t="shared" si="32"/>
        <v>0</v>
      </c>
      <c r="Z102" s="73">
        <f t="shared" si="32"/>
        <v>0</v>
      </c>
      <c r="AA102" s="73">
        <f t="shared" si="32"/>
        <v>0</v>
      </c>
      <c r="AB102" s="73">
        <f t="shared" si="32"/>
        <v>0</v>
      </c>
      <c r="AC102" s="73">
        <f t="shared" si="32"/>
        <v>0</v>
      </c>
      <c r="AD102" s="73">
        <f t="shared" si="32"/>
        <v>0</v>
      </c>
      <c r="AE102" s="73">
        <f t="shared" si="32"/>
        <v>0</v>
      </c>
      <c r="AF102" s="73">
        <f t="shared" si="32"/>
        <v>0</v>
      </c>
      <c r="AG102" s="73">
        <f t="shared" si="32"/>
        <v>0</v>
      </c>
      <c r="AH102" s="73">
        <f t="shared" si="32"/>
        <v>0</v>
      </c>
      <c r="AI102" s="73">
        <f t="shared" si="32"/>
        <v>0</v>
      </c>
      <c r="AJ102" s="73">
        <f t="shared" si="32"/>
        <v>0</v>
      </c>
      <c r="AK102" s="73">
        <f t="shared" si="32"/>
        <v>0</v>
      </c>
      <c r="AL102" s="73">
        <f t="shared" si="32"/>
        <v>0</v>
      </c>
      <c r="AM102" s="73">
        <f t="shared" si="32"/>
        <v>0</v>
      </c>
      <c r="AN102" s="73">
        <f t="shared" si="32"/>
        <v>0</v>
      </c>
      <c r="AO102" s="73">
        <f t="shared" si="32"/>
        <v>0</v>
      </c>
      <c r="AP102" s="73">
        <f t="shared" si="32"/>
        <v>0</v>
      </c>
      <c r="AQ102" s="73">
        <f t="shared" si="32"/>
        <v>0</v>
      </c>
      <c r="AR102" s="73">
        <f t="shared" si="32"/>
        <v>0</v>
      </c>
      <c r="AS102" s="73">
        <f t="shared" si="32"/>
        <v>0</v>
      </c>
      <c r="AT102" s="73">
        <f t="shared" si="32"/>
        <v>0</v>
      </c>
      <c r="AU102" s="73">
        <f t="shared" si="32"/>
        <v>0</v>
      </c>
      <c r="AV102" s="73">
        <f t="shared" si="32"/>
        <v>0</v>
      </c>
      <c r="AW102" s="73">
        <f t="shared" si="32"/>
        <v>0</v>
      </c>
      <c r="AX102" s="73">
        <f t="shared" si="32"/>
        <v>0</v>
      </c>
      <c r="AY102" s="73">
        <f t="shared" si="32"/>
        <v>0</v>
      </c>
      <c r="AZ102" s="73">
        <f t="shared" si="32"/>
        <v>0</v>
      </c>
      <c r="BA102" s="73">
        <f t="shared" si="32"/>
        <v>0</v>
      </c>
      <c r="BB102" s="73">
        <f t="shared" si="32"/>
        <v>0</v>
      </c>
      <c r="BC102" s="73">
        <f t="shared" si="32"/>
        <v>0</v>
      </c>
      <c r="BD102" s="73">
        <f t="shared" si="32"/>
        <v>0</v>
      </c>
      <c r="BE102" s="73">
        <f t="shared" si="32"/>
        <v>0</v>
      </c>
      <c r="BF102" s="73">
        <f t="shared" si="32"/>
        <v>0</v>
      </c>
      <c r="BG102" s="73">
        <f t="shared" si="32"/>
        <v>0</v>
      </c>
      <c r="BH102" s="73">
        <f t="shared" si="32"/>
        <v>0</v>
      </c>
      <c r="BI102" s="73">
        <f t="shared" si="32"/>
        <v>0</v>
      </c>
    </row>
    <row r="103">
      <c r="A103" s="52" t="s">
        <v>85</v>
      </c>
      <c r="B103" s="73">
        <f t="shared" ref="B103:BI103" si="33">IF(+B$3=$A127,1,0)</f>
        <v>0</v>
      </c>
      <c r="C103" s="73">
        <f t="shared" si="33"/>
        <v>0</v>
      </c>
      <c r="D103" s="73">
        <f t="shared" si="33"/>
        <v>0</v>
      </c>
      <c r="E103" s="73">
        <f t="shared" si="33"/>
        <v>0</v>
      </c>
      <c r="F103" s="73">
        <f t="shared" si="33"/>
        <v>0</v>
      </c>
      <c r="G103" s="73">
        <f t="shared" si="33"/>
        <v>0</v>
      </c>
      <c r="H103" s="73">
        <f t="shared" si="33"/>
        <v>0</v>
      </c>
      <c r="I103" s="73">
        <f t="shared" si="33"/>
        <v>0</v>
      </c>
      <c r="J103" s="73">
        <f t="shared" si="33"/>
        <v>0</v>
      </c>
      <c r="K103" s="73">
        <f t="shared" si="33"/>
        <v>0</v>
      </c>
      <c r="L103" s="73">
        <f t="shared" si="33"/>
        <v>0</v>
      </c>
      <c r="M103" s="73">
        <f t="shared" si="33"/>
        <v>0</v>
      </c>
      <c r="N103" s="73">
        <f t="shared" si="33"/>
        <v>0</v>
      </c>
      <c r="O103" s="73">
        <f t="shared" si="33"/>
        <v>0</v>
      </c>
      <c r="P103" s="73">
        <f t="shared" si="33"/>
        <v>0</v>
      </c>
      <c r="Q103" s="73">
        <f t="shared" si="33"/>
        <v>0</v>
      </c>
      <c r="R103" s="73">
        <f t="shared" si="33"/>
        <v>0</v>
      </c>
      <c r="S103" s="73">
        <f t="shared" si="33"/>
        <v>0</v>
      </c>
      <c r="T103" s="73">
        <f t="shared" si="33"/>
        <v>0</v>
      </c>
      <c r="U103" s="73">
        <f t="shared" si="33"/>
        <v>0</v>
      </c>
      <c r="V103" s="73">
        <f t="shared" si="33"/>
        <v>0</v>
      </c>
      <c r="W103" s="73">
        <f t="shared" si="33"/>
        <v>0</v>
      </c>
      <c r="X103" s="73">
        <f t="shared" si="33"/>
        <v>0</v>
      </c>
      <c r="Y103" s="73">
        <f t="shared" si="33"/>
        <v>0</v>
      </c>
      <c r="Z103" s="73">
        <f t="shared" si="33"/>
        <v>0</v>
      </c>
      <c r="AA103" s="73">
        <f t="shared" si="33"/>
        <v>0</v>
      </c>
      <c r="AB103" s="73">
        <f t="shared" si="33"/>
        <v>0</v>
      </c>
      <c r="AC103" s="73">
        <f t="shared" si="33"/>
        <v>0</v>
      </c>
      <c r="AD103" s="73">
        <f t="shared" si="33"/>
        <v>0</v>
      </c>
      <c r="AE103" s="73">
        <f t="shared" si="33"/>
        <v>0</v>
      </c>
      <c r="AF103" s="73">
        <f t="shared" si="33"/>
        <v>0</v>
      </c>
      <c r="AG103" s="73">
        <f t="shared" si="33"/>
        <v>0</v>
      </c>
      <c r="AH103" s="73">
        <f t="shared" si="33"/>
        <v>0</v>
      </c>
      <c r="AI103" s="73">
        <f t="shared" si="33"/>
        <v>0</v>
      </c>
      <c r="AJ103" s="73">
        <f t="shared" si="33"/>
        <v>0</v>
      </c>
      <c r="AK103" s="73">
        <f t="shared" si="33"/>
        <v>0</v>
      </c>
      <c r="AL103" s="73">
        <f t="shared" si="33"/>
        <v>0</v>
      </c>
      <c r="AM103" s="73">
        <f t="shared" si="33"/>
        <v>0</v>
      </c>
      <c r="AN103" s="73">
        <f t="shared" si="33"/>
        <v>0</v>
      </c>
      <c r="AO103" s="73">
        <f t="shared" si="33"/>
        <v>0</v>
      </c>
      <c r="AP103" s="73">
        <f t="shared" si="33"/>
        <v>0</v>
      </c>
      <c r="AQ103" s="73">
        <f t="shared" si="33"/>
        <v>0</v>
      </c>
      <c r="AR103" s="73">
        <f t="shared" si="33"/>
        <v>0</v>
      </c>
      <c r="AS103" s="73">
        <f t="shared" si="33"/>
        <v>0</v>
      </c>
      <c r="AT103" s="73">
        <f t="shared" si="33"/>
        <v>0</v>
      </c>
      <c r="AU103" s="73">
        <f t="shared" si="33"/>
        <v>0</v>
      </c>
      <c r="AV103" s="73">
        <f t="shared" si="33"/>
        <v>0</v>
      </c>
      <c r="AW103" s="73">
        <f t="shared" si="33"/>
        <v>0</v>
      </c>
      <c r="AX103" s="73">
        <f t="shared" si="33"/>
        <v>0</v>
      </c>
      <c r="AY103" s="73">
        <f t="shared" si="33"/>
        <v>0</v>
      </c>
      <c r="AZ103" s="73">
        <f t="shared" si="33"/>
        <v>0</v>
      </c>
      <c r="BA103" s="73">
        <f t="shared" si="33"/>
        <v>0</v>
      </c>
      <c r="BB103" s="73">
        <f t="shared" si="33"/>
        <v>0</v>
      </c>
      <c r="BC103" s="73">
        <f t="shared" si="33"/>
        <v>0</v>
      </c>
      <c r="BD103" s="73">
        <f t="shared" si="33"/>
        <v>0</v>
      </c>
      <c r="BE103" s="73">
        <f t="shared" si="33"/>
        <v>0</v>
      </c>
      <c r="BF103" s="73">
        <f t="shared" si="33"/>
        <v>0</v>
      </c>
      <c r="BG103" s="73">
        <f t="shared" si="33"/>
        <v>0</v>
      </c>
      <c r="BH103" s="73">
        <f t="shared" si="33"/>
        <v>0</v>
      </c>
      <c r="BI103" s="73">
        <f t="shared" si="33"/>
        <v>0</v>
      </c>
    </row>
    <row r="104">
      <c r="A104" s="52" t="s">
        <v>86</v>
      </c>
      <c r="B104" s="73">
        <f t="shared" ref="B104:BI104" si="34">IF(+B$3=$A128,1,0)</f>
        <v>0</v>
      </c>
      <c r="C104" s="73">
        <f t="shared" si="34"/>
        <v>0</v>
      </c>
      <c r="D104" s="73">
        <f t="shared" si="34"/>
        <v>0</v>
      </c>
      <c r="E104" s="73">
        <f t="shared" si="34"/>
        <v>0</v>
      </c>
      <c r="F104" s="73">
        <f t="shared" si="34"/>
        <v>0</v>
      </c>
      <c r="G104" s="73">
        <f t="shared" si="34"/>
        <v>0</v>
      </c>
      <c r="H104" s="73">
        <f t="shared" si="34"/>
        <v>0</v>
      </c>
      <c r="I104" s="73">
        <f t="shared" si="34"/>
        <v>0</v>
      </c>
      <c r="J104" s="73">
        <f t="shared" si="34"/>
        <v>0</v>
      </c>
      <c r="K104" s="73">
        <f t="shared" si="34"/>
        <v>0</v>
      </c>
      <c r="L104" s="73">
        <f t="shared" si="34"/>
        <v>0</v>
      </c>
      <c r="M104" s="73">
        <f t="shared" si="34"/>
        <v>0</v>
      </c>
      <c r="N104" s="73">
        <f t="shared" si="34"/>
        <v>0</v>
      </c>
      <c r="O104" s="73">
        <f t="shared" si="34"/>
        <v>0</v>
      </c>
      <c r="P104" s="73">
        <f t="shared" si="34"/>
        <v>0</v>
      </c>
      <c r="Q104" s="73">
        <f t="shared" si="34"/>
        <v>0</v>
      </c>
      <c r="R104" s="73">
        <f t="shared" si="34"/>
        <v>0</v>
      </c>
      <c r="S104" s="73">
        <f t="shared" si="34"/>
        <v>0</v>
      </c>
      <c r="T104" s="73">
        <f t="shared" si="34"/>
        <v>0</v>
      </c>
      <c r="U104" s="73">
        <f t="shared" si="34"/>
        <v>0</v>
      </c>
      <c r="V104" s="73">
        <f t="shared" si="34"/>
        <v>0</v>
      </c>
      <c r="W104" s="73">
        <f t="shared" si="34"/>
        <v>0</v>
      </c>
      <c r="X104" s="73">
        <f t="shared" si="34"/>
        <v>0</v>
      </c>
      <c r="Y104" s="73">
        <f t="shared" si="34"/>
        <v>0</v>
      </c>
      <c r="Z104" s="73">
        <f t="shared" si="34"/>
        <v>0</v>
      </c>
      <c r="AA104" s="73">
        <f t="shared" si="34"/>
        <v>0</v>
      </c>
      <c r="AB104" s="73">
        <f t="shared" si="34"/>
        <v>0</v>
      </c>
      <c r="AC104" s="73">
        <f t="shared" si="34"/>
        <v>0</v>
      </c>
      <c r="AD104" s="73">
        <f t="shared" si="34"/>
        <v>0</v>
      </c>
      <c r="AE104" s="73">
        <f t="shared" si="34"/>
        <v>0</v>
      </c>
      <c r="AF104" s="73">
        <f t="shared" si="34"/>
        <v>0</v>
      </c>
      <c r="AG104" s="73">
        <f t="shared" si="34"/>
        <v>0</v>
      </c>
      <c r="AH104" s="73">
        <f t="shared" si="34"/>
        <v>0</v>
      </c>
      <c r="AI104" s="73">
        <f t="shared" si="34"/>
        <v>0</v>
      </c>
      <c r="AJ104" s="73">
        <f t="shared" si="34"/>
        <v>0</v>
      </c>
      <c r="AK104" s="73">
        <f t="shared" si="34"/>
        <v>0</v>
      </c>
      <c r="AL104" s="73">
        <f t="shared" si="34"/>
        <v>0</v>
      </c>
      <c r="AM104" s="73">
        <f t="shared" si="34"/>
        <v>0</v>
      </c>
      <c r="AN104" s="73">
        <f t="shared" si="34"/>
        <v>0</v>
      </c>
      <c r="AO104" s="73">
        <f t="shared" si="34"/>
        <v>0</v>
      </c>
      <c r="AP104" s="73">
        <f t="shared" si="34"/>
        <v>0</v>
      </c>
      <c r="AQ104" s="73">
        <f t="shared" si="34"/>
        <v>0</v>
      </c>
      <c r="AR104" s="73">
        <f t="shared" si="34"/>
        <v>0</v>
      </c>
      <c r="AS104" s="73">
        <f t="shared" si="34"/>
        <v>0</v>
      </c>
      <c r="AT104" s="73">
        <f t="shared" si="34"/>
        <v>0</v>
      </c>
      <c r="AU104" s="73">
        <f t="shared" si="34"/>
        <v>0</v>
      </c>
      <c r="AV104" s="73">
        <f t="shared" si="34"/>
        <v>0</v>
      </c>
      <c r="AW104" s="73">
        <f t="shared" si="34"/>
        <v>0</v>
      </c>
      <c r="AX104" s="73">
        <f t="shared" si="34"/>
        <v>0</v>
      </c>
      <c r="AY104" s="73">
        <f t="shared" si="34"/>
        <v>0</v>
      </c>
      <c r="AZ104" s="73">
        <f t="shared" si="34"/>
        <v>0</v>
      </c>
      <c r="BA104" s="73">
        <f t="shared" si="34"/>
        <v>0</v>
      </c>
      <c r="BB104" s="73">
        <f t="shared" si="34"/>
        <v>0</v>
      </c>
      <c r="BC104" s="73">
        <f t="shared" si="34"/>
        <v>0</v>
      </c>
      <c r="BD104" s="73">
        <f t="shared" si="34"/>
        <v>0</v>
      </c>
      <c r="BE104" s="73">
        <f t="shared" si="34"/>
        <v>0</v>
      </c>
      <c r="BF104" s="73">
        <f t="shared" si="34"/>
        <v>0</v>
      </c>
      <c r="BG104" s="73">
        <f t="shared" si="34"/>
        <v>0</v>
      </c>
      <c r="BH104" s="73">
        <f t="shared" si="34"/>
        <v>0</v>
      </c>
      <c r="BI104" s="73">
        <f t="shared" si="34"/>
        <v>0</v>
      </c>
    </row>
    <row r="105">
      <c r="A105" s="52" t="s">
        <v>87</v>
      </c>
      <c r="B105" s="73">
        <f t="shared" ref="B105:BI105" si="35">IF(+B$3=$A129,1,0)</f>
        <v>0</v>
      </c>
      <c r="C105" s="73">
        <f t="shared" si="35"/>
        <v>0</v>
      </c>
      <c r="D105" s="73">
        <f t="shared" si="35"/>
        <v>0</v>
      </c>
      <c r="E105" s="73">
        <f t="shared" si="35"/>
        <v>0</v>
      </c>
      <c r="F105" s="73">
        <f t="shared" si="35"/>
        <v>0</v>
      </c>
      <c r="G105" s="73">
        <f t="shared" si="35"/>
        <v>0</v>
      </c>
      <c r="H105" s="73">
        <f t="shared" si="35"/>
        <v>0</v>
      </c>
      <c r="I105" s="73">
        <f t="shared" si="35"/>
        <v>0</v>
      </c>
      <c r="J105" s="73">
        <f t="shared" si="35"/>
        <v>0</v>
      </c>
      <c r="K105" s="73">
        <f t="shared" si="35"/>
        <v>0</v>
      </c>
      <c r="L105" s="73">
        <f t="shared" si="35"/>
        <v>0</v>
      </c>
      <c r="M105" s="73">
        <f t="shared" si="35"/>
        <v>0</v>
      </c>
      <c r="N105" s="73">
        <f t="shared" si="35"/>
        <v>0</v>
      </c>
      <c r="O105" s="73">
        <f t="shared" si="35"/>
        <v>0</v>
      </c>
      <c r="P105" s="73">
        <f t="shared" si="35"/>
        <v>0</v>
      </c>
      <c r="Q105" s="73">
        <f t="shared" si="35"/>
        <v>0</v>
      </c>
      <c r="R105" s="73">
        <f t="shared" si="35"/>
        <v>0</v>
      </c>
      <c r="S105" s="73">
        <f t="shared" si="35"/>
        <v>0</v>
      </c>
      <c r="T105" s="73">
        <f t="shared" si="35"/>
        <v>0</v>
      </c>
      <c r="U105" s="73">
        <f t="shared" si="35"/>
        <v>0</v>
      </c>
      <c r="V105" s="73">
        <f t="shared" si="35"/>
        <v>0</v>
      </c>
      <c r="W105" s="73">
        <f t="shared" si="35"/>
        <v>0</v>
      </c>
      <c r="X105" s="73">
        <f t="shared" si="35"/>
        <v>0</v>
      </c>
      <c r="Y105" s="73">
        <f t="shared" si="35"/>
        <v>0</v>
      </c>
      <c r="Z105" s="73">
        <f t="shared" si="35"/>
        <v>0</v>
      </c>
      <c r="AA105" s="73">
        <f t="shared" si="35"/>
        <v>0</v>
      </c>
      <c r="AB105" s="73">
        <f t="shared" si="35"/>
        <v>0</v>
      </c>
      <c r="AC105" s="73">
        <f t="shared" si="35"/>
        <v>0</v>
      </c>
      <c r="AD105" s="73">
        <f t="shared" si="35"/>
        <v>0</v>
      </c>
      <c r="AE105" s="73">
        <f t="shared" si="35"/>
        <v>0</v>
      </c>
      <c r="AF105" s="73">
        <f t="shared" si="35"/>
        <v>0</v>
      </c>
      <c r="AG105" s="73">
        <f t="shared" si="35"/>
        <v>0</v>
      </c>
      <c r="AH105" s="73">
        <f t="shared" si="35"/>
        <v>0</v>
      </c>
      <c r="AI105" s="73">
        <f t="shared" si="35"/>
        <v>0</v>
      </c>
      <c r="AJ105" s="73">
        <f t="shared" si="35"/>
        <v>0</v>
      </c>
      <c r="AK105" s="73">
        <f t="shared" si="35"/>
        <v>0</v>
      </c>
      <c r="AL105" s="73">
        <f t="shared" si="35"/>
        <v>0</v>
      </c>
      <c r="AM105" s="73">
        <f t="shared" si="35"/>
        <v>0</v>
      </c>
      <c r="AN105" s="73">
        <f t="shared" si="35"/>
        <v>0</v>
      </c>
      <c r="AO105" s="73">
        <f t="shared" si="35"/>
        <v>0</v>
      </c>
      <c r="AP105" s="73">
        <f t="shared" si="35"/>
        <v>0</v>
      </c>
      <c r="AQ105" s="73">
        <f t="shared" si="35"/>
        <v>0</v>
      </c>
      <c r="AR105" s="73">
        <f t="shared" si="35"/>
        <v>0</v>
      </c>
      <c r="AS105" s="73">
        <f t="shared" si="35"/>
        <v>0</v>
      </c>
      <c r="AT105" s="73">
        <f t="shared" si="35"/>
        <v>0</v>
      </c>
      <c r="AU105" s="73">
        <f t="shared" si="35"/>
        <v>0</v>
      </c>
      <c r="AV105" s="73">
        <f t="shared" si="35"/>
        <v>0</v>
      </c>
      <c r="AW105" s="73">
        <f t="shared" si="35"/>
        <v>0</v>
      </c>
      <c r="AX105" s="73">
        <f t="shared" si="35"/>
        <v>0</v>
      </c>
      <c r="AY105" s="73">
        <f t="shared" si="35"/>
        <v>0</v>
      </c>
      <c r="AZ105" s="73">
        <f t="shared" si="35"/>
        <v>0</v>
      </c>
      <c r="BA105" s="73">
        <f t="shared" si="35"/>
        <v>0</v>
      </c>
      <c r="BB105" s="73">
        <f t="shared" si="35"/>
        <v>0</v>
      </c>
      <c r="BC105" s="73">
        <f t="shared" si="35"/>
        <v>0</v>
      </c>
      <c r="BD105" s="73">
        <f t="shared" si="35"/>
        <v>0</v>
      </c>
      <c r="BE105" s="73">
        <f t="shared" si="35"/>
        <v>0</v>
      </c>
      <c r="BF105" s="73">
        <f t="shared" si="35"/>
        <v>0</v>
      </c>
      <c r="BG105" s="73">
        <f t="shared" si="35"/>
        <v>0</v>
      </c>
      <c r="BH105" s="73">
        <f t="shared" si="35"/>
        <v>0</v>
      </c>
      <c r="BI105" s="73">
        <f t="shared" si="35"/>
        <v>0</v>
      </c>
    </row>
    <row r="106">
      <c r="A106" s="52" t="s">
        <v>88</v>
      </c>
      <c r="B106" s="73">
        <f t="shared" ref="B106:BI106" si="36">IF(+B$3=$A130,1,0)</f>
        <v>0</v>
      </c>
      <c r="C106" s="73">
        <f t="shared" si="36"/>
        <v>0</v>
      </c>
      <c r="D106" s="73">
        <f t="shared" si="36"/>
        <v>0</v>
      </c>
      <c r="E106" s="73">
        <f t="shared" si="36"/>
        <v>0</v>
      </c>
      <c r="F106" s="73">
        <f t="shared" si="36"/>
        <v>0</v>
      </c>
      <c r="G106" s="73">
        <f t="shared" si="36"/>
        <v>0</v>
      </c>
      <c r="H106" s="73">
        <f t="shared" si="36"/>
        <v>0</v>
      </c>
      <c r="I106" s="73">
        <f t="shared" si="36"/>
        <v>0</v>
      </c>
      <c r="J106" s="73">
        <f t="shared" si="36"/>
        <v>0</v>
      </c>
      <c r="K106" s="73">
        <f t="shared" si="36"/>
        <v>0</v>
      </c>
      <c r="L106" s="73">
        <f t="shared" si="36"/>
        <v>0</v>
      </c>
      <c r="M106" s="73">
        <f t="shared" si="36"/>
        <v>0</v>
      </c>
      <c r="N106" s="73">
        <f t="shared" si="36"/>
        <v>0</v>
      </c>
      <c r="O106" s="73">
        <f t="shared" si="36"/>
        <v>0</v>
      </c>
      <c r="P106" s="73">
        <f t="shared" si="36"/>
        <v>0</v>
      </c>
      <c r="Q106" s="73">
        <f t="shared" si="36"/>
        <v>0</v>
      </c>
      <c r="R106" s="73">
        <f t="shared" si="36"/>
        <v>0</v>
      </c>
      <c r="S106" s="73">
        <f t="shared" si="36"/>
        <v>0</v>
      </c>
      <c r="T106" s="73">
        <f t="shared" si="36"/>
        <v>0</v>
      </c>
      <c r="U106" s="73">
        <f t="shared" si="36"/>
        <v>0</v>
      </c>
      <c r="V106" s="73">
        <f t="shared" si="36"/>
        <v>0</v>
      </c>
      <c r="W106" s="73">
        <f t="shared" si="36"/>
        <v>0</v>
      </c>
      <c r="X106" s="73">
        <f t="shared" si="36"/>
        <v>0</v>
      </c>
      <c r="Y106" s="73">
        <f t="shared" si="36"/>
        <v>0</v>
      </c>
      <c r="Z106" s="73">
        <f t="shared" si="36"/>
        <v>0</v>
      </c>
      <c r="AA106" s="73">
        <f t="shared" si="36"/>
        <v>0</v>
      </c>
      <c r="AB106" s="73">
        <f t="shared" si="36"/>
        <v>0</v>
      </c>
      <c r="AC106" s="73">
        <f t="shared" si="36"/>
        <v>0</v>
      </c>
      <c r="AD106" s="73">
        <f t="shared" si="36"/>
        <v>0</v>
      </c>
      <c r="AE106" s="73">
        <f t="shared" si="36"/>
        <v>0</v>
      </c>
      <c r="AF106" s="73">
        <f t="shared" si="36"/>
        <v>0</v>
      </c>
      <c r="AG106" s="73">
        <f t="shared" si="36"/>
        <v>0</v>
      </c>
      <c r="AH106" s="73">
        <f t="shared" si="36"/>
        <v>0</v>
      </c>
      <c r="AI106" s="73">
        <f t="shared" si="36"/>
        <v>0</v>
      </c>
      <c r="AJ106" s="73">
        <f t="shared" si="36"/>
        <v>0</v>
      </c>
      <c r="AK106" s="73">
        <f t="shared" si="36"/>
        <v>0</v>
      </c>
      <c r="AL106" s="73">
        <f t="shared" si="36"/>
        <v>0</v>
      </c>
      <c r="AM106" s="73">
        <f t="shared" si="36"/>
        <v>0</v>
      </c>
      <c r="AN106" s="73">
        <f t="shared" si="36"/>
        <v>0</v>
      </c>
      <c r="AO106" s="73">
        <f t="shared" si="36"/>
        <v>0</v>
      </c>
      <c r="AP106" s="73">
        <f t="shared" si="36"/>
        <v>0</v>
      </c>
      <c r="AQ106" s="73">
        <f t="shared" si="36"/>
        <v>0</v>
      </c>
      <c r="AR106" s="73">
        <f t="shared" si="36"/>
        <v>0</v>
      </c>
      <c r="AS106" s="73">
        <f t="shared" si="36"/>
        <v>0</v>
      </c>
      <c r="AT106" s="73">
        <f t="shared" si="36"/>
        <v>0</v>
      </c>
      <c r="AU106" s="73">
        <f t="shared" si="36"/>
        <v>0</v>
      </c>
      <c r="AV106" s="73">
        <f t="shared" si="36"/>
        <v>0</v>
      </c>
      <c r="AW106" s="73">
        <f t="shared" si="36"/>
        <v>0</v>
      </c>
      <c r="AX106" s="73">
        <f t="shared" si="36"/>
        <v>0</v>
      </c>
      <c r="AY106" s="73">
        <f t="shared" si="36"/>
        <v>0</v>
      </c>
      <c r="AZ106" s="73">
        <f t="shared" si="36"/>
        <v>0</v>
      </c>
      <c r="BA106" s="73">
        <f t="shared" si="36"/>
        <v>0</v>
      </c>
      <c r="BB106" s="73">
        <f t="shared" si="36"/>
        <v>0</v>
      </c>
      <c r="BC106" s="73">
        <f t="shared" si="36"/>
        <v>0</v>
      </c>
      <c r="BD106" s="73">
        <f t="shared" si="36"/>
        <v>0</v>
      </c>
      <c r="BE106" s="73">
        <f t="shared" si="36"/>
        <v>0</v>
      </c>
      <c r="BF106" s="73">
        <f t="shared" si="36"/>
        <v>0</v>
      </c>
      <c r="BG106" s="73">
        <f t="shared" si="36"/>
        <v>0</v>
      </c>
      <c r="BH106" s="73">
        <f t="shared" si="36"/>
        <v>0</v>
      </c>
      <c r="BI106" s="73">
        <f t="shared" si="36"/>
        <v>0</v>
      </c>
    </row>
    <row r="107">
      <c r="A107" s="52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</row>
    <row r="108">
      <c r="A108" s="52" t="s">
        <v>89</v>
      </c>
      <c r="B108" s="15">
        <f t="shared" ref="B108:BI108" si="37">IF(B7&gt;0,1,0)</f>
        <v>0</v>
      </c>
      <c r="C108" s="15">
        <f t="shared" si="37"/>
        <v>0</v>
      </c>
      <c r="D108" s="15">
        <f t="shared" si="37"/>
        <v>0</v>
      </c>
      <c r="E108" s="15">
        <f t="shared" si="37"/>
        <v>0</v>
      </c>
      <c r="F108" s="15">
        <f t="shared" si="37"/>
        <v>0</v>
      </c>
      <c r="G108" s="15">
        <f t="shared" si="37"/>
        <v>0</v>
      </c>
      <c r="H108" s="15">
        <f t="shared" si="37"/>
        <v>0</v>
      </c>
      <c r="I108" s="15">
        <f t="shared" si="37"/>
        <v>0</v>
      </c>
      <c r="J108" s="15">
        <f t="shared" si="37"/>
        <v>0</v>
      </c>
      <c r="K108" s="15">
        <f t="shared" si="37"/>
        <v>0</v>
      </c>
      <c r="L108" s="15">
        <f t="shared" si="37"/>
        <v>0</v>
      </c>
      <c r="M108" s="15">
        <f t="shared" si="37"/>
        <v>0</v>
      </c>
      <c r="N108" s="15">
        <f t="shared" si="37"/>
        <v>0</v>
      </c>
      <c r="O108" s="15">
        <f t="shared" si="37"/>
        <v>0</v>
      </c>
      <c r="P108" s="15">
        <f t="shared" si="37"/>
        <v>0</v>
      </c>
      <c r="Q108" s="15">
        <f t="shared" si="37"/>
        <v>0</v>
      </c>
      <c r="R108" s="15">
        <f t="shared" si="37"/>
        <v>0</v>
      </c>
      <c r="S108" s="15">
        <f t="shared" si="37"/>
        <v>0</v>
      </c>
      <c r="T108" s="15">
        <f t="shared" si="37"/>
        <v>0</v>
      </c>
      <c r="U108" s="15">
        <f t="shared" si="37"/>
        <v>0</v>
      </c>
      <c r="V108" s="15">
        <f t="shared" si="37"/>
        <v>0</v>
      </c>
      <c r="W108" s="15">
        <f t="shared" si="37"/>
        <v>0</v>
      </c>
      <c r="X108" s="15">
        <f t="shared" si="37"/>
        <v>0</v>
      </c>
      <c r="Y108" s="15">
        <f t="shared" si="37"/>
        <v>0</v>
      </c>
      <c r="Z108" s="15">
        <f t="shared" si="37"/>
        <v>0</v>
      </c>
      <c r="AA108" s="15">
        <f t="shared" si="37"/>
        <v>0</v>
      </c>
      <c r="AB108" s="15">
        <f t="shared" si="37"/>
        <v>0</v>
      </c>
      <c r="AC108" s="15">
        <f t="shared" si="37"/>
        <v>0</v>
      </c>
      <c r="AD108" s="15">
        <f t="shared" si="37"/>
        <v>0</v>
      </c>
      <c r="AE108" s="15">
        <f t="shared" si="37"/>
        <v>0</v>
      </c>
      <c r="AF108" s="15">
        <f t="shared" si="37"/>
        <v>0</v>
      </c>
      <c r="AG108" s="15">
        <f t="shared" si="37"/>
        <v>0</v>
      </c>
      <c r="AH108" s="15">
        <f t="shared" si="37"/>
        <v>0</v>
      </c>
      <c r="AI108" s="15">
        <f t="shared" si="37"/>
        <v>0</v>
      </c>
      <c r="AJ108" s="15">
        <f t="shared" si="37"/>
        <v>0</v>
      </c>
      <c r="AK108" s="15">
        <f t="shared" si="37"/>
        <v>0</v>
      </c>
      <c r="AL108" s="15">
        <f t="shared" si="37"/>
        <v>0</v>
      </c>
      <c r="AM108" s="15">
        <f t="shared" si="37"/>
        <v>0</v>
      </c>
      <c r="AN108" s="15">
        <f t="shared" si="37"/>
        <v>0</v>
      </c>
      <c r="AO108" s="15">
        <f t="shared" si="37"/>
        <v>0</v>
      </c>
      <c r="AP108" s="15">
        <f t="shared" si="37"/>
        <v>0</v>
      </c>
      <c r="AQ108" s="15">
        <f t="shared" si="37"/>
        <v>0</v>
      </c>
      <c r="AR108" s="15">
        <f t="shared" si="37"/>
        <v>0</v>
      </c>
      <c r="AS108" s="15">
        <f t="shared" si="37"/>
        <v>0</v>
      </c>
      <c r="AT108" s="15">
        <f t="shared" si="37"/>
        <v>0</v>
      </c>
      <c r="AU108" s="15">
        <f t="shared" si="37"/>
        <v>0</v>
      </c>
      <c r="AV108" s="15">
        <f t="shared" si="37"/>
        <v>0</v>
      </c>
      <c r="AW108" s="15">
        <f t="shared" si="37"/>
        <v>0</v>
      </c>
      <c r="AX108" s="15">
        <f t="shared" si="37"/>
        <v>0</v>
      </c>
      <c r="AY108" s="15">
        <f t="shared" si="37"/>
        <v>0</v>
      </c>
      <c r="AZ108" s="15">
        <f t="shared" si="37"/>
        <v>0</v>
      </c>
      <c r="BA108" s="15">
        <f t="shared" si="37"/>
        <v>0</v>
      </c>
      <c r="BB108" s="15">
        <f t="shared" si="37"/>
        <v>0</v>
      </c>
      <c r="BC108" s="15">
        <f t="shared" si="37"/>
        <v>0</v>
      </c>
      <c r="BD108" s="15">
        <f t="shared" si="37"/>
        <v>0</v>
      </c>
      <c r="BE108" s="15">
        <f t="shared" si="37"/>
        <v>0</v>
      </c>
      <c r="BF108" s="15">
        <f t="shared" si="37"/>
        <v>0</v>
      </c>
      <c r="BG108" s="15">
        <f t="shared" si="37"/>
        <v>0</v>
      </c>
      <c r="BH108" s="15">
        <f t="shared" si="37"/>
        <v>0</v>
      </c>
      <c r="BI108" s="15">
        <f t="shared" si="37"/>
        <v>0</v>
      </c>
    </row>
    <row r="109">
      <c r="A109" s="52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</row>
    <row r="110">
      <c r="A110" s="52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</row>
    <row r="111">
      <c r="A111" s="52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</row>
    <row r="112">
      <c r="A112" s="52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</row>
    <row r="113">
      <c r="A113" s="5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</row>
    <row r="114">
      <c r="A114" s="74" t="s">
        <v>49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</row>
    <row r="115">
      <c r="A115" s="74" t="s">
        <v>50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</row>
    <row r="116">
      <c r="A116" s="74" t="s">
        <v>51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</row>
    <row r="117">
      <c r="A117" s="74" t="s">
        <v>52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</row>
    <row r="118">
      <c r="A118" s="74" t="s">
        <v>53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</row>
    <row r="119">
      <c r="A119" s="74" t="s">
        <v>54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</row>
    <row r="120">
      <c r="A120" s="74" t="s">
        <v>55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</row>
    <row r="121">
      <c r="A121" s="75" t="s">
        <v>56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</row>
    <row r="122">
      <c r="A122" s="75" t="s">
        <v>57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</row>
    <row r="123">
      <c r="A123" s="75" t="s">
        <v>58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</row>
    <row r="124">
      <c r="A124" s="75" t="s">
        <v>59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</row>
    <row r="125">
      <c r="A125" s="75" t="s">
        <v>60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</row>
    <row r="126">
      <c r="A126" s="75" t="s">
        <v>61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</row>
    <row r="127">
      <c r="A127" s="75" t="s">
        <v>62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</row>
    <row r="128">
      <c r="A128" s="75" t="s">
        <v>63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</row>
    <row r="129">
      <c r="A129" s="75" t="s">
        <v>64</v>
      </c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</row>
    <row r="130">
      <c r="A130" s="75" t="s">
        <v>65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</row>
    <row r="131">
      <c r="A131" s="7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</row>
    <row r="132">
      <c r="A132" s="73" t="s">
        <v>90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</row>
    <row r="133">
      <c r="A133" s="52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</row>
    <row r="134" ht="15.75" customHeight="1">
      <c r="A134" s="52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</row>
    <row r="135" ht="15.75" customHeight="1">
      <c r="A135" s="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</row>
    <row r="136" ht="15.75" customHeight="1">
      <c r="A136" s="52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</row>
    <row r="137" ht="15.75" customHeight="1">
      <c r="A137" s="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</row>
    <row r="138" ht="15.75" customHeight="1">
      <c r="A138" s="52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</row>
    <row r="139" ht="15.75" customHeight="1">
      <c r="A139" s="52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</row>
    <row r="140" ht="15.75" customHeight="1">
      <c r="A140" s="52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</row>
    <row r="141" ht="15.75" customHeight="1">
      <c r="A141" s="52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</row>
    <row r="142" ht="15.75" customHeight="1">
      <c r="A142" s="52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</row>
    <row r="143" ht="15.75" customHeight="1">
      <c r="A143" s="52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</row>
    <row r="144" ht="15.75" customHeight="1">
      <c r="A144" s="52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</row>
    <row r="145" ht="15.75" customHeight="1">
      <c r="A145" s="52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</row>
    <row r="146" ht="15.75" customHeight="1">
      <c r="A146" s="52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</row>
    <row r="147" ht="15.75" customHeight="1">
      <c r="A147" s="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</row>
    <row r="148" ht="15.75" customHeight="1">
      <c r="A148" s="52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</row>
    <row r="149" ht="15.75" customHeight="1">
      <c r="A149" s="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</row>
    <row r="150" ht="15.75" customHeight="1">
      <c r="A150" s="52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</row>
    <row r="151" ht="15.75" customHeight="1">
      <c r="A151" s="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</row>
    <row r="152" ht="15.75" customHeight="1">
      <c r="A152" s="52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</row>
    <row r="153" ht="15.75" customHeight="1">
      <c r="A153" s="52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</row>
    <row r="154" ht="15.75" customHeight="1">
      <c r="A154" s="52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</row>
    <row r="155" ht="15.75" customHeight="1">
      <c r="A155" s="52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</row>
    <row r="156" ht="15.75" customHeight="1">
      <c r="A156" s="52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</row>
    <row r="157" ht="15.75" customHeight="1">
      <c r="A157" s="52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</row>
    <row r="158" ht="15.75" customHeight="1">
      <c r="A158" s="52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</row>
    <row r="159" ht="15.75" customHeight="1">
      <c r="A159" s="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</row>
    <row r="160" ht="15.75" customHeight="1">
      <c r="A160" s="52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</row>
    <row r="161" ht="15.75" customHeight="1">
      <c r="A161" s="52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</row>
    <row r="162" ht="15.75" customHeight="1">
      <c r="A162" s="52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</row>
    <row r="163" ht="15.75" customHeight="1">
      <c r="A163" s="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</row>
    <row r="164" ht="15.75" customHeight="1">
      <c r="A164" s="52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</row>
    <row r="165" ht="15.75" customHeight="1">
      <c r="A165" s="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</row>
    <row r="166" ht="15.75" customHeight="1">
      <c r="A166" s="52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</row>
    <row r="167" ht="15.75" customHeight="1">
      <c r="A167" s="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</row>
    <row r="168" ht="15.75" customHeight="1">
      <c r="A168" s="52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</row>
    <row r="169" ht="15.75" customHeight="1">
      <c r="A169" s="52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</row>
    <row r="170" ht="15.75" customHeight="1">
      <c r="A170" s="52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</row>
    <row r="171" ht="15.75" customHeight="1">
      <c r="A171" s="52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</row>
    <row r="172" ht="15.75" customHeight="1">
      <c r="A172" s="52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</row>
    <row r="173" ht="15.75" customHeight="1">
      <c r="A173" s="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</row>
    <row r="174" ht="15.75" customHeight="1">
      <c r="A174" s="52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</row>
    <row r="175" ht="15.75" customHeight="1">
      <c r="A175" s="52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</row>
    <row r="176" ht="15.75" customHeight="1">
      <c r="A176" s="52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</row>
    <row r="177" ht="15.75" customHeight="1">
      <c r="A177" s="52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</row>
    <row r="178" ht="15.75" customHeight="1">
      <c r="A178" s="52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</row>
    <row r="179" ht="15.75" customHeight="1">
      <c r="A179" s="52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</row>
    <row r="180" ht="15.75" customHeight="1">
      <c r="A180" s="52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</row>
    <row r="181" ht="15.75" customHeight="1">
      <c r="A181" s="52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</row>
    <row r="182" ht="15.75" customHeight="1">
      <c r="A182" s="52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</row>
    <row r="183" ht="15.75" customHeight="1">
      <c r="A183" s="52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</row>
    <row r="184" ht="15.75" customHeight="1">
      <c r="A184" s="52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</row>
    <row r="185" ht="15.75" customHeight="1">
      <c r="A185" s="52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</row>
    <row r="186" ht="15.75" customHeight="1">
      <c r="A186" s="52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</row>
    <row r="187" ht="15.75" customHeight="1">
      <c r="A187" s="52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</row>
    <row r="188" ht="15.75" customHeight="1">
      <c r="A188" s="52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</row>
    <row r="189" ht="15.75" customHeight="1">
      <c r="A189" s="52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</row>
    <row r="190" ht="15.75" customHeight="1">
      <c r="A190" s="52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</row>
    <row r="191" ht="15.75" customHeight="1">
      <c r="A191" s="52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</row>
    <row r="192" ht="15.75" customHeight="1">
      <c r="A192" s="52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</row>
    <row r="193" ht="15.75" customHeight="1">
      <c r="A193" s="52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</row>
    <row r="194" ht="15.75" customHeight="1">
      <c r="A194" s="52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</row>
    <row r="195" ht="15.75" customHeight="1">
      <c r="A195" s="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</row>
    <row r="196" ht="15.75" customHeight="1">
      <c r="A196" s="52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</row>
    <row r="197" ht="15.75" customHeight="1">
      <c r="A197" s="52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</row>
    <row r="198" ht="15.75" customHeight="1">
      <c r="A198" s="52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</row>
    <row r="199" ht="15.75" customHeight="1">
      <c r="A199" s="52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</row>
    <row r="200" ht="15.75" customHeight="1">
      <c r="A200" s="52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</row>
    <row r="201" ht="15.75" customHeight="1">
      <c r="A201" s="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</row>
    <row r="202" ht="15.75" customHeight="1">
      <c r="A202" s="52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</row>
    <row r="203" ht="15.75" customHeight="1">
      <c r="A203" s="52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</row>
    <row r="204" ht="15.75" customHeight="1">
      <c r="A204" s="52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</row>
    <row r="205" ht="15.75" customHeight="1">
      <c r="A205" s="52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</row>
    <row r="206" ht="15.75" customHeight="1">
      <c r="A206" s="52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</row>
    <row r="207" ht="15.75" customHeight="1">
      <c r="A207" s="52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</row>
    <row r="208" ht="15.75" customHeight="1">
      <c r="A208" s="52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</row>
    <row r="209" ht="15.75" customHeight="1">
      <c r="A209" s="52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</row>
    <row r="210" ht="15.75" customHeight="1">
      <c r="A210" s="52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</row>
    <row r="211" ht="15.75" customHeight="1">
      <c r="A211" s="52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</row>
    <row r="212" ht="15.75" customHeight="1">
      <c r="A212" s="52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</row>
    <row r="213" ht="15.75" customHeight="1">
      <c r="A213" s="52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</row>
    <row r="214" ht="15.75" customHeight="1">
      <c r="A214" s="52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</row>
    <row r="215" ht="15.75" customHeight="1">
      <c r="A215" s="52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</row>
    <row r="216" ht="15.75" customHeight="1">
      <c r="A216" s="52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</row>
    <row r="217" ht="15.75" customHeight="1">
      <c r="A217" s="52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</row>
    <row r="218" ht="15.75" customHeight="1">
      <c r="A218" s="52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</row>
    <row r="219" ht="15.75" customHeight="1">
      <c r="A219" s="52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</row>
    <row r="220" ht="15.75" customHeight="1">
      <c r="A220" s="52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</row>
    <row r="221" ht="15.75" customHeight="1">
      <c r="A221" s="52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</row>
    <row r="222" ht="15.75" customHeight="1">
      <c r="A222" s="52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</row>
    <row r="223" ht="15.75" customHeight="1">
      <c r="A223" s="52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</row>
    <row r="224" ht="15.75" customHeight="1">
      <c r="A224" s="52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</row>
    <row r="225" ht="15.75" customHeight="1">
      <c r="A225" s="52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</row>
    <row r="226" ht="15.75" customHeight="1">
      <c r="A226" s="52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</row>
    <row r="227" ht="15.75" customHeight="1">
      <c r="A227" s="52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</row>
    <row r="228" ht="15.75" customHeight="1">
      <c r="A228" s="52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</row>
    <row r="229" ht="15.75" customHeight="1">
      <c r="A229" s="52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</row>
    <row r="230" ht="15.75" customHeight="1">
      <c r="A230" s="52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</row>
    <row r="231" ht="15.75" customHeight="1">
      <c r="A231" s="52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</row>
    <row r="232" ht="15.75" customHeight="1">
      <c r="A232" s="52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</row>
    <row r="233" ht="15.75" customHeight="1">
      <c r="A233" s="52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</row>
    <row r="234" ht="15.75" customHeight="1">
      <c r="A234" s="52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</row>
    <row r="235" ht="15.75" customHeight="1">
      <c r="A235" s="52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</row>
    <row r="236" ht="15.75" customHeight="1">
      <c r="A236" s="52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</row>
    <row r="237" ht="15.75" customHeight="1">
      <c r="A237" s="52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</row>
    <row r="238" ht="15.75" customHeight="1">
      <c r="A238" s="52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</row>
    <row r="239" ht="15.75" customHeight="1">
      <c r="A239" s="52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</row>
    <row r="240" ht="15.75" customHeight="1">
      <c r="A240" s="52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</row>
    <row r="241" ht="15.75" customHeight="1">
      <c r="A241" s="52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</row>
    <row r="242" ht="15.75" customHeight="1">
      <c r="A242" s="52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</row>
    <row r="243" ht="15.75" customHeight="1">
      <c r="A243" s="52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</row>
    <row r="244" ht="15.75" customHeight="1">
      <c r="A244" s="52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</row>
    <row r="245" ht="15.75" customHeight="1">
      <c r="A245" s="52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</row>
    <row r="246" ht="15.75" customHeight="1">
      <c r="A246" s="52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</row>
    <row r="247" ht="15.75" customHeight="1">
      <c r="A247" s="52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</row>
    <row r="248" ht="15.75" customHeight="1">
      <c r="A248" s="52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</row>
    <row r="249" ht="15.75" customHeight="1">
      <c r="A249" s="52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</row>
    <row r="250" ht="15.75" customHeight="1">
      <c r="A250" s="52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</row>
    <row r="251" ht="15.75" customHeight="1">
      <c r="A251" s="52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</row>
    <row r="252" ht="15.75" customHeight="1">
      <c r="A252" s="52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</row>
    <row r="253" ht="15.75" customHeight="1">
      <c r="A253" s="52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</row>
    <row r="254" ht="15.75" customHeight="1">
      <c r="A254" s="52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</row>
    <row r="255" ht="15.75" customHeight="1">
      <c r="A255" s="52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</row>
    <row r="256" ht="15.75" customHeight="1">
      <c r="A256" s="52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</row>
    <row r="257" ht="15.75" customHeight="1">
      <c r="A257" s="52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</row>
    <row r="258" ht="15.75" customHeight="1">
      <c r="A258" s="52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</row>
    <row r="259" ht="15.75" customHeight="1">
      <c r="A259" s="52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</row>
    <row r="260" ht="15.75" customHeight="1">
      <c r="A260" s="52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</row>
    <row r="261" ht="15.75" customHeight="1">
      <c r="A261" s="52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</row>
    <row r="262" ht="15.75" customHeight="1">
      <c r="A262" s="52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</row>
    <row r="263" ht="15.75" customHeight="1">
      <c r="A263" s="52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</row>
    <row r="264" ht="15.75" customHeight="1">
      <c r="A264" s="52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</row>
    <row r="265" ht="15.75" customHeight="1">
      <c r="A265" s="52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</row>
    <row r="266" ht="15.75" customHeight="1">
      <c r="A266" s="52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</row>
    <row r="267" ht="15.75" customHeight="1">
      <c r="A267" s="52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</row>
    <row r="268" ht="15.75" customHeight="1">
      <c r="A268" s="52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</row>
    <row r="269" ht="15.75" customHeight="1">
      <c r="A269" s="52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</row>
    <row r="270" ht="15.75" customHeight="1">
      <c r="A270" s="52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</row>
    <row r="271" ht="15.75" customHeight="1">
      <c r="A271" s="52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</row>
    <row r="272" ht="15.75" customHeight="1">
      <c r="A272" s="52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</row>
    <row r="273" ht="15.75" customHeight="1">
      <c r="A273" s="52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</row>
    <row r="274" ht="15.75" customHeight="1">
      <c r="A274" s="52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</row>
    <row r="275" ht="15.75" customHeight="1">
      <c r="A275" s="52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</row>
    <row r="276" ht="15.75" customHeight="1">
      <c r="A276" s="52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</row>
    <row r="277" ht="15.75" customHeight="1">
      <c r="A277" s="52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</row>
    <row r="278" ht="15.75" customHeight="1">
      <c r="A278" s="52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</row>
    <row r="279" ht="15.75" customHeight="1">
      <c r="A279" s="52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</row>
    <row r="280" ht="15.75" customHeight="1">
      <c r="A280" s="52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</row>
    <row r="281" ht="15.75" customHeight="1">
      <c r="A281" s="52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</row>
    <row r="282" ht="15.75" customHeight="1">
      <c r="A282" s="52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</row>
    <row r="283" ht="15.75" customHeight="1">
      <c r="A283" s="52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</row>
    <row r="284" ht="15.75" customHeight="1">
      <c r="A284" s="52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</row>
    <row r="285" ht="15.75" customHeight="1">
      <c r="A285" s="52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</row>
    <row r="286" ht="15.75" customHeight="1">
      <c r="A286" s="52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</row>
    <row r="287" ht="15.75" customHeight="1">
      <c r="A287" s="52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</row>
    <row r="288" ht="15.75" customHeight="1">
      <c r="A288" s="52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</row>
    <row r="289" ht="15.75" customHeight="1">
      <c r="A289" s="52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</row>
    <row r="290" ht="15.75" customHeight="1">
      <c r="A290" s="52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</row>
    <row r="291" ht="15.75" customHeight="1">
      <c r="A291" s="52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</row>
    <row r="292" ht="15.75" customHeight="1">
      <c r="A292" s="52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</row>
    <row r="293" ht="15.75" customHeight="1">
      <c r="A293" s="52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</row>
    <row r="294" ht="15.75" customHeight="1">
      <c r="A294" s="52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</row>
    <row r="295" ht="15.75" customHeight="1">
      <c r="A295" s="52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</row>
    <row r="296" ht="15.75" customHeight="1">
      <c r="A296" s="52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</row>
    <row r="297" ht="15.75" customHeight="1">
      <c r="A297" s="52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</row>
    <row r="298" ht="15.75" customHeight="1">
      <c r="A298" s="52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</row>
    <row r="299" ht="15.75" customHeight="1">
      <c r="A299" s="52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</row>
    <row r="300" ht="15.75" customHeight="1">
      <c r="A300" s="52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</row>
    <row r="301" ht="15.75" customHeight="1">
      <c r="A301" s="52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</row>
    <row r="302" ht="15.75" customHeight="1">
      <c r="A302" s="52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</row>
    <row r="303" ht="15.75" customHeight="1">
      <c r="A303" s="52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</row>
    <row r="304" ht="15.75" customHeight="1">
      <c r="A304" s="52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</row>
    <row r="305" ht="15.75" customHeight="1">
      <c r="A305" s="52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</row>
    <row r="306" ht="15.75" customHeight="1">
      <c r="A306" s="52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</row>
    <row r="307" ht="15.75" customHeight="1">
      <c r="A307" s="52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</row>
    <row r="308" ht="15.75" customHeight="1">
      <c r="A308" s="52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</row>
    <row r="309" ht="15.75" customHeight="1">
      <c r="A309" s="52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</row>
    <row r="310" ht="15.75" customHeight="1">
      <c r="A310" s="52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</row>
    <row r="311" ht="15.75" customHeight="1">
      <c r="A311" s="52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</row>
    <row r="312" ht="15.75" customHeight="1">
      <c r="A312" s="52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</row>
    <row r="313" ht="15.75" customHeight="1">
      <c r="A313" s="52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</row>
    <row r="314" ht="15.75" customHeight="1">
      <c r="A314" s="52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</row>
    <row r="315" ht="15.75" customHeight="1">
      <c r="A315" s="52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</row>
    <row r="316" ht="15.75" customHeight="1">
      <c r="A316" s="52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</row>
    <row r="317" ht="15.75" customHeight="1">
      <c r="A317" s="52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</row>
    <row r="318" ht="15.75" customHeight="1">
      <c r="A318" s="52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</row>
    <row r="319" ht="15.75" customHeight="1">
      <c r="A319" s="52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</row>
    <row r="320" ht="15.75" customHeight="1">
      <c r="A320" s="52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</row>
    <row r="321" ht="15.75" customHeight="1">
      <c r="A321" s="52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</row>
    <row r="322" ht="15.75" customHeight="1">
      <c r="A322" s="52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</row>
    <row r="323" ht="15.75" customHeight="1">
      <c r="A323" s="52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</row>
    <row r="324" ht="15.75" customHeight="1">
      <c r="A324" s="52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</row>
    <row r="325" ht="15.75" customHeight="1">
      <c r="A325" s="52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</row>
    <row r="326" ht="15.75" customHeight="1">
      <c r="A326" s="52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</row>
    <row r="327" ht="15.75" customHeight="1">
      <c r="A327" s="52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</row>
    <row r="328" ht="15.75" customHeight="1">
      <c r="A328" s="52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</row>
    <row r="329" ht="15.75" customHeight="1">
      <c r="A329" s="52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</row>
    <row r="330" ht="15.75" customHeight="1">
      <c r="A330" s="52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</row>
    <row r="331" ht="15.75" customHeight="1">
      <c r="A331" s="52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</row>
    <row r="332" ht="15.75" customHeight="1">
      <c r="A332" s="52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</row>
    <row r="333" ht="15.75" customHeight="1">
      <c r="A333" s="52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</row>
    <row r="334" ht="15.75" customHeight="1">
      <c r="A334" s="52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</row>
    <row r="335" ht="15.75" customHeight="1">
      <c r="A335" s="52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</row>
    <row r="336" ht="15.75" customHeight="1">
      <c r="A336" s="52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</row>
    <row r="337" ht="15.75" customHeight="1">
      <c r="A337" s="52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</row>
    <row r="338" ht="15.75" customHeight="1">
      <c r="A338" s="52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</row>
    <row r="339" ht="15.75" customHeight="1">
      <c r="A339" s="52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</row>
    <row r="340" ht="15.75" customHeight="1">
      <c r="A340" s="52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</row>
    <row r="341" ht="15.75" customHeight="1">
      <c r="A341" s="52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</row>
    <row r="342" ht="15.75" customHeight="1">
      <c r="A342" s="52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</row>
    <row r="343" ht="15.75" customHeight="1">
      <c r="A343" s="52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</row>
    <row r="344" ht="15.75" customHeight="1">
      <c r="A344" s="52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</row>
    <row r="345" ht="15.75" customHeight="1">
      <c r="A345" s="52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</row>
    <row r="346" ht="15.75" customHeight="1">
      <c r="A346" s="52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</row>
    <row r="347" ht="15.75" customHeight="1">
      <c r="A347" s="52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</row>
    <row r="348" ht="15.75" customHeight="1">
      <c r="A348" s="52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</row>
    <row r="349" ht="15.75" customHeight="1">
      <c r="A349" s="52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</row>
    <row r="350" ht="15.75" customHeight="1">
      <c r="A350" s="52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</row>
    <row r="351" ht="15.75" customHeight="1">
      <c r="A351" s="52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</row>
    <row r="352" ht="15.75" customHeight="1">
      <c r="A352" s="52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</row>
    <row r="353" ht="15.75" customHeight="1">
      <c r="A353" s="52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</row>
    <row r="354" ht="15.75" customHeight="1">
      <c r="A354" s="52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</row>
    <row r="355" ht="15.75" customHeight="1">
      <c r="A355" s="52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</row>
    <row r="356" ht="15.75" customHeight="1">
      <c r="A356" s="52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</row>
    <row r="357" ht="15.75" customHeight="1">
      <c r="A357" s="52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</row>
    <row r="358" ht="15.75" customHeight="1">
      <c r="A358" s="52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</row>
    <row r="359" ht="15.75" customHeight="1">
      <c r="A359" s="52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</row>
    <row r="360" ht="15.75" customHeight="1">
      <c r="A360" s="52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</row>
    <row r="361" ht="15.75" customHeight="1">
      <c r="A361" s="52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</row>
    <row r="362" ht="15.75" customHeight="1">
      <c r="A362" s="52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</row>
    <row r="363" ht="15.75" customHeight="1">
      <c r="A363" s="52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</row>
    <row r="364" ht="15.75" customHeight="1">
      <c r="A364" s="52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</row>
    <row r="365" ht="15.75" customHeight="1">
      <c r="A365" s="52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</row>
    <row r="366" ht="15.75" customHeight="1">
      <c r="A366" s="52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</row>
    <row r="367" ht="15.75" customHeight="1">
      <c r="A367" s="52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</row>
    <row r="368" ht="15.75" customHeight="1">
      <c r="A368" s="52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</row>
    <row r="369" ht="15.75" customHeight="1">
      <c r="A369" s="52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</row>
    <row r="370" ht="15.75" customHeight="1">
      <c r="A370" s="52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</row>
    <row r="371" ht="15.75" customHeight="1">
      <c r="A371" s="52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</row>
    <row r="372" ht="15.75" customHeight="1">
      <c r="A372" s="52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</row>
    <row r="373" ht="15.75" customHeight="1">
      <c r="A373" s="52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</row>
    <row r="374" ht="15.75" customHeight="1">
      <c r="A374" s="52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</row>
    <row r="375" ht="15.75" customHeight="1">
      <c r="A375" s="52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</row>
    <row r="376" ht="15.75" customHeight="1">
      <c r="A376" s="52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</row>
    <row r="377" ht="15.75" customHeight="1">
      <c r="A377" s="52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</row>
    <row r="378" ht="15.75" customHeight="1">
      <c r="A378" s="52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</row>
    <row r="379" ht="15.75" customHeight="1">
      <c r="A379" s="52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</row>
    <row r="380" ht="15.75" customHeight="1">
      <c r="A380" s="52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</row>
    <row r="381" ht="15.75" customHeight="1">
      <c r="A381" s="52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</row>
    <row r="382" ht="15.75" customHeight="1">
      <c r="A382" s="52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</row>
    <row r="383" ht="15.75" customHeight="1">
      <c r="A383" s="52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</row>
    <row r="384" ht="15.75" customHeight="1">
      <c r="A384" s="52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</row>
    <row r="385" ht="15.75" customHeight="1">
      <c r="A385" s="52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</row>
    <row r="386" ht="15.75" customHeight="1">
      <c r="A386" s="52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</row>
    <row r="387" ht="15.75" customHeight="1">
      <c r="A387" s="52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</row>
    <row r="388" ht="15.75" customHeight="1">
      <c r="A388" s="52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</row>
    <row r="389" ht="15.75" customHeight="1">
      <c r="A389" s="52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</row>
    <row r="390" ht="15.75" customHeight="1">
      <c r="A390" s="52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</row>
    <row r="391" ht="15.75" customHeight="1">
      <c r="A391" s="52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</row>
    <row r="392" ht="15.75" customHeight="1">
      <c r="A392" s="52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</row>
    <row r="393" ht="15.75" customHeight="1">
      <c r="A393" s="52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</row>
    <row r="394" ht="15.75" customHeight="1">
      <c r="A394" s="52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</row>
    <row r="395" ht="15.75" customHeight="1">
      <c r="A395" s="52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</row>
    <row r="396" ht="15.75" customHeight="1">
      <c r="A396" s="52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</row>
    <row r="397" ht="15.75" customHeight="1">
      <c r="A397" s="52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</row>
    <row r="398" ht="15.75" customHeight="1">
      <c r="A398" s="52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</row>
    <row r="399" ht="15.75" customHeight="1">
      <c r="A399" s="52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</row>
    <row r="400" ht="15.75" customHeight="1">
      <c r="A400" s="52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</row>
    <row r="401" ht="15.75" customHeight="1">
      <c r="A401" s="52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</row>
    <row r="402" ht="15.75" customHeight="1">
      <c r="A402" s="52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</row>
    <row r="403" ht="15.75" customHeight="1">
      <c r="A403" s="52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</row>
    <row r="404" ht="15.75" customHeight="1">
      <c r="A404" s="52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</row>
    <row r="405" ht="15.75" customHeight="1">
      <c r="A405" s="52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</row>
    <row r="406" ht="15.75" customHeight="1">
      <c r="A406" s="52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</row>
    <row r="407" ht="15.75" customHeight="1">
      <c r="A407" s="52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</row>
    <row r="408" ht="15.75" customHeight="1">
      <c r="A408" s="52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</row>
    <row r="409" ht="15.75" customHeight="1">
      <c r="A409" s="52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</row>
    <row r="410" ht="15.75" customHeight="1">
      <c r="A410" s="52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</row>
    <row r="411" ht="15.75" customHeight="1">
      <c r="A411" s="52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</row>
    <row r="412" ht="15.75" customHeight="1">
      <c r="A412" s="52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</row>
    <row r="413" ht="15.75" customHeight="1">
      <c r="A413" s="52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</row>
    <row r="414" ht="15.75" customHeight="1">
      <c r="A414" s="52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</row>
    <row r="415" ht="15.75" customHeight="1">
      <c r="A415" s="52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</row>
    <row r="416" ht="15.75" customHeight="1">
      <c r="A416" s="52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</row>
    <row r="417" ht="15.75" customHeight="1">
      <c r="A417" s="52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</row>
    <row r="418" ht="15.75" customHeight="1">
      <c r="A418" s="52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</row>
    <row r="419" ht="15.75" customHeight="1">
      <c r="A419" s="52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</row>
    <row r="420" ht="15.75" customHeight="1">
      <c r="A420" s="52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</row>
    <row r="421" ht="15.75" customHeight="1">
      <c r="A421" s="52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</row>
    <row r="422" ht="15.75" customHeight="1">
      <c r="A422" s="52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</row>
    <row r="423" ht="15.75" customHeight="1">
      <c r="A423" s="52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</row>
    <row r="424" ht="15.75" customHeight="1">
      <c r="A424" s="52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</row>
    <row r="425" ht="15.75" customHeight="1">
      <c r="A425" s="52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</row>
    <row r="426" ht="15.75" customHeight="1">
      <c r="A426" s="52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</row>
    <row r="427" ht="15.75" customHeight="1">
      <c r="A427" s="52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</row>
    <row r="428" ht="15.75" customHeight="1">
      <c r="A428" s="52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</row>
    <row r="429" ht="15.75" customHeight="1">
      <c r="A429" s="52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</row>
    <row r="430" ht="15.75" customHeight="1">
      <c r="A430" s="52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</row>
    <row r="431" ht="15.75" customHeight="1">
      <c r="A431" s="52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</row>
    <row r="432" ht="15.75" customHeight="1">
      <c r="A432" s="52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</row>
    <row r="433" ht="15.75" customHeight="1">
      <c r="A433" s="52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</row>
    <row r="434" ht="15.75" customHeight="1">
      <c r="A434" s="52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</row>
    <row r="435" ht="15.75" customHeight="1">
      <c r="A435" s="52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</row>
    <row r="436" ht="15.75" customHeight="1">
      <c r="A436" s="52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</row>
    <row r="437" ht="15.75" customHeight="1">
      <c r="A437" s="52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</row>
    <row r="438" ht="15.75" customHeight="1">
      <c r="A438" s="52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</row>
    <row r="439" ht="15.75" customHeight="1">
      <c r="A439" s="52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</row>
    <row r="440" ht="15.75" customHeight="1">
      <c r="A440" s="52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</row>
    <row r="441" ht="15.75" customHeight="1">
      <c r="A441" s="52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</row>
    <row r="442" ht="15.75" customHeight="1">
      <c r="A442" s="52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</row>
    <row r="443" ht="15.75" customHeight="1">
      <c r="A443" s="52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</row>
    <row r="444" ht="15.75" customHeight="1">
      <c r="A444" s="52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</row>
    <row r="445" ht="15.75" customHeight="1">
      <c r="A445" s="52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</row>
    <row r="446" ht="15.75" customHeight="1">
      <c r="A446" s="52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</row>
    <row r="447" ht="15.75" customHeight="1">
      <c r="A447" s="52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</row>
    <row r="448" ht="15.75" customHeight="1">
      <c r="A448" s="52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</row>
    <row r="449" ht="15.75" customHeight="1">
      <c r="A449" s="52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</row>
    <row r="450" ht="15.75" customHeight="1">
      <c r="A450" s="52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</row>
    <row r="451" ht="15.75" customHeight="1">
      <c r="A451" s="52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</row>
    <row r="452" ht="15.75" customHeight="1">
      <c r="A452" s="52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</row>
    <row r="453" ht="15.75" customHeight="1">
      <c r="A453" s="52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</row>
    <row r="454" ht="15.75" customHeight="1">
      <c r="A454" s="52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</row>
    <row r="455" ht="15.75" customHeight="1">
      <c r="A455" s="52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</row>
    <row r="456" ht="15.75" customHeight="1">
      <c r="A456" s="52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</row>
    <row r="457" ht="15.75" customHeight="1">
      <c r="A457" s="52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</row>
    <row r="458" ht="15.75" customHeight="1">
      <c r="A458" s="52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</row>
    <row r="459" ht="15.75" customHeight="1">
      <c r="A459" s="52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</row>
    <row r="460" ht="15.75" customHeight="1">
      <c r="A460" s="52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</row>
    <row r="461" ht="15.75" customHeight="1">
      <c r="A461" s="52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</row>
    <row r="462" ht="15.75" customHeight="1">
      <c r="A462" s="52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</row>
    <row r="463" ht="15.75" customHeight="1">
      <c r="A463" s="52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</row>
    <row r="464" ht="15.75" customHeight="1">
      <c r="A464" s="52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</row>
    <row r="465" ht="15.75" customHeight="1">
      <c r="A465" s="52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</row>
    <row r="466" ht="15.75" customHeight="1">
      <c r="A466" s="52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</row>
    <row r="467" ht="15.75" customHeight="1">
      <c r="A467" s="52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</row>
    <row r="468" ht="15.75" customHeight="1">
      <c r="A468" s="52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</row>
    <row r="469" ht="15.75" customHeight="1">
      <c r="A469" s="52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</row>
    <row r="470" ht="15.75" customHeight="1">
      <c r="A470" s="52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</row>
    <row r="471" ht="15.75" customHeight="1">
      <c r="A471" s="52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</row>
    <row r="472" ht="15.75" customHeight="1">
      <c r="A472" s="52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</row>
    <row r="473" ht="15.75" customHeight="1">
      <c r="A473" s="52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</row>
    <row r="474" ht="15.75" customHeight="1">
      <c r="A474" s="52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</row>
    <row r="475" ht="15.75" customHeight="1">
      <c r="A475" s="52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</row>
    <row r="476" ht="15.75" customHeight="1">
      <c r="A476" s="52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</row>
    <row r="477" ht="15.75" customHeight="1">
      <c r="A477" s="52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</row>
    <row r="478" ht="15.75" customHeight="1">
      <c r="A478" s="52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</row>
    <row r="479" ht="15.75" customHeight="1">
      <c r="A479" s="52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</row>
    <row r="480" ht="15.75" customHeight="1">
      <c r="A480" s="52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</row>
    <row r="481" ht="15.75" customHeight="1">
      <c r="A481" s="52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</row>
    <row r="482" ht="15.75" customHeight="1">
      <c r="A482" s="52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</row>
    <row r="483" ht="15.75" customHeight="1">
      <c r="A483" s="52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</row>
    <row r="484" ht="15.75" customHeight="1">
      <c r="A484" s="52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</row>
    <row r="485" ht="15.75" customHeight="1">
      <c r="A485" s="52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</row>
    <row r="486" ht="15.75" customHeight="1">
      <c r="A486" s="52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</row>
    <row r="487" ht="15.75" customHeight="1">
      <c r="A487" s="52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</row>
    <row r="488" ht="15.75" customHeight="1">
      <c r="A488" s="52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</row>
    <row r="489" ht="15.75" customHeight="1">
      <c r="A489" s="52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</row>
    <row r="490" ht="15.75" customHeight="1">
      <c r="A490" s="52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</row>
    <row r="491" ht="15.75" customHeight="1">
      <c r="A491" s="52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</row>
    <row r="492" ht="15.75" customHeight="1">
      <c r="A492" s="52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</row>
    <row r="493" ht="15.75" customHeight="1">
      <c r="A493" s="52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</row>
    <row r="494" ht="15.75" customHeight="1">
      <c r="A494" s="52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</row>
    <row r="495" ht="15.75" customHeight="1">
      <c r="A495" s="52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</row>
    <row r="496" ht="15.75" customHeight="1">
      <c r="A496" s="52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</row>
    <row r="497" ht="15.75" customHeight="1">
      <c r="A497" s="52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</row>
    <row r="498" ht="15.75" customHeight="1">
      <c r="A498" s="52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</row>
    <row r="499" ht="15.75" customHeight="1">
      <c r="A499" s="52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</row>
    <row r="500" ht="15.75" customHeight="1">
      <c r="A500" s="52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</row>
    <row r="501" ht="15.75" customHeight="1">
      <c r="A501" s="52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</row>
    <row r="502" ht="15.75" customHeight="1">
      <c r="A502" s="52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</row>
    <row r="503" ht="15.75" customHeight="1">
      <c r="A503" s="52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</row>
    <row r="504" ht="15.75" customHeight="1">
      <c r="A504" s="52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</row>
    <row r="505" ht="15.75" customHeight="1">
      <c r="A505" s="52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</row>
    <row r="506" ht="15.75" customHeight="1">
      <c r="A506" s="52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</row>
    <row r="507" ht="15.75" customHeight="1">
      <c r="A507" s="52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</row>
    <row r="508" ht="15.75" customHeight="1">
      <c r="A508" s="52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</row>
    <row r="509" ht="15.75" customHeight="1">
      <c r="A509" s="52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</row>
    <row r="510" ht="15.75" customHeight="1">
      <c r="A510" s="52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</row>
    <row r="511" ht="15.75" customHeight="1">
      <c r="A511" s="52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</row>
    <row r="512" ht="15.75" customHeight="1">
      <c r="A512" s="52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</row>
    <row r="513" ht="15.75" customHeight="1">
      <c r="A513" s="52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</row>
    <row r="514" ht="15.75" customHeight="1">
      <c r="A514" s="52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</row>
    <row r="515" ht="15.75" customHeight="1">
      <c r="A515" s="52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</row>
    <row r="516" ht="15.75" customHeight="1">
      <c r="A516" s="52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</row>
    <row r="517" ht="15.75" customHeight="1">
      <c r="A517" s="52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</row>
    <row r="518" ht="15.75" customHeight="1">
      <c r="A518" s="52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</row>
    <row r="519" ht="15.75" customHeight="1">
      <c r="A519" s="52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</row>
    <row r="520" ht="15.75" customHeight="1">
      <c r="A520" s="52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</row>
    <row r="521" ht="15.75" customHeight="1">
      <c r="A521" s="52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</row>
    <row r="522" ht="15.75" customHeight="1">
      <c r="A522" s="52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</row>
    <row r="523" ht="15.75" customHeight="1">
      <c r="A523" s="52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</row>
    <row r="524" ht="15.75" customHeight="1">
      <c r="A524" s="52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</row>
    <row r="525" ht="15.75" customHeight="1">
      <c r="A525" s="52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</row>
    <row r="526" ht="15.75" customHeight="1">
      <c r="A526" s="52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</row>
    <row r="527" ht="15.75" customHeight="1">
      <c r="A527" s="52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</row>
    <row r="528" ht="15.75" customHeight="1">
      <c r="A528" s="52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</row>
    <row r="529" ht="15.75" customHeight="1">
      <c r="A529" s="52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</row>
    <row r="530" ht="15.75" customHeight="1">
      <c r="A530" s="52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</row>
    <row r="531" ht="15.75" customHeight="1">
      <c r="A531" s="52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</row>
    <row r="532" ht="15.75" customHeight="1">
      <c r="A532" s="52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</row>
    <row r="533" ht="15.75" customHeight="1">
      <c r="A533" s="52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</row>
    <row r="534" ht="15.75" customHeight="1">
      <c r="A534" s="52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</row>
    <row r="535" ht="15.75" customHeight="1">
      <c r="A535" s="52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</row>
    <row r="536" ht="15.75" customHeight="1">
      <c r="A536" s="52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</row>
    <row r="537" ht="15.75" customHeight="1">
      <c r="A537" s="52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</row>
    <row r="538" ht="15.75" customHeight="1">
      <c r="A538" s="52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</row>
    <row r="539" ht="15.75" customHeight="1">
      <c r="A539" s="52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</row>
    <row r="540" ht="15.75" customHeight="1">
      <c r="A540" s="52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</row>
    <row r="541" ht="15.75" customHeight="1">
      <c r="A541" s="52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</row>
    <row r="542" ht="15.75" customHeight="1">
      <c r="A542" s="52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</row>
    <row r="543" ht="15.75" customHeight="1">
      <c r="A543" s="52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</row>
    <row r="544" ht="15.75" customHeight="1">
      <c r="A544" s="52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</row>
    <row r="545" ht="15.75" customHeight="1">
      <c r="A545" s="52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</row>
    <row r="546" ht="15.75" customHeight="1">
      <c r="A546" s="52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</row>
    <row r="547" ht="15.75" customHeight="1">
      <c r="A547" s="52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</row>
    <row r="548" ht="15.75" customHeight="1">
      <c r="A548" s="52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</row>
    <row r="549" ht="15.75" customHeight="1">
      <c r="A549" s="52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</row>
    <row r="550" ht="15.75" customHeight="1">
      <c r="A550" s="52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</row>
    <row r="551" ht="15.75" customHeight="1">
      <c r="A551" s="52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</row>
    <row r="552" ht="15.75" customHeight="1">
      <c r="A552" s="52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</row>
    <row r="553" ht="15.75" customHeight="1">
      <c r="A553" s="52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</row>
    <row r="554" ht="15.75" customHeight="1">
      <c r="A554" s="52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</row>
    <row r="555" ht="15.75" customHeight="1">
      <c r="A555" s="52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</row>
    <row r="556" ht="15.75" customHeight="1">
      <c r="A556" s="52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</row>
    <row r="557" ht="15.75" customHeight="1">
      <c r="A557" s="52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</row>
    <row r="558" ht="15.75" customHeight="1">
      <c r="A558" s="52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</row>
    <row r="559" ht="15.75" customHeight="1">
      <c r="A559" s="52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</row>
    <row r="560" ht="15.75" customHeight="1">
      <c r="A560" s="52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</row>
    <row r="561" ht="15.75" customHeight="1">
      <c r="A561" s="52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</row>
    <row r="562" ht="15.75" customHeight="1">
      <c r="A562" s="52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</row>
    <row r="563" ht="15.75" customHeight="1">
      <c r="A563" s="52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</row>
    <row r="564" ht="15.75" customHeight="1">
      <c r="A564" s="52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</row>
    <row r="565" ht="15.75" customHeight="1">
      <c r="A565" s="52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</row>
    <row r="566" ht="15.75" customHeight="1">
      <c r="A566" s="52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</row>
    <row r="567" ht="15.75" customHeight="1">
      <c r="A567" s="52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</row>
    <row r="568" ht="15.75" customHeight="1">
      <c r="A568" s="52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</row>
    <row r="569" ht="15.75" customHeight="1">
      <c r="A569" s="52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</row>
    <row r="570" ht="15.75" customHeight="1">
      <c r="A570" s="52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</row>
    <row r="571" ht="15.75" customHeight="1">
      <c r="A571" s="52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</row>
    <row r="572" ht="15.75" customHeight="1">
      <c r="A572" s="52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</row>
    <row r="573" ht="15.75" customHeight="1">
      <c r="A573" s="52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</row>
    <row r="574" ht="15.75" customHeight="1">
      <c r="A574" s="52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</row>
    <row r="575" ht="15.75" customHeight="1">
      <c r="A575" s="52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</row>
    <row r="576" ht="15.75" customHeight="1">
      <c r="A576" s="52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</row>
    <row r="577" ht="15.75" customHeight="1">
      <c r="A577" s="52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</row>
    <row r="578" ht="15.75" customHeight="1">
      <c r="A578" s="52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</row>
    <row r="579" ht="15.75" customHeight="1">
      <c r="A579" s="52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</row>
    <row r="580" ht="15.75" customHeight="1">
      <c r="A580" s="52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</row>
    <row r="581" ht="15.75" customHeight="1">
      <c r="A581" s="52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</row>
    <row r="582" ht="15.75" customHeight="1">
      <c r="A582" s="52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</row>
    <row r="583" ht="15.75" customHeight="1">
      <c r="A583" s="52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</row>
    <row r="584" ht="15.75" customHeight="1">
      <c r="A584" s="52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</row>
    <row r="585" ht="15.75" customHeight="1">
      <c r="A585" s="52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</row>
    <row r="586" ht="15.75" customHeight="1">
      <c r="A586" s="52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</row>
    <row r="587" ht="15.75" customHeight="1">
      <c r="A587" s="52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</row>
    <row r="588" ht="15.75" customHeight="1">
      <c r="A588" s="52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</row>
    <row r="589" ht="15.75" customHeight="1">
      <c r="A589" s="52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</row>
    <row r="590" ht="15.75" customHeight="1">
      <c r="A590" s="52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</row>
    <row r="591" ht="15.75" customHeight="1">
      <c r="A591" s="52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</row>
    <row r="592" ht="15.75" customHeight="1">
      <c r="A592" s="52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</row>
    <row r="593" ht="15.75" customHeight="1">
      <c r="A593" s="52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</row>
    <row r="594" ht="15.75" customHeight="1">
      <c r="A594" s="52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</row>
    <row r="595" ht="15.75" customHeight="1">
      <c r="A595" s="52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</row>
    <row r="596" ht="15.75" customHeight="1">
      <c r="A596" s="52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</row>
    <row r="597" ht="15.75" customHeight="1">
      <c r="A597" s="52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</row>
    <row r="598" ht="15.75" customHeight="1">
      <c r="A598" s="52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</row>
    <row r="599" ht="15.75" customHeight="1">
      <c r="A599" s="52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</row>
    <row r="600" ht="15.75" customHeight="1">
      <c r="A600" s="52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</row>
    <row r="601" ht="15.75" customHeight="1">
      <c r="A601" s="52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</row>
    <row r="602" ht="15.75" customHeight="1">
      <c r="A602" s="52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</row>
    <row r="603" ht="15.75" customHeight="1">
      <c r="A603" s="52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</row>
    <row r="604" ht="15.75" customHeight="1">
      <c r="A604" s="52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</row>
    <row r="605" ht="15.75" customHeight="1">
      <c r="A605" s="52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</row>
    <row r="606" ht="15.75" customHeight="1">
      <c r="A606" s="52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</row>
    <row r="607" ht="15.75" customHeight="1">
      <c r="A607" s="52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</row>
    <row r="608" ht="15.75" customHeight="1">
      <c r="A608" s="52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</row>
    <row r="609" ht="15.75" customHeight="1">
      <c r="A609" s="52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</row>
    <row r="610" ht="15.75" customHeight="1">
      <c r="A610" s="52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</row>
    <row r="611" ht="15.75" customHeight="1">
      <c r="A611" s="52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</row>
    <row r="612" ht="15.75" customHeight="1">
      <c r="A612" s="52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</row>
    <row r="613" ht="15.75" customHeight="1">
      <c r="A613" s="52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</row>
    <row r="614" ht="15.75" customHeight="1">
      <c r="A614" s="52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</row>
    <row r="615" ht="15.75" customHeight="1">
      <c r="A615" s="52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</row>
    <row r="616" ht="15.75" customHeight="1">
      <c r="A616" s="52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</row>
    <row r="617" ht="15.75" customHeight="1">
      <c r="A617" s="52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</row>
    <row r="618" ht="15.75" customHeight="1">
      <c r="A618" s="52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</row>
    <row r="619" ht="15.75" customHeight="1">
      <c r="A619" s="52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</row>
    <row r="620" ht="15.75" customHeight="1">
      <c r="A620" s="52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</row>
    <row r="621" ht="15.75" customHeight="1">
      <c r="A621" s="52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</row>
    <row r="622" ht="15.75" customHeight="1">
      <c r="A622" s="52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</row>
    <row r="623" ht="15.75" customHeight="1">
      <c r="A623" s="52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</row>
    <row r="624" ht="15.75" customHeight="1">
      <c r="A624" s="52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</row>
    <row r="625" ht="15.75" customHeight="1">
      <c r="A625" s="52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</row>
    <row r="626" ht="15.75" customHeight="1">
      <c r="A626" s="52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</row>
    <row r="627" ht="15.75" customHeight="1">
      <c r="A627" s="52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</row>
    <row r="628" ht="15.75" customHeight="1">
      <c r="A628" s="52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</row>
    <row r="629" ht="15.75" customHeight="1">
      <c r="A629" s="52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</row>
    <row r="630" ht="15.75" customHeight="1">
      <c r="A630" s="52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</row>
    <row r="631" ht="15.75" customHeight="1">
      <c r="A631" s="52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</row>
    <row r="632" ht="15.75" customHeight="1">
      <c r="A632" s="52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</row>
    <row r="633" ht="15.75" customHeight="1">
      <c r="A633" s="52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</row>
    <row r="634" ht="15.75" customHeight="1">
      <c r="A634" s="52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</row>
    <row r="635" ht="15.75" customHeight="1">
      <c r="A635" s="52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</row>
    <row r="636" ht="15.75" customHeight="1">
      <c r="A636" s="52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</row>
    <row r="637" ht="15.75" customHeight="1">
      <c r="A637" s="52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</row>
    <row r="638" ht="15.75" customHeight="1">
      <c r="A638" s="52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</row>
    <row r="639" ht="15.75" customHeight="1">
      <c r="A639" s="52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</row>
    <row r="640" ht="15.75" customHeight="1">
      <c r="A640" s="52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</row>
    <row r="641" ht="15.75" customHeight="1">
      <c r="A641" s="52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</row>
    <row r="642" ht="15.75" customHeight="1">
      <c r="A642" s="52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</row>
    <row r="643" ht="15.75" customHeight="1">
      <c r="A643" s="52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</row>
    <row r="644" ht="15.75" customHeight="1">
      <c r="A644" s="52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</row>
    <row r="645" ht="15.75" customHeight="1">
      <c r="A645" s="52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</row>
    <row r="646" ht="15.75" customHeight="1">
      <c r="A646" s="52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</row>
    <row r="647" ht="15.75" customHeight="1">
      <c r="A647" s="52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</row>
    <row r="648" ht="15.75" customHeight="1">
      <c r="A648" s="52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</row>
    <row r="649" ht="15.75" customHeight="1">
      <c r="A649" s="52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</row>
    <row r="650" ht="15.75" customHeight="1">
      <c r="A650" s="52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</row>
    <row r="651" ht="15.75" customHeight="1">
      <c r="A651" s="52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</row>
    <row r="652" ht="15.75" customHeight="1">
      <c r="A652" s="52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</row>
    <row r="653" ht="15.75" customHeight="1">
      <c r="A653" s="52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</row>
    <row r="654" ht="15.75" customHeight="1">
      <c r="A654" s="52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</row>
    <row r="655" ht="15.75" customHeight="1">
      <c r="A655" s="52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</row>
    <row r="656" ht="15.75" customHeight="1">
      <c r="A656" s="52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</row>
    <row r="657" ht="15.75" customHeight="1">
      <c r="A657" s="52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</row>
    <row r="658" ht="15.75" customHeight="1">
      <c r="A658" s="52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</row>
    <row r="659" ht="15.75" customHeight="1">
      <c r="A659" s="52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</row>
    <row r="660" ht="15.75" customHeight="1">
      <c r="A660" s="52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</row>
    <row r="661" ht="15.75" customHeight="1">
      <c r="A661" s="52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</row>
    <row r="662" ht="15.75" customHeight="1">
      <c r="A662" s="52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</row>
    <row r="663" ht="15.75" customHeight="1">
      <c r="A663" s="52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</row>
    <row r="664" ht="15.75" customHeight="1">
      <c r="A664" s="52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</row>
    <row r="665" ht="15.75" customHeight="1">
      <c r="A665" s="52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</row>
    <row r="666" ht="15.75" customHeight="1">
      <c r="A666" s="52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</row>
    <row r="667" ht="15.75" customHeight="1">
      <c r="A667" s="52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</row>
    <row r="668" ht="15.75" customHeight="1">
      <c r="A668" s="52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</row>
    <row r="669" ht="15.75" customHeight="1">
      <c r="A669" s="52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</row>
    <row r="670" ht="15.75" customHeight="1">
      <c r="A670" s="52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</row>
    <row r="671" ht="15.75" customHeight="1">
      <c r="A671" s="52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</row>
    <row r="672" ht="15.75" customHeight="1">
      <c r="A672" s="52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</row>
    <row r="673" ht="15.75" customHeight="1">
      <c r="A673" s="52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</row>
    <row r="674" ht="15.75" customHeight="1">
      <c r="A674" s="52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</row>
    <row r="675" ht="15.75" customHeight="1">
      <c r="A675" s="52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</row>
    <row r="676" ht="15.75" customHeight="1">
      <c r="A676" s="52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</row>
    <row r="677" ht="15.75" customHeight="1">
      <c r="A677" s="52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</row>
    <row r="678" ht="15.75" customHeight="1">
      <c r="A678" s="52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</row>
    <row r="679" ht="15.75" customHeight="1">
      <c r="A679" s="52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</row>
    <row r="680" ht="15.75" customHeight="1">
      <c r="A680" s="52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</row>
    <row r="681" ht="15.75" customHeight="1">
      <c r="A681" s="52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</row>
    <row r="682" ht="15.75" customHeight="1">
      <c r="A682" s="52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</row>
    <row r="683" ht="15.75" customHeight="1">
      <c r="A683" s="52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</row>
    <row r="684" ht="15.75" customHeight="1">
      <c r="A684" s="52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</row>
    <row r="685" ht="15.75" customHeight="1">
      <c r="A685" s="52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</row>
    <row r="686" ht="15.75" customHeight="1">
      <c r="A686" s="52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</row>
    <row r="687" ht="15.75" customHeight="1">
      <c r="A687" s="52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</row>
    <row r="688" ht="15.75" customHeight="1">
      <c r="A688" s="52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</row>
    <row r="689" ht="15.75" customHeight="1">
      <c r="A689" s="52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</row>
    <row r="690" ht="15.75" customHeight="1">
      <c r="A690" s="52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</row>
    <row r="691" ht="15.75" customHeight="1">
      <c r="A691" s="52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</row>
    <row r="692" ht="15.75" customHeight="1">
      <c r="A692" s="52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</row>
    <row r="693" ht="15.75" customHeight="1">
      <c r="A693" s="52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</row>
    <row r="694" ht="15.75" customHeight="1">
      <c r="A694" s="52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</row>
    <row r="695" ht="15.75" customHeight="1">
      <c r="A695" s="52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</row>
    <row r="696" ht="15.75" customHeight="1">
      <c r="A696" s="52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</row>
    <row r="697" ht="15.75" customHeight="1">
      <c r="A697" s="52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</row>
    <row r="698" ht="15.75" customHeight="1">
      <c r="A698" s="52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</row>
    <row r="699" ht="15.75" customHeight="1">
      <c r="A699" s="52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</row>
    <row r="700" ht="15.75" customHeight="1">
      <c r="A700" s="52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</row>
    <row r="701" ht="15.75" customHeight="1">
      <c r="A701" s="52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</row>
    <row r="702" ht="15.75" customHeight="1">
      <c r="A702" s="52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</row>
    <row r="703" ht="15.75" customHeight="1">
      <c r="A703" s="52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</row>
    <row r="704" ht="15.75" customHeight="1">
      <c r="A704" s="52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</row>
    <row r="705" ht="15.75" customHeight="1">
      <c r="A705" s="52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</row>
    <row r="706" ht="15.75" customHeight="1">
      <c r="A706" s="52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</row>
    <row r="707" ht="15.75" customHeight="1">
      <c r="A707" s="52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</row>
    <row r="708" ht="15.75" customHeight="1">
      <c r="A708" s="52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</row>
    <row r="709" ht="15.75" customHeight="1">
      <c r="A709" s="52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</row>
    <row r="710" ht="15.75" customHeight="1">
      <c r="A710" s="52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</row>
    <row r="711" ht="15.75" customHeight="1">
      <c r="A711" s="52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</row>
    <row r="712" ht="15.75" customHeight="1">
      <c r="A712" s="52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</row>
    <row r="713" ht="15.75" customHeight="1">
      <c r="A713" s="52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</row>
    <row r="714" ht="15.75" customHeight="1">
      <c r="A714" s="52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</row>
    <row r="715" ht="15.75" customHeight="1">
      <c r="A715" s="52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</row>
    <row r="716" ht="15.75" customHeight="1">
      <c r="A716" s="52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</row>
    <row r="717" ht="15.75" customHeight="1">
      <c r="A717" s="52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</row>
    <row r="718" ht="15.75" customHeight="1">
      <c r="A718" s="52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</row>
    <row r="719" ht="15.75" customHeight="1">
      <c r="A719" s="52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</row>
    <row r="720" ht="15.75" customHeight="1">
      <c r="A720" s="52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</row>
    <row r="721" ht="15.75" customHeight="1">
      <c r="A721" s="52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</row>
    <row r="722" ht="15.75" customHeight="1">
      <c r="A722" s="52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</row>
    <row r="723" ht="15.75" customHeight="1">
      <c r="A723" s="52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</row>
    <row r="724" ht="15.75" customHeight="1">
      <c r="A724" s="52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</row>
    <row r="725" ht="15.75" customHeight="1">
      <c r="A725" s="52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</row>
    <row r="726" ht="15.75" customHeight="1">
      <c r="A726" s="52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</row>
    <row r="727" ht="15.75" customHeight="1">
      <c r="A727" s="52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</row>
    <row r="728" ht="15.75" customHeight="1">
      <c r="A728" s="52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</row>
    <row r="729" ht="15.75" customHeight="1">
      <c r="A729" s="52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</row>
    <row r="730" ht="15.75" customHeight="1">
      <c r="A730" s="52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</row>
    <row r="731" ht="15.75" customHeight="1">
      <c r="A731" s="52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</row>
    <row r="732" ht="15.75" customHeight="1">
      <c r="A732" s="52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</row>
    <row r="733" ht="15.75" customHeight="1">
      <c r="A733" s="52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</row>
    <row r="734" ht="15.75" customHeight="1">
      <c r="A734" s="52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</row>
    <row r="735" ht="15.75" customHeight="1">
      <c r="A735" s="52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</row>
    <row r="736" ht="15.75" customHeight="1">
      <c r="A736" s="52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</row>
    <row r="737" ht="15.75" customHeight="1">
      <c r="A737" s="52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</row>
    <row r="738" ht="15.75" customHeight="1">
      <c r="A738" s="52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</row>
    <row r="739" ht="15.75" customHeight="1">
      <c r="A739" s="52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</row>
    <row r="740" ht="15.75" customHeight="1">
      <c r="A740" s="52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</row>
    <row r="741" ht="15.75" customHeight="1">
      <c r="A741" s="52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</row>
    <row r="742" ht="15.75" customHeight="1">
      <c r="A742" s="52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</row>
    <row r="743" ht="15.75" customHeight="1">
      <c r="A743" s="52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</row>
    <row r="744" ht="15.75" customHeight="1">
      <c r="A744" s="52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</row>
    <row r="745" ht="15.75" customHeight="1">
      <c r="A745" s="52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</row>
    <row r="746" ht="15.75" customHeight="1">
      <c r="A746" s="52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</row>
    <row r="747" ht="15.75" customHeight="1">
      <c r="A747" s="52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</row>
    <row r="748" ht="15.75" customHeight="1">
      <c r="A748" s="52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</row>
    <row r="749" ht="15.75" customHeight="1">
      <c r="A749" s="52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</row>
    <row r="750" ht="15.75" customHeight="1">
      <c r="A750" s="52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</row>
    <row r="751" ht="15.75" customHeight="1">
      <c r="A751" s="52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</row>
    <row r="752" ht="15.75" customHeight="1">
      <c r="A752" s="52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</row>
    <row r="753" ht="15.75" customHeight="1">
      <c r="A753" s="52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</row>
    <row r="754" ht="15.75" customHeight="1">
      <c r="A754" s="52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</row>
    <row r="755" ht="15.75" customHeight="1">
      <c r="A755" s="52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</row>
    <row r="756" ht="15.75" customHeight="1">
      <c r="A756" s="52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</row>
    <row r="757" ht="15.75" customHeight="1">
      <c r="A757" s="52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</row>
    <row r="758" ht="15.75" customHeight="1">
      <c r="A758" s="52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</row>
    <row r="759" ht="15.75" customHeight="1">
      <c r="A759" s="52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</row>
    <row r="760" ht="15.75" customHeight="1">
      <c r="A760" s="52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</row>
    <row r="761" ht="15.75" customHeight="1">
      <c r="A761" s="52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</row>
    <row r="762" ht="15.75" customHeight="1">
      <c r="A762" s="52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</row>
    <row r="763" ht="15.75" customHeight="1">
      <c r="A763" s="52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</row>
    <row r="764" ht="15.75" customHeight="1">
      <c r="A764" s="52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</row>
    <row r="765" ht="15.75" customHeight="1">
      <c r="A765" s="52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</row>
    <row r="766" ht="15.75" customHeight="1">
      <c r="A766" s="52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</row>
    <row r="767" ht="15.75" customHeight="1">
      <c r="A767" s="52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</row>
    <row r="768" ht="15.75" customHeight="1">
      <c r="A768" s="52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</row>
    <row r="769" ht="15.75" customHeight="1">
      <c r="A769" s="52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</row>
    <row r="770" ht="15.75" customHeight="1">
      <c r="A770" s="52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</row>
    <row r="771" ht="15.75" customHeight="1">
      <c r="A771" s="52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</row>
    <row r="772" ht="15.75" customHeight="1">
      <c r="A772" s="52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</row>
    <row r="773" ht="15.75" customHeight="1">
      <c r="A773" s="52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</row>
    <row r="774" ht="15.75" customHeight="1">
      <c r="A774" s="52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</row>
    <row r="775" ht="15.75" customHeight="1">
      <c r="A775" s="52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</row>
    <row r="776" ht="15.75" customHeight="1">
      <c r="A776" s="52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</row>
    <row r="777" ht="15.75" customHeight="1">
      <c r="A777" s="52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</row>
    <row r="778" ht="15.75" customHeight="1">
      <c r="A778" s="52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</row>
    <row r="779" ht="15.75" customHeight="1">
      <c r="A779" s="52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</row>
    <row r="780" ht="15.75" customHeight="1">
      <c r="A780" s="52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</row>
    <row r="781" ht="15.75" customHeight="1">
      <c r="A781" s="52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</row>
    <row r="782" ht="15.75" customHeight="1">
      <c r="A782" s="52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</row>
    <row r="783" ht="15.75" customHeight="1">
      <c r="A783" s="52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</row>
    <row r="784" ht="15.75" customHeight="1">
      <c r="A784" s="52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</row>
    <row r="785" ht="15.75" customHeight="1">
      <c r="A785" s="52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</row>
    <row r="786" ht="15.75" customHeight="1">
      <c r="A786" s="52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</row>
    <row r="787" ht="15.75" customHeight="1">
      <c r="A787" s="52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</row>
    <row r="788" ht="15.75" customHeight="1">
      <c r="A788" s="52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</row>
    <row r="789" ht="15.75" customHeight="1">
      <c r="A789" s="52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</row>
    <row r="790" ht="15.75" customHeight="1">
      <c r="A790" s="52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</row>
    <row r="791" ht="15.75" customHeight="1">
      <c r="A791" s="52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</row>
    <row r="792" ht="15.75" customHeight="1">
      <c r="A792" s="52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</row>
    <row r="793" ht="15.75" customHeight="1">
      <c r="A793" s="52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</row>
    <row r="794" ht="15.75" customHeight="1">
      <c r="A794" s="52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</row>
    <row r="795" ht="15.75" customHeight="1">
      <c r="A795" s="52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</row>
    <row r="796" ht="15.75" customHeight="1">
      <c r="A796" s="52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</row>
    <row r="797" ht="15.75" customHeight="1">
      <c r="A797" s="52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</row>
    <row r="798" ht="15.75" customHeight="1">
      <c r="A798" s="52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</row>
    <row r="799" ht="15.75" customHeight="1">
      <c r="A799" s="52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</row>
    <row r="800" ht="15.75" customHeight="1">
      <c r="A800" s="52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</row>
    <row r="801" ht="15.75" customHeight="1">
      <c r="A801" s="52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</row>
    <row r="802" ht="15.75" customHeight="1">
      <c r="A802" s="52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</row>
    <row r="803" ht="15.75" customHeight="1">
      <c r="A803" s="52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</row>
    <row r="804" ht="15.75" customHeight="1">
      <c r="A804" s="52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</row>
    <row r="805" ht="15.75" customHeight="1">
      <c r="A805" s="52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</row>
    <row r="806" ht="15.75" customHeight="1">
      <c r="A806" s="52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</row>
    <row r="807" ht="15.75" customHeight="1">
      <c r="A807" s="52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</row>
    <row r="808" ht="15.75" customHeight="1">
      <c r="A808" s="52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</row>
    <row r="809" ht="15.75" customHeight="1">
      <c r="A809" s="52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</row>
    <row r="810" ht="15.75" customHeight="1">
      <c r="A810" s="52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</row>
    <row r="811" ht="15.75" customHeight="1">
      <c r="A811" s="52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</row>
    <row r="812" ht="15.75" customHeight="1">
      <c r="A812" s="52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</row>
    <row r="813" ht="15.75" customHeight="1">
      <c r="A813" s="52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</row>
    <row r="814" ht="15.75" customHeight="1">
      <c r="A814" s="52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</row>
    <row r="815" ht="15.75" customHeight="1">
      <c r="A815" s="52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</row>
    <row r="816" ht="15.75" customHeight="1">
      <c r="A816" s="52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</row>
    <row r="817" ht="15.75" customHeight="1">
      <c r="A817" s="52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</row>
    <row r="818" ht="15.75" customHeight="1">
      <c r="A818" s="52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</row>
    <row r="819" ht="15.75" customHeight="1">
      <c r="A819" s="52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</row>
    <row r="820" ht="15.75" customHeight="1">
      <c r="A820" s="52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</row>
    <row r="821" ht="15.75" customHeight="1">
      <c r="A821" s="52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</row>
    <row r="822" ht="15.75" customHeight="1">
      <c r="A822" s="52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</row>
    <row r="823" ht="15.75" customHeight="1">
      <c r="A823" s="52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</row>
    <row r="824" ht="15.75" customHeight="1">
      <c r="A824" s="52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</row>
    <row r="825" ht="15.75" customHeight="1">
      <c r="A825" s="52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</row>
    <row r="826" ht="15.75" customHeight="1">
      <c r="A826" s="52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</row>
    <row r="827" ht="15.75" customHeight="1">
      <c r="A827" s="52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</row>
    <row r="828" ht="15.75" customHeight="1">
      <c r="A828" s="52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</row>
    <row r="829" ht="15.75" customHeight="1">
      <c r="A829" s="52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</row>
    <row r="830" ht="15.75" customHeight="1">
      <c r="A830" s="52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</row>
    <row r="831" ht="15.75" customHeight="1">
      <c r="A831" s="52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</row>
    <row r="832" ht="15.75" customHeight="1">
      <c r="A832" s="52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</row>
    <row r="833" ht="15.75" customHeight="1">
      <c r="A833" s="52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</row>
    <row r="834" ht="15.75" customHeight="1">
      <c r="A834" s="52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</row>
    <row r="835" ht="15.75" customHeight="1">
      <c r="A835" s="52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</row>
    <row r="836" ht="15.75" customHeight="1">
      <c r="A836" s="52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</row>
    <row r="837" ht="15.75" customHeight="1">
      <c r="A837" s="52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</row>
    <row r="838" ht="15.75" customHeight="1">
      <c r="A838" s="52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</row>
    <row r="839" ht="15.75" customHeight="1">
      <c r="A839" s="52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</row>
    <row r="840" ht="15.75" customHeight="1">
      <c r="A840" s="52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</row>
    <row r="841" ht="15.75" customHeight="1">
      <c r="A841" s="52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</row>
    <row r="842" ht="15.75" customHeight="1">
      <c r="A842" s="52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</row>
    <row r="843" ht="15.75" customHeight="1">
      <c r="A843" s="52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</row>
    <row r="844" ht="15.75" customHeight="1">
      <c r="A844" s="52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</row>
    <row r="845" ht="15.75" customHeight="1">
      <c r="A845" s="52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</row>
    <row r="846" ht="15.75" customHeight="1">
      <c r="A846" s="52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</row>
    <row r="847" ht="15.75" customHeight="1">
      <c r="A847" s="52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</row>
    <row r="848" ht="15.75" customHeight="1">
      <c r="A848" s="52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</row>
    <row r="849" ht="15.75" customHeight="1">
      <c r="A849" s="52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</row>
    <row r="850" ht="15.75" customHeight="1">
      <c r="A850" s="52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</row>
    <row r="851" ht="15.75" customHeight="1">
      <c r="A851" s="52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</row>
    <row r="852" ht="15.75" customHeight="1">
      <c r="A852" s="52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</row>
    <row r="853" ht="15.75" customHeight="1">
      <c r="A853" s="52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</row>
    <row r="854" ht="15.75" customHeight="1">
      <c r="A854" s="52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</row>
    <row r="855" ht="15.75" customHeight="1">
      <c r="A855" s="52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</row>
    <row r="856" ht="15.75" customHeight="1">
      <c r="A856" s="52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</row>
    <row r="857" ht="15.75" customHeight="1">
      <c r="A857" s="52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</row>
    <row r="858" ht="15.75" customHeight="1">
      <c r="A858" s="52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</row>
    <row r="859" ht="15.75" customHeight="1">
      <c r="A859" s="52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</row>
    <row r="860" ht="15.75" customHeight="1">
      <c r="A860" s="52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</row>
    <row r="861" ht="15.75" customHeight="1">
      <c r="A861" s="52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</row>
    <row r="862" ht="15.75" customHeight="1">
      <c r="A862" s="52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</row>
    <row r="863" ht="15.75" customHeight="1">
      <c r="A863" s="52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</row>
    <row r="864" ht="15.75" customHeight="1">
      <c r="A864" s="52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</row>
    <row r="865" ht="15.75" customHeight="1">
      <c r="A865" s="52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</row>
    <row r="866" ht="15.75" customHeight="1">
      <c r="A866" s="52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</row>
    <row r="867" ht="15.75" customHeight="1">
      <c r="A867" s="52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</row>
    <row r="868" ht="15.75" customHeight="1">
      <c r="A868" s="52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</row>
    <row r="869" ht="15.75" customHeight="1">
      <c r="A869" s="52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</row>
    <row r="870" ht="15.75" customHeight="1">
      <c r="A870" s="52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</row>
    <row r="871" ht="15.75" customHeight="1">
      <c r="A871" s="52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</row>
    <row r="872" ht="15.75" customHeight="1">
      <c r="A872" s="52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</row>
    <row r="873" ht="15.75" customHeight="1">
      <c r="A873" s="52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</row>
    <row r="874" ht="15.75" customHeight="1">
      <c r="A874" s="52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</row>
    <row r="875" ht="15.75" customHeight="1">
      <c r="A875" s="52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</row>
    <row r="876" ht="15.75" customHeight="1">
      <c r="A876" s="52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</row>
    <row r="877" ht="15.75" customHeight="1">
      <c r="A877" s="52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</row>
    <row r="878" ht="15.75" customHeight="1">
      <c r="A878" s="52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</row>
    <row r="879" ht="15.75" customHeight="1">
      <c r="A879" s="52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</row>
    <row r="880" ht="15.75" customHeight="1">
      <c r="A880" s="52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</row>
    <row r="881" ht="15.75" customHeight="1">
      <c r="A881" s="52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</row>
    <row r="882" ht="15.75" customHeight="1">
      <c r="A882" s="52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</row>
    <row r="883" ht="15.75" customHeight="1">
      <c r="A883" s="52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</row>
    <row r="884" ht="15.75" customHeight="1">
      <c r="A884" s="52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</row>
    <row r="885" ht="15.75" customHeight="1">
      <c r="A885" s="52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</row>
    <row r="886" ht="15.75" customHeight="1">
      <c r="A886" s="52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</row>
    <row r="887" ht="15.75" customHeight="1">
      <c r="A887" s="52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</row>
    <row r="888" ht="15.75" customHeight="1">
      <c r="A888" s="52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</row>
    <row r="889" ht="15.75" customHeight="1">
      <c r="A889" s="52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</row>
    <row r="890" ht="15.75" customHeight="1">
      <c r="A890" s="52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</row>
    <row r="891" ht="15.75" customHeight="1">
      <c r="A891" s="52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</row>
    <row r="892" ht="15.75" customHeight="1">
      <c r="A892" s="52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</row>
    <row r="893" ht="15.75" customHeight="1">
      <c r="A893" s="52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</row>
    <row r="894" ht="15.75" customHeight="1">
      <c r="A894" s="52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</row>
    <row r="895" ht="15.75" customHeight="1">
      <c r="A895" s="52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</row>
    <row r="896" ht="15.75" customHeight="1">
      <c r="A896" s="52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</row>
    <row r="897" ht="15.75" customHeight="1">
      <c r="A897" s="52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</row>
    <row r="898" ht="15.75" customHeight="1">
      <c r="A898" s="52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</row>
    <row r="899" ht="15.75" customHeight="1">
      <c r="A899" s="52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</row>
    <row r="900" ht="15.75" customHeight="1">
      <c r="A900" s="52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</row>
    <row r="901" ht="15.75" customHeight="1">
      <c r="A901" s="52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</row>
    <row r="902" ht="15.75" customHeight="1">
      <c r="A902" s="52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</row>
    <row r="903" ht="15.75" customHeight="1">
      <c r="A903" s="52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</row>
    <row r="904" ht="15.75" customHeight="1">
      <c r="A904" s="52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</row>
    <row r="905" ht="15.75" customHeight="1">
      <c r="A905" s="52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</row>
    <row r="906" ht="15.75" customHeight="1">
      <c r="A906" s="52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</row>
    <row r="907" ht="15.75" customHeight="1">
      <c r="A907" s="52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</row>
    <row r="908" ht="15.75" customHeight="1">
      <c r="A908" s="52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</row>
    <row r="909" ht="15.75" customHeight="1">
      <c r="A909" s="52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</row>
    <row r="910" ht="15.75" customHeight="1">
      <c r="A910" s="52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</row>
    <row r="911" ht="15.75" customHeight="1">
      <c r="A911" s="52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</row>
    <row r="912" ht="15.75" customHeight="1">
      <c r="A912" s="52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</row>
    <row r="913" ht="15.75" customHeight="1">
      <c r="A913" s="52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</row>
    <row r="914" ht="15.75" customHeight="1">
      <c r="A914" s="52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</row>
    <row r="915" ht="15.75" customHeight="1">
      <c r="A915" s="52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</row>
    <row r="916" ht="15.75" customHeight="1">
      <c r="A916" s="52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</row>
    <row r="917" ht="15.75" customHeight="1">
      <c r="A917" s="52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</row>
    <row r="918" ht="15.75" customHeight="1">
      <c r="A918" s="52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</row>
    <row r="919" ht="15.75" customHeight="1">
      <c r="A919" s="52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</row>
    <row r="920" ht="15.75" customHeight="1">
      <c r="A920" s="52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</row>
    <row r="921" ht="15.75" customHeight="1">
      <c r="A921" s="52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</row>
    <row r="922" ht="15.75" customHeight="1">
      <c r="A922" s="52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</row>
    <row r="923" ht="15.75" customHeight="1">
      <c r="A923" s="52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</row>
    <row r="924" ht="15.75" customHeight="1">
      <c r="A924" s="52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</row>
    <row r="925" ht="15.75" customHeight="1">
      <c r="A925" s="52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</row>
    <row r="926" ht="15.75" customHeight="1">
      <c r="A926" s="52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</row>
    <row r="927" ht="15.75" customHeight="1">
      <c r="A927" s="52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</row>
    <row r="928" ht="15.75" customHeight="1">
      <c r="A928" s="52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</row>
    <row r="929" ht="15.75" customHeight="1">
      <c r="A929" s="52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</row>
    <row r="930" ht="15.75" customHeight="1">
      <c r="A930" s="52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</row>
    <row r="931" ht="15.75" customHeight="1">
      <c r="A931" s="52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</row>
    <row r="932" ht="15.75" customHeight="1">
      <c r="A932" s="52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</row>
    <row r="933" ht="15.75" customHeight="1">
      <c r="A933" s="52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</row>
    <row r="934" ht="15.75" customHeight="1">
      <c r="A934" s="52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</row>
    <row r="935" ht="15.75" customHeight="1">
      <c r="A935" s="52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</row>
    <row r="936" ht="15.75" customHeight="1">
      <c r="A936" s="52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</row>
    <row r="937" ht="15.75" customHeight="1">
      <c r="A937" s="52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</row>
    <row r="938" ht="15.75" customHeight="1">
      <c r="A938" s="52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</row>
    <row r="939" ht="15.75" customHeight="1">
      <c r="A939" s="52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</row>
    <row r="940" ht="15.75" customHeight="1">
      <c r="A940" s="52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</row>
    <row r="941" ht="15.75" customHeight="1">
      <c r="A941" s="52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</row>
    <row r="942" ht="15.75" customHeight="1">
      <c r="A942" s="52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</row>
    <row r="943" ht="15.75" customHeight="1">
      <c r="A943" s="52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</row>
    <row r="944" ht="15.75" customHeight="1">
      <c r="A944" s="52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</row>
    <row r="945" ht="15.75" customHeight="1">
      <c r="A945" s="52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</row>
    <row r="946" ht="15.75" customHeight="1">
      <c r="A946" s="52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</row>
    <row r="947" ht="15.75" customHeight="1">
      <c r="A947" s="52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</row>
    <row r="948" ht="15.75" customHeight="1">
      <c r="A948" s="52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</row>
    <row r="949" ht="15.75" customHeight="1">
      <c r="A949" s="52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</row>
    <row r="950" ht="15.75" customHeight="1">
      <c r="A950" s="52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</row>
    <row r="951" ht="15.75" customHeight="1">
      <c r="A951" s="52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</row>
    <row r="952" ht="15.75" customHeight="1">
      <c r="A952" s="52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</row>
    <row r="953" ht="15.75" customHeight="1">
      <c r="A953" s="52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</row>
    <row r="954" ht="15.75" customHeight="1">
      <c r="A954" s="52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</row>
    <row r="955" ht="15.75" customHeight="1">
      <c r="A955" s="52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</row>
    <row r="956" ht="15.75" customHeight="1">
      <c r="A956" s="52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</row>
    <row r="957" ht="15.75" customHeight="1">
      <c r="A957" s="52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</row>
    <row r="958" ht="15.75" customHeight="1">
      <c r="A958" s="52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</row>
    <row r="959" ht="15.75" customHeight="1">
      <c r="A959" s="52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</row>
    <row r="960" ht="15.75" customHeight="1">
      <c r="A960" s="52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</row>
    <row r="961" ht="15.75" customHeight="1">
      <c r="A961" s="52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</row>
    <row r="962" ht="15.75" customHeight="1">
      <c r="A962" s="52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</row>
    <row r="963" ht="15.75" customHeight="1">
      <c r="A963" s="52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</row>
    <row r="964" ht="15.75" customHeight="1">
      <c r="A964" s="52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</row>
    <row r="965" ht="15.75" customHeight="1">
      <c r="A965" s="52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</row>
    <row r="966" ht="15.75" customHeight="1">
      <c r="A966" s="52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</row>
    <row r="967" ht="15.75" customHeight="1">
      <c r="A967" s="52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</row>
    <row r="968" ht="15.75" customHeight="1">
      <c r="A968" s="52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</row>
    <row r="969" ht="15.75" customHeight="1">
      <c r="A969" s="52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</row>
    <row r="970" ht="15.75" customHeight="1">
      <c r="A970" s="52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</row>
    <row r="971" ht="15.75" customHeight="1">
      <c r="A971" s="52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</row>
    <row r="972" ht="15.75" customHeight="1">
      <c r="A972" s="52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</row>
    <row r="973" ht="15.75" customHeight="1">
      <c r="A973" s="52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</row>
    <row r="974" ht="15.75" customHeight="1">
      <c r="A974" s="52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</row>
    <row r="975" ht="15.75" customHeight="1">
      <c r="A975" s="52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</row>
    <row r="976" ht="15.75" customHeight="1">
      <c r="A976" s="52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</row>
    <row r="977" ht="15.75" customHeight="1">
      <c r="A977" s="52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</row>
    <row r="978" ht="15.75" customHeight="1">
      <c r="A978" s="52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</row>
    <row r="979" ht="15.75" customHeight="1">
      <c r="A979" s="52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</row>
    <row r="980" ht="15.75" customHeight="1">
      <c r="A980" s="52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</row>
    <row r="981" ht="15.75" customHeight="1">
      <c r="A981" s="52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</row>
    <row r="982" ht="15.75" customHeight="1">
      <c r="A982" s="52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</row>
    <row r="983" ht="15.75" customHeight="1">
      <c r="A983" s="52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</row>
    <row r="984" ht="15.75" customHeight="1">
      <c r="A984" s="52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</row>
    <row r="985" ht="15.75" customHeight="1">
      <c r="A985" s="52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</row>
    <row r="986" ht="15.75" customHeight="1">
      <c r="A986" s="52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</row>
    <row r="987" ht="15.75" customHeight="1">
      <c r="A987" s="52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</row>
    <row r="988" ht="15.75" customHeight="1">
      <c r="A988" s="52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</row>
    <row r="989" ht="15.75" customHeight="1">
      <c r="A989" s="52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</row>
    <row r="990" ht="15.75" customHeight="1">
      <c r="A990" s="52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</row>
    <row r="991" ht="15.75" customHeight="1">
      <c r="A991" s="52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</row>
    <row r="992" ht="15.75" customHeight="1">
      <c r="A992" s="52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</row>
    <row r="993" ht="15.75" customHeight="1">
      <c r="A993" s="52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</row>
    <row r="994" ht="15.75" customHeight="1">
      <c r="A994" s="52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</row>
    <row r="995" ht="15.75" customHeight="1">
      <c r="A995" s="52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</row>
    <row r="996" ht="15.75" customHeight="1">
      <c r="A996" s="52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</row>
    <row r="997" ht="15.75" customHeight="1">
      <c r="A997" s="52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</row>
    <row r="998" ht="15.75" customHeight="1">
      <c r="A998" s="52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</row>
    <row r="999" ht="15.75" customHeight="1">
      <c r="A999" s="52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</row>
    <row r="1000" ht="15.75" customHeight="1">
      <c r="A1000" s="52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</row>
  </sheetData>
  <dataValidations>
    <dataValidation type="decimal" allowBlank="1" showInputMessage="1" showErrorMessage="1" prompt="Error - Please enter the CMHC reference number.  " sqref="B7:BI7">
      <formula1>0.0</formula1>
      <formula2>9.999999999E9</formula2>
    </dataValidation>
    <dataValidation type="list" allowBlank="1" showErrorMessage="1" sqref="B3:BI3">
      <formula1>"Logement locatif ordinaire,Bureau,Commerce de détail,Hospitalité,Industrie,Logement abordable,Résidence pour personnes âgées,Logements avec services de soutien,Logement mixte,Logements pour étudiants,Chambre individuelle,Logement de transition,Maison d'hé"&amp;"bergement,Discrétionnaire,Non discrétionnaire,Autre location (CCD),Autre type commercial (ATD)"</formula1>
    </dataValidation>
  </dataValidations>
  <printOptions/>
  <pageMargins bottom="0.75" footer="0.0" header="0.0" left="0.7" right="0.7" top="0.75"/>
  <pageSetup orientation="portrait"/>
  <colBreaks count="2" manualBreakCount="2">
    <brk id="21" man="1"/>
    <brk id="4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2023-06-29T17:44:16Z</dcterms:created>
  <dc:creator>Samuel</dc:creator>
</cp:coreProperties>
</file>